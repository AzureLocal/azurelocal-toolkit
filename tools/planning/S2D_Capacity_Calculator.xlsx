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git\azurelocal-toolkit\tools\planning\"/>
    </mc:Choice>
  </mc:AlternateContent>
  <xr:revisionPtr revIDLastSave="0" documentId="13_ncr:1_{28CC4F7F-8E0D-40DC-9A97-D709439DE736}" xr6:coauthVersionLast="47" xr6:coauthVersionMax="47" xr10:uidLastSave="{00000000-0000-0000-0000-000000000000}"/>
  <bookViews>
    <workbookView xWindow="4380" yWindow="600" windowWidth="45765" windowHeight="19950" tabRatio="804" activeTab="2" xr2:uid="{00000000-000D-0000-FFFF-FFFF00000000}"/>
  </bookViews>
  <sheets>
    <sheet name="How to Use" sheetId="1" r:id="rId1"/>
    <sheet name="Hardware Inputs" sheetId="2" r:id="rId2"/>
    <sheet name="Workload Planner" sheetId="3" r:id="rId3"/>
    <sheet name="AVD Planning" sheetId="13" r:id="rId4"/>
    <sheet name="SOFS Planner" sheetId="14" r:id="rId5"/>
    <sheet name="Volume Detail" sheetId="7" r:id="rId6"/>
    <sheet name="Capacity Report" sheetId="5" r:id="rId7"/>
    <sheet name="Compute Report" sheetId="12" r:id="rId8"/>
    <sheet name="Final Report" sheetId="11" r:id="rId9"/>
    <sheet name="Drive Layout Comparison" sheetId="10" r:id="rId10"/>
    <sheet name="Thin Provisioning" sheetId="6" r:id="rId11"/>
    <sheet name="References" sheetId="8" r:id="rId12"/>
    <sheet name="Advanced Settings" sheetId="4" r:id="rId13"/>
    <sheet name="To Do" sheetId="15" r:id="rId14"/>
  </sheets>
  <definedNames>
    <definedName name="_xlnm.Print_Area" localSheetId="8">'Final Report'!$B$1:$H$122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0" i="11" l="1"/>
  <c r="B77" i="11"/>
  <c r="H77" i="11" s="1"/>
  <c r="B76" i="11"/>
  <c r="B75" i="11"/>
  <c r="B74" i="11"/>
  <c r="D13" i="7"/>
  <c r="B89" i="11" s="1"/>
  <c r="B16" i="7"/>
  <c r="D16" i="7" s="1"/>
  <c r="B15" i="7"/>
  <c r="C15" i="7" s="1"/>
  <c r="B14" i="7"/>
  <c r="B13" i="7"/>
  <c r="C54" i="14"/>
  <c r="C53" i="14"/>
  <c r="C52" i="14"/>
  <c r="C51" i="14"/>
  <c r="C47" i="14"/>
  <c r="D144" i="11" s="1"/>
  <c r="C46" i="14"/>
  <c r="C139" i="3" s="1"/>
  <c r="E139" i="3" s="1"/>
  <c r="C45" i="14"/>
  <c r="C40" i="14"/>
  <c r="C39" i="14"/>
  <c r="C37" i="14"/>
  <c r="C32" i="14"/>
  <c r="C31" i="14"/>
  <c r="C30" i="14"/>
  <c r="C29" i="14"/>
  <c r="C28" i="14"/>
  <c r="C27" i="14"/>
  <c r="C26" i="14"/>
  <c r="C25" i="14"/>
  <c r="C19" i="14"/>
  <c r="C13" i="14"/>
  <c r="C24" i="2"/>
  <c r="C156" i="3"/>
  <c r="D138" i="3"/>
  <c r="E137" i="3"/>
  <c r="D137" i="3"/>
  <c r="E136" i="3"/>
  <c r="D136" i="3"/>
  <c r="D50" i="11"/>
  <c r="C13" i="7"/>
  <c r="C74" i="11" s="1"/>
  <c r="C51" i="4"/>
  <c r="E51" i="4" s="1"/>
  <c r="C50" i="4"/>
  <c r="E50" i="4" s="1"/>
  <c r="C42" i="4"/>
  <c r="E42" i="4" s="1"/>
  <c r="E39" i="4"/>
  <c r="C39" i="4"/>
  <c r="E38" i="4"/>
  <c r="C38" i="4"/>
  <c r="E37" i="4"/>
  <c r="C37" i="4"/>
  <c r="E36" i="4"/>
  <c r="C36" i="4"/>
  <c r="C37" i="3"/>
  <c r="G19" i="12" s="1"/>
  <c r="C36" i="3"/>
  <c r="D135" i="3" s="1"/>
  <c r="C35" i="3"/>
  <c r="C34" i="3"/>
  <c r="F49" i="12" s="1"/>
  <c r="C33" i="3"/>
  <c r="C31" i="3"/>
  <c r="C44" i="12" s="1"/>
  <c r="C30" i="3"/>
  <c r="F43" i="12" s="1"/>
  <c r="C29" i="3"/>
  <c r="E140" i="11" s="1"/>
  <c r="C28" i="3"/>
  <c r="C27" i="3"/>
  <c r="C41" i="12" s="1"/>
  <c r="D22" i="3"/>
  <c r="F44" i="11" s="1"/>
  <c r="C22" i="3"/>
  <c r="C7" i="7" s="1"/>
  <c r="H7" i="7" s="1"/>
  <c r="C21" i="3"/>
  <c r="C20" i="3"/>
  <c r="C60" i="11" s="1"/>
  <c r="C19" i="3"/>
  <c r="C18" i="3"/>
  <c r="C17" i="3"/>
  <c r="C14" i="3"/>
  <c r="C13" i="3"/>
  <c r="C12" i="3"/>
  <c r="C11" i="3"/>
  <c r="C55" i="11" s="1"/>
  <c r="C10" i="3"/>
  <c r="C49" i="12" s="1"/>
  <c r="C8" i="3"/>
  <c r="E58" i="11" s="1"/>
  <c r="C42" i="12"/>
  <c r="D43" i="11"/>
  <c r="C113" i="13"/>
  <c r="D112" i="13"/>
  <c r="C112" i="13"/>
  <c r="D111" i="13"/>
  <c r="C111" i="13"/>
  <c r="D110" i="13"/>
  <c r="C110" i="13"/>
  <c r="D109" i="13"/>
  <c r="C109" i="13"/>
  <c r="C100" i="13"/>
  <c r="C99" i="13"/>
  <c r="C98" i="13"/>
  <c r="D92" i="13"/>
  <c r="C92" i="13"/>
  <c r="D91" i="13"/>
  <c r="C91" i="13"/>
  <c r="C90" i="13"/>
  <c r="C83" i="13"/>
  <c r="D80" i="13"/>
  <c r="C80" i="13"/>
  <c r="F79" i="13"/>
  <c r="E79" i="13"/>
  <c r="D79" i="13"/>
  <c r="F78" i="13"/>
  <c r="E78" i="13"/>
  <c r="F77" i="13"/>
  <c r="E77" i="13"/>
  <c r="F76" i="13"/>
  <c r="E76" i="13"/>
  <c r="C65" i="13"/>
  <c r="C64" i="13"/>
  <c r="C63" i="13"/>
  <c r="F57" i="13"/>
  <c r="E57" i="13"/>
  <c r="D57" i="13"/>
  <c r="C57" i="13"/>
  <c r="F56" i="13"/>
  <c r="E56" i="13"/>
  <c r="D56" i="13"/>
  <c r="C56" i="13"/>
  <c r="F55" i="13"/>
  <c r="E55" i="13"/>
  <c r="D55" i="13"/>
  <c r="C55" i="13"/>
  <c r="E52" i="13"/>
  <c r="D52" i="13"/>
  <c r="C52" i="13"/>
  <c r="C49" i="13"/>
  <c r="C44" i="13"/>
  <c r="C43" i="13"/>
  <c r="C42" i="13"/>
  <c r="C41" i="13"/>
  <c r="C38" i="13"/>
  <c r="D113" i="13" s="1"/>
  <c r="C37" i="13"/>
  <c r="D114" i="13" s="1"/>
  <c r="C36" i="13"/>
  <c r="C49" i="4" s="1"/>
  <c r="E49" i="4" s="1"/>
  <c r="C35" i="13"/>
  <c r="C34" i="13"/>
  <c r="C48" i="4" s="1"/>
  <c r="E48" i="4" s="1"/>
  <c r="C33" i="13"/>
  <c r="C32" i="3" s="1"/>
  <c r="C45" i="12" s="1"/>
  <c r="C24" i="13"/>
  <c r="C24" i="3" s="1"/>
  <c r="C23" i="13"/>
  <c r="C23" i="3" s="1"/>
  <c r="D22" i="13"/>
  <c r="C14" i="13"/>
  <c r="C43" i="4" s="1"/>
  <c r="E43" i="4" s="1"/>
  <c r="C13" i="13"/>
  <c r="F13" i="13" s="1"/>
  <c r="F12" i="13"/>
  <c r="D12" i="13"/>
  <c r="D13" i="3" s="1"/>
  <c r="F43" i="11" s="1"/>
  <c r="C94" i="3"/>
  <c r="F143" i="11" s="1"/>
  <c r="C77" i="3"/>
  <c r="G21" i="12" s="1"/>
  <c r="C63" i="3"/>
  <c r="B3" i="12"/>
  <c r="D36" i="12"/>
  <c r="D35" i="12"/>
  <c r="F22" i="12"/>
  <c r="E22" i="12"/>
  <c r="C22" i="12"/>
  <c r="F21" i="12"/>
  <c r="E21" i="12"/>
  <c r="C21" i="12"/>
  <c r="F20" i="12"/>
  <c r="E20" i="12"/>
  <c r="C20" i="12"/>
  <c r="C15" i="12"/>
  <c r="D38" i="12" s="1"/>
  <c r="C14" i="12"/>
  <c r="D37" i="12" s="1"/>
  <c r="C12" i="12"/>
  <c r="C11" i="12"/>
  <c r="C9" i="12"/>
  <c r="F8" i="12"/>
  <c r="C8" i="12"/>
  <c r="F7" i="12"/>
  <c r="C7" i="12"/>
  <c r="F6" i="12"/>
  <c r="C6" i="12"/>
  <c r="C5" i="12"/>
  <c r="F12" i="12" s="1"/>
  <c r="E143" i="11"/>
  <c r="D143" i="11"/>
  <c r="C143" i="11"/>
  <c r="E142" i="11"/>
  <c r="D142" i="11"/>
  <c r="E141" i="11"/>
  <c r="D141" i="11"/>
  <c r="C136" i="11"/>
  <c r="C135" i="11"/>
  <c r="E134" i="11"/>
  <c r="C134" i="11"/>
  <c r="E133" i="11"/>
  <c r="C133" i="11"/>
  <c r="C130" i="11"/>
  <c r="E129" i="11"/>
  <c r="C129" i="11"/>
  <c r="C128" i="11"/>
  <c r="C127" i="11"/>
  <c r="C126" i="11"/>
  <c r="C150" i="3"/>
  <c r="C149" i="3"/>
  <c r="C133" i="3"/>
  <c r="C132" i="3"/>
  <c r="C93" i="3"/>
  <c r="D22" i="12" s="1"/>
  <c r="C76" i="3"/>
  <c r="D21" i="12" s="1"/>
  <c r="C62" i="3"/>
  <c r="D20" i="12" s="1"/>
  <c r="C39" i="2"/>
  <c r="C38" i="2"/>
  <c r="C36" i="2"/>
  <c r="C40" i="2" s="1"/>
  <c r="C35" i="2"/>
  <c r="C37" i="2" s="1"/>
  <c r="B88" i="11"/>
  <c r="B87" i="11"/>
  <c r="B86" i="11"/>
  <c r="B85" i="11"/>
  <c r="B84" i="11"/>
  <c r="C59" i="11"/>
  <c r="C62" i="11"/>
  <c r="C56" i="11"/>
  <c r="C120" i="11"/>
  <c r="C119" i="11"/>
  <c r="C118" i="11"/>
  <c r="C117" i="11"/>
  <c r="C113" i="11"/>
  <c r="C105" i="11"/>
  <c r="D44" i="11"/>
  <c r="D45" i="11"/>
  <c r="D46" i="11"/>
  <c r="D47" i="11"/>
  <c r="D48" i="11"/>
  <c r="D49" i="11"/>
  <c r="C6" i="11"/>
  <c r="C7" i="11"/>
  <c r="C8" i="11"/>
  <c r="C9" i="11"/>
  <c r="B3" i="11"/>
  <c r="C109" i="3"/>
  <c r="C110" i="3" s="1"/>
  <c r="C59" i="4" s="1"/>
  <c r="E59" i="4" s="1"/>
  <c r="B29" i="7"/>
  <c r="C12" i="7"/>
  <c r="H12" i="7" s="1"/>
  <c r="C11" i="7"/>
  <c r="C72" i="11" s="1"/>
  <c r="C10" i="7"/>
  <c r="C71" i="11" s="1"/>
  <c r="C9" i="7"/>
  <c r="G9" i="7" s="1"/>
  <c r="G70" i="11" s="1"/>
  <c r="C8" i="7"/>
  <c r="G8" i="7" s="1"/>
  <c r="G69" i="11" s="1"/>
  <c r="D108" i="3"/>
  <c r="F49" i="11" s="1"/>
  <c r="C102" i="3"/>
  <c r="C103" i="3" s="1"/>
  <c r="C58" i="4" s="1"/>
  <c r="E58" i="4" s="1"/>
  <c r="D101" i="3"/>
  <c r="F48" i="11" s="1"/>
  <c r="C87" i="3"/>
  <c r="D10" i="7" s="1"/>
  <c r="D71" i="11" s="1"/>
  <c r="D86" i="3"/>
  <c r="F47" i="11" s="1"/>
  <c r="C70" i="3"/>
  <c r="F70" i="3" s="1"/>
  <c r="D69" i="3"/>
  <c r="F46" i="11" s="1"/>
  <c r="C54" i="3"/>
  <c r="D8" i="7" s="1"/>
  <c r="D69" i="11" s="1"/>
  <c r="D53" i="3"/>
  <c r="F45" i="11" s="1"/>
  <c r="C10" i="10"/>
  <c r="C8" i="10"/>
  <c r="C100" i="11" s="1"/>
  <c r="C7" i="10"/>
  <c r="C99" i="11" s="1"/>
  <c r="C6" i="10"/>
  <c r="D21" i="10" s="1"/>
  <c r="C8" i="5"/>
  <c r="C6" i="5"/>
  <c r="C5" i="5"/>
  <c r="C23" i="4"/>
  <c r="C22" i="4"/>
  <c r="C21" i="4"/>
  <c r="C20" i="4"/>
  <c r="C19" i="4"/>
  <c r="C18" i="4"/>
  <c r="C14" i="4"/>
  <c r="C22" i="2" s="1"/>
  <c r="C12" i="5" s="1"/>
  <c r="C7" i="4"/>
  <c r="C19" i="2"/>
  <c r="C21" i="2" s="1"/>
  <c r="C11" i="5" s="1"/>
  <c r="C17" i="2"/>
  <c r="C16" i="2"/>
  <c r="C18" i="2" s="1"/>
  <c r="C9" i="5" s="1"/>
  <c r="F23" i="13" l="1"/>
  <c r="C157" i="3"/>
  <c r="C47" i="4"/>
  <c r="E47" i="4" s="1"/>
  <c r="D83" i="13"/>
  <c r="C66" i="13"/>
  <c r="C68" i="13" s="1"/>
  <c r="C69" i="13" s="1"/>
  <c r="C44" i="4"/>
  <c r="E44" i="4" s="1"/>
  <c r="C158" i="3"/>
  <c r="D158" i="3" s="1"/>
  <c r="E158" i="3" s="1"/>
  <c r="C159" i="3"/>
  <c r="C159" i="11" s="1"/>
  <c r="C45" i="4"/>
  <c r="E45" i="4" s="1"/>
  <c r="E135" i="3"/>
  <c r="C15" i="3"/>
  <c r="C116" i="3" s="1"/>
  <c r="C114" i="13"/>
  <c r="F16" i="7"/>
  <c r="B92" i="11"/>
  <c r="C73" i="4"/>
  <c r="E73" i="4" s="1"/>
  <c r="D156" i="3"/>
  <c r="F156" i="3" s="1"/>
  <c r="F156" i="11" s="1"/>
  <c r="D157" i="3"/>
  <c r="D139" i="3"/>
  <c r="C143" i="3" s="1"/>
  <c r="C32" i="4"/>
  <c r="E32" i="4" s="1"/>
  <c r="C34" i="4"/>
  <c r="E34" i="4" s="1"/>
  <c r="C31" i="4"/>
  <c r="E31" i="4" s="1"/>
  <c r="C136" i="3"/>
  <c r="F19" i="12"/>
  <c r="C138" i="3"/>
  <c r="C137" i="3"/>
  <c r="E138" i="3"/>
  <c r="C135" i="3"/>
  <c r="I16" i="7"/>
  <c r="C144" i="11"/>
  <c r="F144" i="11" s="1"/>
  <c r="D23" i="12"/>
  <c r="E23" i="12"/>
  <c r="E24" i="12" s="1"/>
  <c r="C76" i="11"/>
  <c r="C16" i="7"/>
  <c r="F50" i="11"/>
  <c r="C14" i="7"/>
  <c r="C75" i="11" s="1"/>
  <c r="C77" i="11"/>
  <c r="D77" i="11"/>
  <c r="E77" i="11"/>
  <c r="F77" i="11"/>
  <c r="G77" i="11"/>
  <c r="F14" i="12"/>
  <c r="F11" i="12"/>
  <c r="C61" i="11"/>
  <c r="C142" i="11"/>
  <c r="G20" i="12"/>
  <c r="C72" i="4"/>
  <c r="E72" i="4" s="1"/>
  <c r="G16" i="7"/>
  <c r="E16" i="7"/>
  <c r="C25" i="13"/>
  <c r="C54" i="11"/>
  <c r="C43" i="12"/>
  <c r="C47" i="12"/>
  <c r="C6" i="7"/>
  <c r="H6" i="7" s="1"/>
  <c r="C57" i="11"/>
  <c r="F45" i="12"/>
  <c r="E53" i="11"/>
  <c r="C19" i="12"/>
  <c r="C56" i="12"/>
  <c r="C140" i="11"/>
  <c r="C48" i="12"/>
  <c r="D140" i="11"/>
  <c r="D145" i="11" s="1"/>
  <c r="D19" i="12"/>
  <c r="F48" i="12"/>
  <c r="E19" i="12"/>
  <c r="F140" i="11"/>
  <c r="C141" i="11"/>
  <c r="G22" i="12"/>
  <c r="F142" i="11"/>
  <c r="F141" i="11"/>
  <c r="C49" i="11"/>
  <c r="G49" i="11" s="1"/>
  <c r="C14" i="10"/>
  <c r="E14" i="10" s="1"/>
  <c r="D12" i="7"/>
  <c r="I12" i="7" s="1"/>
  <c r="H73" i="11" s="1"/>
  <c r="C55" i="3"/>
  <c r="F14" i="10"/>
  <c r="C101" i="11" s="1"/>
  <c r="C68" i="11"/>
  <c r="C46" i="11"/>
  <c r="E46" i="11" s="1"/>
  <c r="D15" i="10"/>
  <c r="C71" i="3"/>
  <c r="C56" i="4" s="1"/>
  <c r="E56" i="4" s="1"/>
  <c r="D18" i="10"/>
  <c r="D20" i="10"/>
  <c r="C14" i="11"/>
  <c r="B14" i="10"/>
  <c r="D14" i="10" s="1"/>
  <c r="H10" i="7"/>
  <c r="C13" i="11"/>
  <c r="D16" i="10"/>
  <c r="D17" i="10"/>
  <c r="D19" i="10"/>
  <c r="G11" i="7"/>
  <c r="G72" i="11" s="1"/>
  <c r="C10" i="11"/>
  <c r="C11" i="11"/>
  <c r="C9" i="10"/>
  <c r="G10" i="7"/>
  <c r="G71" i="11" s="1"/>
  <c r="C43" i="11"/>
  <c r="H11" i="7"/>
  <c r="G12" i="7"/>
  <c r="G73" i="11" s="1"/>
  <c r="C48" i="11"/>
  <c r="C73" i="11"/>
  <c r="D9" i="7"/>
  <c r="E9" i="7" s="1"/>
  <c r="E70" i="11" s="1"/>
  <c r="C47" i="11"/>
  <c r="H9" i="7"/>
  <c r="C45" i="11"/>
  <c r="C70" i="11"/>
  <c r="C121" i="11"/>
  <c r="C44" i="11"/>
  <c r="C69" i="11"/>
  <c r="C122" i="11"/>
  <c r="C122" i="3"/>
  <c r="F12" i="7"/>
  <c r="F73" i="11" s="1"/>
  <c r="F11" i="7"/>
  <c r="F72" i="11" s="1"/>
  <c r="C121" i="3"/>
  <c r="E8" i="7"/>
  <c r="E69" i="11" s="1"/>
  <c r="I8" i="7"/>
  <c r="H69" i="11" s="1"/>
  <c r="E10" i="7"/>
  <c r="E71" i="11" s="1"/>
  <c r="I10" i="7"/>
  <c r="H71" i="11" s="1"/>
  <c r="D7" i="7"/>
  <c r="D68" i="11" s="1"/>
  <c r="F87" i="3"/>
  <c r="C88" i="3"/>
  <c r="C57" i="4" s="1"/>
  <c r="E57" i="4" s="1"/>
  <c r="H8" i="7"/>
  <c r="G7" i="7"/>
  <c r="G68" i="11" s="1"/>
  <c r="D11" i="7"/>
  <c r="D72" i="11" s="1"/>
  <c r="F54" i="3"/>
  <c r="D6" i="7"/>
  <c r="D67" i="11" s="1"/>
  <c r="C20" i="2"/>
  <c r="C7" i="5"/>
  <c r="D159" i="3" l="1"/>
  <c r="F159" i="3" s="1"/>
  <c r="F159" i="11" s="1"/>
  <c r="F6" i="7"/>
  <c r="F67" i="11" s="1"/>
  <c r="D108" i="13"/>
  <c r="C70" i="13"/>
  <c r="C108" i="13"/>
  <c r="E156" i="3"/>
  <c r="F53" i="12"/>
  <c r="D159" i="11"/>
  <c r="F56" i="12"/>
  <c r="F158" i="3"/>
  <c r="F158" i="11" s="1"/>
  <c r="E159" i="3"/>
  <c r="E56" i="12" s="1"/>
  <c r="C152" i="3"/>
  <c r="C146" i="3"/>
  <c r="F146" i="3" s="1"/>
  <c r="F157" i="3"/>
  <c r="E157" i="3"/>
  <c r="E157" i="11" s="1"/>
  <c r="C12" i="11"/>
  <c r="C33" i="4"/>
  <c r="E33" i="4" s="1"/>
  <c r="F145" i="11"/>
  <c r="D151" i="11" s="1"/>
  <c r="D24" i="12"/>
  <c r="G23" i="12"/>
  <c r="G24" i="12" s="1"/>
  <c r="C27" i="12" s="1"/>
  <c r="F27" i="12" s="1"/>
  <c r="C141" i="3"/>
  <c r="C151" i="3" s="1"/>
  <c r="C142" i="3"/>
  <c r="C145" i="11"/>
  <c r="F8" i="7"/>
  <c r="F69" i="11" s="1"/>
  <c r="C55" i="4"/>
  <c r="E55" i="4" s="1"/>
  <c r="C70" i="4"/>
  <c r="E70" i="4" s="1"/>
  <c r="C25" i="3"/>
  <c r="C54" i="4" s="1"/>
  <c r="E54" i="4" s="1"/>
  <c r="C46" i="4"/>
  <c r="E46" i="4" s="1"/>
  <c r="G6" i="7"/>
  <c r="G67" i="11" s="1"/>
  <c r="C67" i="11"/>
  <c r="C54" i="12"/>
  <c r="C157" i="11"/>
  <c r="D157" i="11"/>
  <c r="D56" i="12"/>
  <c r="D152" i="11"/>
  <c r="C152" i="11"/>
  <c r="D150" i="11"/>
  <c r="C150" i="11"/>
  <c r="C158" i="11"/>
  <c r="C55" i="12"/>
  <c r="D53" i="12"/>
  <c r="C53" i="12"/>
  <c r="C156" i="11"/>
  <c r="F31" i="12"/>
  <c r="C38" i="12"/>
  <c r="F38" i="12" s="1"/>
  <c r="C36" i="12"/>
  <c r="F36" i="12" s="1"/>
  <c r="C31" i="12"/>
  <c r="C30" i="12"/>
  <c r="F30" i="12" s="1"/>
  <c r="E49" i="11"/>
  <c r="C118" i="3"/>
  <c r="D73" i="11"/>
  <c r="E12" i="7"/>
  <c r="E73" i="11" s="1"/>
  <c r="G46" i="11"/>
  <c r="G14" i="10"/>
  <c r="C102" i="11" s="1"/>
  <c r="C119" i="3"/>
  <c r="F9" i="7"/>
  <c r="F70" i="11" s="1"/>
  <c r="E47" i="11"/>
  <c r="G47" i="11"/>
  <c r="G43" i="11"/>
  <c r="E43" i="11"/>
  <c r="G44" i="11"/>
  <c r="E44" i="11"/>
  <c r="I9" i="7"/>
  <c r="H70" i="11" s="1"/>
  <c r="D70" i="11"/>
  <c r="E45" i="11"/>
  <c r="G45" i="11"/>
  <c r="C20" i="10"/>
  <c r="E20" i="10" s="1"/>
  <c r="C18" i="10"/>
  <c r="E18" i="10" s="1"/>
  <c r="C15" i="10"/>
  <c r="E15" i="10" s="1"/>
  <c r="C21" i="10"/>
  <c r="C17" i="10"/>
  <c r="E17" i="10" s="1"/>
  <c r="F17" i="10" s="1"/>
  <c r="G17" i="10" s="1"/>
  <c r="C19" i="10"/>
  <c r="E19" i="10" s="1"/>
  <c r="F19" i="10" s="1"/>
  <c r="G19" i="10" s="1"/>
  <c r="C16" i="10"/>
  <c r="E16" i="10" s="1"/>
  <c r="F16" i="10" s="1"/>
  <c r="G48" i="11"/>
  <c r="E48" i="11"/>
  <c r="I6" i="7"/>
  <c r="H67" i="11" s="1"/>
  <c r="E6" i="7"/>
  <c r="C117" i="3"/>
  <c r="F7" i="7"/>
  <c r="F68" i="11" s="1"/>
  <c r="I11" i="7"/>
  <c r="H72" i="11" s="1"/>
  <c r="E11" i="7"/>
  <c r="E72" i="11" s="1"/>
  <c r="F10" i="7"/>
  <c r="C120" i="3"/>
  <c r="I7" i="7"/>
  <c r="H68" i="11" s="1"/>
  <c r="E7" i="7"/>
  <c r="C10" i="5"/>
  <c r="C35" i="4"/>
  <c r="E35" i="4" s="1"/>
  <c r="F55" i="12" l="1"/>
  <c r="E159" i="11"/>
  <c r="D149" i="11"/>
  <c r="C149" i="11"/>
  <c r="C11" i="14"/>
  <c r="F157" i="11"/>
  <c r="F54" i="12"/>
  <c r="H17" i="10"/>
  <c r="C151" i="11"/>
  <c r="C28" i="12"/>
  <c r="F28" i="12"/>
  <c r="C35" i="12"/>
  <c r="F35" i="12" s="1"/>
  <c r="C37" i="12"/>
  <c r="E37" i="12" s="1"/>
  <c r="C71" i="4"/>
  <c r="E71" i="4" s="1"/>
  <c r="E54" i="12"/>
  <c r="E36" i="12"/>
  <c r="G36" i="12"/>
  <c r="D156" i="11"/>
  <c r="C145" i="3"/>
  <c r="F145" i="3" s="1"/>
  <c r="D54" i="12"/>
  <c r="G38" i="12"/>
  <c r="E158" i="11"/>
  <c r="E55" i="12"/>
  <c r="E156" i="11"/>
  <c r="E53" i="12"/>
  <c r="E38" i="12"/>
  <c r="D55" i="12"/>
  <c r="D158" i="11"/>
  <c r="H19" i="10"/>
  <c r="E68" i="11"/>
  <c r="B83" i="11"/>
  <c r="E67" i="11"/>
  <c r="B82" i="11"/>
  <c r="E21" i="10"/>
  <c r="C106" i="11"/>
  <c r="G16" i="10"/>
  <c r="H16" i="10" s="1"/>
  <c r="F18" i="10"/>
  <c r="G18" i="10" s="1"/>
  <c r="H18" i="10" s="1"/>
  <c r="F20" i="10"/>
  <c r="G20" i="10" s="1"/>
  <c r="H20" i="10" s="1"/>
  <c r="E15" i="11"/>
  <c r="C5" i="3"/>
  <c r="C114" i="3"/>
  <c r="C18" i="11" s="1"/>
  <c r="C15" i="11"/>
  <c r="E5" i="3"/>
  <c r="F15" i="10"/>
  <c r="G15" i="10"/>
  <c r="H15" i="10" s="1"/>
  <c r="F71" i="11"/>
  <c r="C13" i="5"/>
  <c r="C26" i="2"/>
  <c r="C14" i="5" s="1"/>
  <c r="E35" i="12" l="1"/>
  <c r="G35" i="12"/>
  <c r="G37" i="12"/>
  <c r="C18" i="14"/>
  <c r="C20" i="14" s="1"/>
  <c r="C21" i="14"/>
  <c r="F37" i="12"/>
  <c r="G13" i="7"/>
  <c r="G74" i="11" s="1"/>
  <c r="D74" i="11"/>
  <c r="I13" i="7"/>
  <c r="D15" i="7"/>
  <c r="E13" i="7"/>
  <c r="E74" i="11" s="1"/>
  <c r="F13" i="7"/>
  <c r="F74" i="11" s="1"/>
  <c r="D14" i="7"/>
  <c r="B90" i="11" s="1"/>
  <c r="C66" i="4"/>
  <c r="E66" i="4" s="1"/>
  <c r="F21" i="10"/>
  <c r="C107" i="11" s="1"/>
  <c r="G21" i="10"/>
  <c r="C125" i="3" l="1"/>
  <c r="C16" i="5" s="1"/>
  <c r="B91" i="11"/>
  <c r="C22" i="14"/>
  <c r="I14" i="7"/>
  <c r="H75" i="11" s="1"/>
  <c r="D75" i="11"/>
  <c r="F15" i="7"/>
  <c r="F76" i="11" s="1"/>
  <c r="I15" i="7"/>
  <c r="H76" i="11" s="1"/>
  <c r="G15" i="7"/>
  <c r="G76" i="11" s="1"/>
  <c r="D76" i="11"/>
  <c r="E15" i="7"/>
  <c r="E76" i="11" s="1"/>
  <c r="D23" i="7"/>
  <c r="D78" i="11" s="1"/>
  <c r="E50" i="11"/>
  <c r="C126" i="3" a="1"/>
  <c r="C126" i="3" s="1"/>
  <c r="F126" i="3" s="1"/>
  <c r="H74" i="11"/>
  <c r="G14" i="7"/>
  <c r="G75" i="11" s="1"/>
  <c r="E14" i="7"/>
  <c r="F14" i="7"/>
  <c r="C67" i="4"/>
  <c r="E67" i="4" s="1"/>
  <c r="C108" i="11"/>
  <c r="H21" i="10"/>
  <c r="C109" i="11" s="1"/>
  <c r="C20" i="11" l="1"/>
  <c r="E51" i="11"/>
  <c r="E23" i="7"/>
  <c r="E78" i="11" s="1"/>
  <c r="E75" i="11"/>
  <c r="C21" i="11"/>
  <c r="C123" i="3"/>
  <c r="G50" i="11" s="1"/>
  <c r="C114" i="11"/>
  <c r="F23" i="7"/>
  <c r="F78" i="11" s="1"/>
  <c r="F75" i="11"/>
  <c r="I23" i="7"/>
  <c r="H78" i="11" s="1"/>
  <c r="C124" i="3"/>
  <c r="C61" i="4" s="1"/>
  <c r="E61" i="4" s="1"/>
  <c r="C68" i="4"/>
  <c r="E68" i="4" s="1"/>
  <c r="C60" i="4" l="1"/>
  <c r="E60" i="4" s="1"/>
  <c r="C128" i="3"/>
  <c r="C62" i="4" s="1"/>
  <c r="E62" i="4" s="1"/>
  <c r="G51" i="11"/>
  <c r="C15" i="5"/>
  <c r="C19" i="11"/>
  <c r="C129" i="3"/>
  <c r="C63" i="4" s="1"/>
  <c r="E63" i="4" s="1"/>
  <c r="C27" i="11"/>
  <c r="C69" i="4"/>
  <c r="E69" i="4" s="1"/>
  <c r="C116" i="11" l="1"/>
  <c r="F128" i="3"/>
  <c r="C23" i="11"/>
  <c r="C17" i="5"/>
  <c r="C25" i="11"/>
  <c r="C18" i="5"/>
  <c r="C24" i="11"/>
  <c r="C115" i="11"/>
  <c r="B26" i="7"/>
  <c r="D27"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<sst xmlns="http://schemas.openxmlformats.org/spreadsheetml/2006/main" count="1320" uniqueCount="930">
  <si>
    <t>Azure Local / Storage Spaces Direct — Capacity Planning Tool</t>
  </si>
  <si>
    <t>This workbook helps you plan storage for an Azure Local cluster using Storage Spaces Direct (S2D). Enter your hardware specs and planned workloads — the calculator tells you how much usable storage you get and whether everything fits. You do NOT need to be a storage expert.</t>
  </si>
  <si>
    <t>QUICK START — 3 STEPS</t>
  </si>
  <si>
    <t>STEP 1</t>
  </si>
  <si>
    <t>Go to 'Hardware Inputs'. Use the DROPDOWN MENUS to enter: node count, drive type, drives per node, and drive size. The calculator IMMEDIATELY shows your available storage in a big green number.</t>
  </si>
  <si>
    <t>STEP 2</t>
  </si>
  <si>
    <t>STEP 3</t>
  </si>
  <si>
    <t>Review 'Capacity Report' and 'Volume Detail'. Print or share these with your team or customer. The report explains all the numbers and includes key concepts if anyone asks questions.</t>
  </si>
  <si>
    <t>COLOR GUIDE</t>
  </si>
  <si>
    <t>Blue on Yellow</t>
  </si>
  <si>
    <t>YOUR INPUT — only cells you edit. All have dropdowns or accept numbers.</t>
  </si>
  <si>
    <t>Green</t>
  </si>
  <si>
    <t>GOOD NEWS — available capacity, passing checks. Bigger green number = better.</t>
  </si>
  <si>
    <t>Blue on Light Blue</t>
  </si>
  <si>
    <t>CALCULATED — auto-calculated values. Do not edit.</t>
  </si>
  <si>
    <t>Red / Pink</t>
  </si>
  <si>
    <t>WARNING — footprint numbers, overcommit alerts, capacity exceeded.</t>
  </si>
  <si>
    <t>Orange</t>
  </si>
  <si>
    <t>CAUTION — reserve capacity, infrastructure overhead.</t>
  </si>
  <si>
    <t>Gray</t>
  </si>
  <si>
    <t>LABELS — descriptions explaining what each row means.</t>
  </si>
  <si>
    <t>TABS IN THIS WORKBOOK</t>
  </si>
  <si>
    <t>1. Hardware Inputs</t>
  </si>
  <si>
    <t>WHERE YOU START. Enter cluster hardware with dropdowns. See your available capacity instantly. Shows TB vs TiB conversion for Windows Admin Center. Includes N+1 compute reminder.</t>
  </si>
  <si>
    <t>WHAT YOU SHARE. Executive summary, capacity term glossary, reserve explanation, drive sizing advisory, N+1 compute reminder. Print this for project documentation.</t>
  </si>
  <si>
    <t>READ IF CONSIDERING THIN. Risks, when acceptable, monitoring commands, best practices checklist.</t>
  </si>
  <si>
    <t>COMMON QUESTIONS</t>
  </si>
  <si>
    <t>Why does Windows show different numbers?</t>
  </si>
  <si>
    <t>Calculator uses TB (decimal). Windows uses TiB (binary). 1 TB = 0.909 TiB. Both are correct. Row 26 on Hardware Inputs shows TiB equivalent.</t>
  </si>
  <si>
    <t>Why is so much capacity 'lost'?</t>
  </si>
  <si>
    <t>Three-way mirror = 3 copies = 33% efficiency. This is WHY data survives 2 failures. Two-way = 50%. Dual Parity = 50-80% at 4+ nodes.</t>
  </si>
  <si>
    <t>Why can't I use all my pool?</t>
  </si>
  <si>
    <t>Three deductions: Drive overhead (~8%), Reserve (~1 drive/node for auto-repair), Infrastructure volume (~250 GB for Azure Local system).</t>
  </si>
  <si>
    <t>What if workloads don't fit?</t>
  </si>
  <si>
    <t>Should I use thin provisioning?</t>
  </si>
  <si>
    <t>Production: NO, use Fixed. Thin risks pool exhaustion = VMs crash. OK for dev/test and FSLogix with monitoring. See Thin Provisioning tab.</t>
  </si>
  <si>
    <t>NVMe+SSD vs All-NVMe?</t>
  </si>
  <si>
    <t>NVMe+SSD: NVMe becomes CACHE (not capacity). Only SSD counts. All-NVMe: all drives are capacity. Most common for new Azure Local deployments.</t>
  </si>
  <si>
    <t>Can I add drives/nodes later?</t>
  </si>
  <si>
    <t>Yes. New drives auto-join pool. Adding 3rd node unlocks three-way mirror. But sizing correctly upfront is simpler than expanding later.</t>
  </si>
  <si>
    <t>What does N+1 compute mean?</t>
  </si>
  <si>
    <t>Size VMs to fit on N-1 nodes. If 1 node goes down, all VMs must failover to remaining nodes. This is CPU/RAM, separate from storage.</t>
  </si>
  <si>
    <t>TIPS</t>
  </si>
  <si>
    <t>1.</t>
  </si>
  <si>
    <t>Start with Hardware Inputs before planning workloads. Know what you have before planning what to put on it.</t>
  </si>
  <si>
    <t>2.</t>
  </si>
  <si>
    <t>Use dropdown menus — don't type resiliency types manually. Typos break formulas.</t>
  </si>
  <si>
    <t>3.</t>
  </si>
  <si>
    <t>Include ALL disks when estimating VM sizes (OS + data disks). Typical Windows Server = 80 GB OS + 100 GB data = 180 GB.</t>
  </si>
  <si>
    <t>4.</t>
  </si>
  <si>
    <t>For FSLogix, start at 5 GB/user if no data. Measure after 30 days and adjust.</t>
  </si>
  <si>
    <t>5.</t>
  </si>
  <si>
    <t>Keep pool utilization below 70%. Above 70% = limited rebuild headroom. Above 90% = danger zone.</t>
  </si>
  <si>
    <t>6.</t>
  </si>
  <si>
    <t>Consider Dual Parity for backup/archive on 4+ node clusters: 50-80% efficiency vs 33% for three-way mirror.</t>
  </si>
  <si>
    <t>7.</t>
  </si>
  <si>
    <t>Print the Capacity Report tab for project documentation.</t>
  </si>
  <si>
    <t>8.</t>
  </si>
  <si>
    <t>This calculator uses TB. Windows uses TiB. Numbers WILL look different. Both are correct.</t>
  </si>
  <si>
    <t>Cluster Hardware Configuration</t>
  </si>
  <si>
    <t>INSTRUCTIONS: Enter values in BLUE cells (dropdowns provided). Everything else auto-calculates.</t>
  </si>
  <si>
    <t>STEP 1: ENTER YOUR CLUSTER HARDWARE</t>
  </si>
  <si>
    <t>Number of Cluster Nodes (Servers)</t>
  </si>
  <si>
    <t>Select 1-16</t>
  </si>
  <si>
    <t>Physical servers in the Azure Local cluster.</t>
  </si>
  <si>
    <t>Drive Media Configuration</t>
  </si>
  <si>
    <t>All-NVMe (No Cache)</t>
  </si>
  <si>
    <t>Select type</t>
  </si>
  <si>
    <t>All-NVMe: all drives are capacity. NVMe+SSD: NVMe is CACHE only.</t>
  </si>
  <si>
    <t>Capacity Drives per Node</t>
  </si>
  <si>
    <t>Minimum: 2</t>
  </si>
  <si>
    <t>Size of Each Capacity Drive (TB)</t>
  </si>
  <si>
    <t>e.g. 1.6, 3.2, 7.68</t>
  </si>
  <si>
    <t>Vendor-advertised drive size in TB.</t>
  </si>
  <si>
    <t>Cache Drives per Node (NVMe+SSD only)</t>
  </si>
  <si>
    <t>Only if NVMe+SSD</t>
  </si>
  <si>
    <t>NVMe cache drives per node. These do NOT add capacity.</t>
  </si>
  <si>
    <t>Default Volume Provisioning</t>
  </si>
  <si>
    <t>Fixed (Thick)</t>
  </si>
  <si>
    <t>RECOMMENDED: Fixed. See Thin Provisioning tab for risks.</t>
  </si>
  <si>
    <t>STEP 2: YOUR AVAILABLE STORAGE (Auto-Calculated)</t>
  </si>
  <si>
    <t>Total Capacity Drives</t>
  </si>
  <si>
    <t>drives</t>
  </si>
  <si>
    <t>Nodes x Capacity Drives (excludes cache)</t>
  </si>
  <si>
    <t>Cache Drives (if applicable)</t>
  </si>
  <si>
    <t>Cache drives do NOT count toward capacity.</t>
  </si>
  <si>
    <t>Total Raw Capacity (Advertised)</t>
  </si>
  <si>
    <t>TB</t>
  </si>
  <si>
    <t>Capacity Drives x Drive Size.</t>
  </si>
  <si>
    <t>Usable Capacity per Drive</t>
  </si>
  <si>
    <t>After NVMe overhead (~8%). See Advanced Settings tab.</t>
  </si>
  <si>
    <t>Total Usable Pool (Before Reserve)</t>
  </si>
  <si>
    <t>All capacity drives pooled after overhead.</t>
  </si>
  <si>
    <t>Reserve (drive failure repair)</t>
  </si>
  <si>
    <t>1 drive per node (max 4) for auto-repair.</t>
  </si>
  <si>
    <t>Infrastructure Volume (Azure Local)</t>
  </si>
  <si>
    <t>TB footprint</t>
  </si>
  <si>
    <t>System volume created during deployment (~250 GB).</t>
  </si>
  <si>
    <t>YOUR AVAILABLE CAPACITY FOR VOLUMES</t>
  </si>
  <si>
    <t>Pool minus reserve minus infra = what you can use.</t>
  </si>
  <si>
    <t>What Windows Admin Center shows (TiB):</t>
  </si>
  <si>
    <t>TiB (approx)</t>
  </si>
  <si>
    <t>Windows uses TiB (binary). 1 TB = ~0.909 TiB. Numbers WILL differ.</t>
  </si>
  <si>
    <t>RESILIENCY REFERENCE</t>
  </si>
  <si>
    <t>Type</t>
  </si>
  <si>
    <t>Efficiency</t>
  </si>
  <si>
    <t>Min Nodes</t>
  </si>
  <si>
    <t>Fault Tolerance</t>
  </si>
  <si>
    <t>Two-Way Mirror</t>
  </si>
  <si>
    <t>50.0%</t>
  </si>
  <si>
    <t>1 failure</t>
  </si>
  <si>
    <t>Three-Way Mirror</t>
  </si>
  <si>
    <t>33.3%</t>
  </si>
  <si>
    <t>2 failures</t>
  </si>
  <si>
    <t>Dual Parity (4-6)</t>
  </si>
  <si>
    <t>Dual Parity (7-8)</t>
  </si>
  <si>
    <t>66.7%</t>
  </si>
  <si>
    <t>Dual Parity (9-15 flash)</t>
  </si>
  <si>
    <t>75.0%</t>
  </si>
  <si>
    <t>Dual Parity (16 flash)</t>
  </si>
  <si>
    <t>80.0%</t>
  </si>
  <si>
    <t>Nested Two-Way</t>
  </si>
  <si>
    <t>25.0%</t>
  </si>
  <si>
    <t>1 server+1 drive</t>
  </si>
  <si>
    <t>AVAILABLE POOL CAPACITY:</t>
  </si>
  <si>
    <t>VMs</t>
  </si>
  <si>
    <t>GB</t>
  </si>
  <si>
    <t>Logical / efficiency = pool space consumed.</t>
  </si>
  <si>
    <t>users</t>
  </si>
  <si>
    <t>overhead</t>
  </si>
  <si>
    <t>Buffer for growth. 20-50% recommended.</t>
  </si>
  <si>
    <t>Yes</t>
  </si>
  <si>
    <t>Dual Parity</t>
  </si>
  <si>
    <t>CAPACITY SUMMARY</t>
  </si>
  <si>
    <t>Available Pool Capacity</t>
  </si>
  <si>
    <t>Total pool capacity for volumes.</t>
  </si>
  <si>
    <t>TOTAL PHYSICAL FOOTPRINT</t>
  </si>
  <si>
    <t>Must be LESS than available pool.</t>
  </si>
  <si>
    <t>TOTAL USABLE VOLUME CAPACITY</t>
  </si>
  <si>
    <t>Logical capacity you get to use.</t>
  </si>
  <si>
    <t>Volume Count</t>
  </si>
  <si>
    <t>volumes</t>
  </si>
  <si>
    <t>REMAINING POOL CAPACITY</t>
  </si>
  <si>
    <t>Pool Utilization</t>
  </si>
  <si>
    <t>ADVANCED SETTINGS</t>
  </si>
  <si>
    <t>DRIVE CAPACITY EFFICIENCY FACTOR</t>
  </si>
  <si>
    <t>Manufacturers label drives in decimal TB (1 TB = 1,000,000,000,000 bytes). Windows reports in binary TiB (1 TiB = 1,099,511,627,776 bytes). A 7.68 TB drive shows as ~6.98 TiB. Plus NVMe reserves 1-3% for wear leveling. Combined: ~8% reduction.</t>
  </si>
  <si>
    <t>Example: 7.68 TB at 92%:</t>
  </si>
  <si>
    <t>TB usable</t>
  </si>
  <si>
    <t>What S2D pool reports per drive.</t>
  </si>
  <si>
    <t>Capacity Efficiency Factor</t>
  </si>
  <si>
    <t>Default: 92%</t>
  </si>
  <si>
    <t>Only change if vendor provides specific formatted capacity.</t>
  </si>
  <si>
    <t>INFRASTRUCTURE VOLUME</t>
  </si>
  <si>
    <t>Azure Local creates an infrastructure volume during deployment (~250 GB) for system metadata. This uses the same resiliency as workload volumes, so its footprint is larger.</t>
  </si>
  <si>
    <t>Infrastructure Volume Logical Size</t>
  </si>
  <si>
    <t>TB (~250 GB)</t>
  </si>
  <si>
    <t>Size of the infrastructure volume.</t>
  </si>
  <si>
    <t>Infrastructure Volume Footprint</t>
  </si>
  <si>
    <t>TB in pool</t>
  </si>
  <si>
    <t>Three-way mirror (3+ nodes) or two-way mirror (2 nodes).</t>
  </si>
  <si>
    <t>TB vs TiB CONVERSION TABLE</t>
  </si>
  <si>
    <t>Windows Admin Center, PowerShell, and Disk Management show TiB (binary). This calculator uses TB (decimal). Use this table to cross-check.</t>
  </si>
  <si>
    <t>1 TB (decimal) =</t>
  </si>
  <si>
    <t>TiB (binary)</t>
  </si>
  <si>
    <t>What Windows will show.</t>
  </si>
  <si>
    <t>5 TB (decimal) =</t>
  </si>
  <si>
    <t>10 TB (decimal) =</t>
  </si>
  <si>
    <t>25 TB (decimal) =</t>
  </si>
  <si>
    <t>50 TB (decimal) =</t>
  </si>
  <si>
    <t>100 TB (decimal) =</t>
  </si>
  <si>
    <t>S2D CAPACITY REPORT</t>
  </si>
  <si>
    <t>EXECUTIVE SUMMARY</t>
  </si>
  <si>
    <t>Cluster Nodes</t>
  </si>
  <si>
    <t>servers</t>
  </si>
  <si>
    <t>Drive Config</t>
  </si>
  <si>
    <t>Capacity Drives</t>
  </si>
  <si>
    <t>Drive Size</t>
  </si>
  <si>
    <t>TB each</t>
  </si>
  <si>
    <t>Raw Capacity</t>
  </si>
  <si>
    <t>After Overhead</t>
  </si>
  <si>
    <t>Pool Reserve</t>
  </si>
  <si>
    <t>Infra Volume</t>
  </si>
  <si>
    <t>AVAILABLE POOL</t>
  </si>
  <si>
    <t>WAC Display</t>
  </si>
  <si>
    <t>TiB</t>
  </si>
  <si>
    <t>Workload Footprint</t>
  </si>
  <si>
    <t>Usable Volume Capacity</t>
  </si>
  <si>
    <t>Remaining Free</t>
  </si>
  <si>
    <t>CAPACITY TERMS</t>
  </si>
  <si>
    <t>Drive label size. Manufacturer's decimal number.</t>
  </si>
  <si>
    <t>Usable Capacity</t>
  </si>
  <si>
    <t>After ~8% overhead (TB-to-TiB + NVMe reserves).</t>
  </si>
  <si>
    <t>Pool Capacity</t>
  </si>
  <si>
    <t>All usable capacity pooled. Excludes cache.</t>
  </si>
  <si>
    <t>Reserve</t>
  </si>
  <si>
    <t>1 drive/node (max 4) for auto-repair.</t>
  </si>
  <si>
    <t>~250 GB for Azure Local system metadata.</t>
  </si>
  <si>
    <t>Available Pool</t>
  </si>
  <si>
    <t>Pool - reserve - infra. What you allocate.</t>
  </si>
  <si>
    <t>Volume Size</t>
  </si>
  <si>
    <t>Logical size you request. What OS shows.</t>
  </si>
  <si>
    <t>Footprint</t>
  </si>
  <si>
    <t>Physical pool space. 1TB 3-way mirror = 3TB.</t>
  </si>
  <si>
    <t>Usable/footprint. 2-way=50%, 3-way=33%.</t>
  </si>
  <si>
    <t>TB vs TiB</t>
  </si>
  <si>
    <t>Manufacturers=TB. Windows=TiB. 1TB=0.909TiB.</t>
  </si>
  <si>
    <t>WHY RESERVE IS CRITICAL</t>
  </si>
  <si>
    <t>Drive fails:</t>
  </si>
  <si>
    <t>S2D rebuilds lost data onto other drives. Needs FREE pool space.</t>
  </si>
  <si>
    <t>No reserve:</t>
  </si>
  <si>
    <t>Must wait for replacement drive. Reduced redundancy = risk.</t>
  </si>
  <si>
    <t>With reserve:</t>
  </si>
  <si>
    <t>Rebuild starts IMMEDIATELY. Full resiliency in minutes, not days.</t>
  </si>
  <si>
    <t>DRIVE SIZING ADVISORY</t>
  </si>
  <si>
    <t>Cost</t>
  </si>
  <si>
    <t>Smaller drives cheaper per TB.</t>
  </si>
  <si>
    <t>Rebuild Speed</t>
  </si>
  <si>
    <t>3.84 TB rebuilds ~half the time of 7.68 TB.</t>
  </si>
  <si>
    <t>Parallelism</t>
  </si>
  <si>
    <t>More drives = more IOPS. 8 drives/node &gt; 4.</t>
  </si>
  <si>
    <t>Reserve Cost</t>
  </si>
  <si>
    <t>Smaller drive = smaller reserve = more for volumes.</t>
  </si>
  <si>
    <t>Slots</t>
  </si>
  <si>
    <t>Limited NVMe slots per server. Check hardware spec.</t>
  </si>
  <si>
    <t>THIN PROVISIONING — RISKS &amp; GUIDANCE</t>
  </si>
  <si>
    <t>DEFAULT: USE FIXED (THICK)</t>
  </si>
  <si>
    <t>Fixed allocates full footprint at creation. Guarantees capacity. STRONGLY recommended for production.</t>
  </si>
  <si>
    <t>WHEN THIN IS ACCEPTABLE</t>
  </si>
  <si>
    <t>Dev/Test</t>
  </si>
  <si>
    <t>Outages tolerable.</t>
  </si>
  <si>
    <t>FSLogix</t>
  </si>
  <si>
    <t>Slow growth. Monitor.</t>
  </si>
  <si>
    <t>Archive</t>
  </si>
  <si>
    <t>Infrequent access.</t>
  </si>
  <si>
    <t>Prototyping</t>
  </si>
  <si>
    <t>Right-size later.</t>
  </si>
  <si>
    <t>RISKS</t>
  </si>
  <si>
    <t>Pool Exhaustion</t>
  </si>
  <si>
    <t>Pool full = volumes OFFLINE = VMs crash. HARD STOP.</t>
  </si>
  <si>
    <t>Silent Overcommit</t>
  </si>
  <si>
    <t>Logical can exceed physical. No hard block.</t>
  </si>
  <si>
    <t>Growth Spikes</t>
  </si>
  <si>
    <t>Updates, snapshots consume GBs with no warning.</t>
  </si>
  <si>
    <t>No Reclaim</t>
  </si>
  <si>
    <t>Stretched clusters: TRIM disabled. Volumes only grow.</t>
  </si>
  <si>
    <t>Double-Thin</t>
  </si>
  <si>
    <t>Thin S2D + thin VHDX = two overcommit layers.</t>
  </si>
  <si>
    <t>Rebuild Blocked</t>
  </si>
  <si>
    <t>No pool space = rebuild fails = data at risk.</t>
  </si>
  <si>
    <t>MONITORING</t>
  </si>
  <si>
    <t>WAC Alerts</t>
  </si>
  <si>
    <t>Set threshold to 60% for thin pools.</t>
  </si>
  <si>
    <t>PS: Pool</t>
  </si>
  <si>
    <t>Get-StoragePool S2D* | Select Size, AllocatedSize</t>
  </si>
  <si>
    <t>PS: Volumes</t>
  </si>
  <si>
    <t>Get-VirtualDisk | Select Size, FootprintOnPool</t>
  </si>
  <si>
    <t>Azure Monitor</t>
  </si>
  <si>
    <t>Log Analytics for pool free space trending.</t>
  </si>
  <si>
    <t>Commit Ratio</t>
  </si>
  <si>
    <t>Logical/Physical. Alert 0.8, escalate 1.0.</t>
  </si>
  <si>
    <t>CHECKLIST</t>
  </si>
  <si>
    <t>Never double-thin (S2D + VHDX).</t>
  </si>
  <si>
    <t>WAC alert at 60% for thin.</t>
  </si>
  <si>
    <t>Pool below 70% always.</t>
  </si>
  <si>
    <t>Weekly: Get-StoragePool reports.</t>
  </si>
  <si>
    <t>Azure Monitor for alerting.</t>
  </si>
  <si>
    <t>Capacity response plan documented.</t>
  </si>
  <si>
    <t>Quarterly: simulate drive failure.</t>
  </si>
  <si>
    <t>Production = FIXED. Thin = dev/test only.</t>
  </si>
  <si>
    <t>9.</t>
  </si>
  <si>
    <t>Commit ratio: alert 0.8, escalate 1.0.</t>
  </si>
  <si>
    <t>Resiliency</t>
  </si>
  <si>
    <t>Copies</t>
  </si>
  <si>
    <t>Custom</t>
  </si>
  <si>
    <t>TOTALS</t>
  </si>
  <si>
    <t>FIT CHECK</t>
  </si>
  <si>
    <t>MICROSOFT REFERENCES</t>
  </si>
  <si>
    <t>Topic</t>
  </si>
  <si>
    <t>URL</t>
  </si>
  <si>
    <t>Plan Volumes</t>
  </si>
  <si>
    <t>https://learn.microsoft.com/en-us/windows-server/storage/storage-spaces/plan-volumes</t>
  </si>
  <si>
    <t>https://learn.microsoft.com/en-us/windows-server/storage/storage-spaces/fault-tolerance</t>
  </si>
  <si>
    <t>S2D Overview</t>
  </si>
  <si>
    <t>https://learn.microsoft.com/en-us/windows-server/storage/storage-spaces/storage-spaces-direct-overview</t>
  </si>
  <si>
    <t>Hardware Reqs</t>
  </si>
  <si>
    <t>https://learn.microsoft.com/en-us/windows-server/storage/storage-spaces/storage-spaces-direct-hardware-requirements</t>
  </si>
  <si>
    <t>Cache</t>
  </si>
  <si>
    <t>https://learn.microsoft.com/en-us/windows-server/storage/storage-spaces/cache</t>
  </si>
  <si>
    <t>Nested Resiliency</t>
  </si>
  <si>
    <t>https://learn.microsoft.com/en-us/windows-server/storage/storage-spaces/nested-resiliency</t>
  </si>
  <si>
    <t>Thin Provisioning</t>
  </si>
  <si>
    <t>https://learn.microsoft.com/en-us/azure-stack/hci/manage/thin-provisioning</t>
  </si>
  <si>
    <t>Azure Local Baseline</t>
  </si>
  <si>
    <t>https://learn.microsoft.com/en-us/azure/architecture/hybrid/azure-local-baseline</t>
  </si>
  <si>
    <t>Azure Local Deploy</t>
  </si>
  <si>
    <t>https://learn.microsoft.com/en-us/azure/azure-local/deploy/deploy-via-portal</t>
  </si>
  <si>
    <t>Well-Architected</t>
  </si>
  <si>
    <t>https://learn.microsoft.com/en-us/azure/well-architected/service-guides/azure-local</t>
  </si>
  <si>
    <t>No</t>
  </si>
  <si>
    <t>DRIVE LAYOUT COMPARISON</t>
  </si>
  <si>
    <t>Same total raw capacity — different drive counts. See how reserve and available capacity change.</t>
  </si>
  <si>
    <t>YOUR CURRENT CONFIGURATION</t>
  </si>
  <si>
    <t>nodes</t>
  </si>
  <si>
    <t>Drive Size (Advertised)</t>
  </si>
  <si>
    <t>Total Raw Capacity</t>
  </si>
  <si>
    <t>This stays constant across all alternatives.</t>
  </si>
  <si>
    <t>From Advanced Settings tab.</t>
  </si>
  <si>
    <t>ALTERNATIVE DRIVE LAYOUTS</t>
  </si>
  <si>
    <t>Drives
per Node</t>
  </si>
  <si>
    <t>Drive Size
(TB)</t>
  </si>
  <si>
    <t>Total
Drives</t>
  </si>
  <si>
    <t>Usable per
Drive (TB)</t>
  </si>
  <si>
    <t>Reserve
(TB)</t>
  </si>
  <si>
    <t>Available
Capacity (TB)</t>
  </si>
  <si>
    <t>vs Current</t>
  </si>
  <si>
    <t>← Current</t>
  </si>
  <si>
    <t>KEY INSIGHT</t>
  </si>
  <si>
    <t>More drives per node = smaller drive size = smaller reserve. The reserve is always 1 drive per node (max 4), so smaller drives mean less capacity "locked up" for repair. The trade-off: more drives cost more and use more slots.</t>
  </si>
  <si>
    <t>Note: All alternatives maintain the same total raw capacity. Drive sizes shown are calculated (raw ÷ total drives) — actual drives must be purchased in available sizes (e.g., 1.6, 3.2, 3.84, 7.68 TB).</t>
  </si>
  <si>
    <t>WHAT-IF TOOL. Same total raw capacity, different drive counts per node. Shows how using more, smaller drives reduces reserve and increases available capacity. All formulas linked to Hardware Inputs — updates automatically.</t>
  </si>
  <si>
    <t>Options: fewer VMs, Two-Way instead of Three-Way where OK, more/smaller drives (see Drive Layout Comparison tab), more nodes, Dual Parity for archives.</t>
  </si>
  <si>
    <t>SCENARIO-BASED WORKLOAD PLANNER</t>
  </si>
  <si>
    <t>Plan storage by workload type — AVD, AKS, Infrastructure, Dev/Test, and more</t>
  </si>
  <si>
    <t>Enable AVD scenario?</t>
  </si>
  <si>
    <t>Set to No to skip this scenario.</t>
  </si>
  <si>
    <t>Number of AVD session host VMs</t>
  </si>
  <si>
    <t>Total session host VMs across all host pools.</t>
  </si>
  <si>
    <t>OS disk per host (GB)</t>
  </si>
  <si>
    <t>Typical: 127 GB (Windows 11 multi-session).</t>
  </si>
  <si>
    <t>Data/temp disk per host (GB)</t>
  </si>
  <si>
    <t>Additional data disks. Set to 0 if none.</t>
  </si>
  <si>
    <t>Host resiliency type</t>
  </si>
  <si>
    <t>Session host volume (logical)</t>
  </si>
  <si>
    <t>Session host footprint in pool</t>
  </si>
  <si>
    <t>Total AVD users</t>
  </si>
  <si>
    <t>All users who have a profile container.</t>
  </si>
  <si>
    <t>Concurrent (connected) users</t>
  </si>
  <si>
    <t>Profile container size per user (GB)</t>
  </si>
  <si>
    <t>Growth buffer (%)</t>
  </si>
  <si>
    <t>Profile resiliency type</t>
  </si>
  <si>
    <t>Profile volume (logical)</t>
  </si>
  <si>
    <t>Profile footprint in pool</t>
  </si>
  <si>
    <t>AVD TOTAL FOOTPRINT</t>
  </si>
  <si>
    <t>SCENARIO 2: AKS ON AZURE LOCAL</t>
  </si>
  <si>
    <t>Enable AKS scenario?</t>
  </si>
  <si>
    <t xml:space="preserve">  AKS Cluster VMs</t>
  </si>
  <si>
    <t>Number of AKS clusters</t>
  </si>
  <si>
    <t>clusters</t>
  </si>
  <si>
    <t>AKS Arc clusters on this Azure Local instance.</t>
  </si>
  <si>
    <t>Control plane nodes (total across clusters)</t>
  </si>
  <si>
    <t>Typically 1 or 3 per cluster (HA = 3).</t>
  </si>
  <si>
    <t>Worker nodes (total across clusters)</t>
  </si>
  <si>
    <t>All worker nodes across all node pools.</t>
  </si>
  <si>
    <t>OS disk per node (GB)</t>
  </si>
  <si>
    <t>Default: 200 GB (Azure Local 2509+).</t>
  </si>
  <si>
    <t xml:space="preserve">  Persistent Volumes &amp; Data Services</t>
  </si>
  <si>
    <t>Persistent volume storage estimate (TB)</t>
  </si>
  <si>
    <t>Total PVC storage for apps. Varies by workload.</t>
  </si>
  <si>
    <t>Data services storage estimate (TB)</t>
  </si>
  <si>
    <t>SQL MI, PostgreSQL, etc. via Arc Data Services.</t>
  </si>
  <si>
    <t>AKS resiliency type</t>
  </si>
  <si>
    <t>AKS volume (logical)</t>
  </si>
  <si>
    <t>AKS TOTAL FOOTPRINT</t>
  </si>
  <si>
    <t>Node VMs + PVs + Data Services combined.</t>
  </si>
  <si>
    <t>SCENARIO 3: INFRASTRUCTURE VMs</t>
  </si>
  <si>
    <t>Enable Infrastructure VMs?</t>
  </si>
  <si>
    <t>DCs, SQL, file servers, management VMs, etc.</t>
  </si>
  <si>
    <t>Number of infrastructure VMs</t>
  </si>
  <si>
    <t>Total infra VMs (all roles combined).</t>
  </si>
  <si>
    <t>Average total disk per VM (GB)</t>
  </si>
  <si>
    <t>OS + data disks combined. Typical: 150-300 GB.</t>
  </si>
  <si>
    <t>Infrastructure resiliency type</t>
  </si>
  <si>
    <t>Infra volume (logical)</t>
  </si>
  <si>
    <t>INFRA TOTAL FOOTPRINT</t>
  </si>
  <si>
    <t>SCENARIO 4: DEV/TEST VMs</t>
  </si>
  <si>
    <t>Enable Dev/Test?</t>
  </si>
  <si>
    <t>Number of dev/test VMs</t>
  </si>
  <si>
    <t>Dev/Test resiliency type</t>
  </si>
  <si>
    <t>Dev/Test volume (logical)</t>
  </si>
  <si>
    <t>DEV/TEST TOTAL FOOTPRINT</t>
  </si>
  <si>
    <t>SCENARIO 5: BACKUP / ARCHIVE</t>
  </si>
  <si>
    <t>Enable Backup/Archive?</t>
  </si>
  <si>
    <t>Backup volume size (TB)</t>
  </si>
  <si>
    <t>Backup resiliency type</t>
  </si>
  <si>
    <t>Backup volume (logical)</t>
  </si>
  <si>
    <t>BACKUP TOTAL FOOTPRINT</t>
  </si>
  <si>
    <t>SCENARIO 6: CUSTOM (Optional)</t>
  </si>
  <si>
    <t>Exact volume size (TB)</t>
  </si>
  <si>
    <t>Any other volume not covered above.</t>
  </si>
  <si>
    <t>Custom resiliency type</t>
  </si>
  <si>
    <t>Custom volume (logical)</t>
  </si>
  <si>
    <t>CUSTOM TOTAL FOOTPRINT</t>
  </si>
  <si>
    <t>S1: AVD Session Hosts — Footprint</t>
  </si>
  <si>
    <t>S1: AVD FSLogix Profiles — Footprint</t>
  </si>
  <si>
    <t>S2: AKS on Azure Local — Footprint</t>
  </si>
  <si>
    <t>S3: Infrastructure VMs — Footprint</t>
  </si>
  <si>
    <t>S4: Dev/Test VMs — Footprint</t>
  </si>
  <si>
    <t>S5: Backup/Archive — Footprint</t>
  </si>
  <si>
    <t>S6: Custom — Footprint</t>
  </si>
  <si>
    <t>Logical (TB)</t>
  </si>
  <si>
    <t>Footprint (TB)</t>
  </si>
  <si>
    <t>Status</t>
  </si>
  <si>
    <t>AVD Session Hosts</t>
  </si>
  <si>
    <t>AVD FSLogix Profiles</t>
  </si>
  <si>
    <t>VOLUME DETAIL — DEPLOYMENT REFERENCE</t>
  </si>
  <si>
    <t>Use this table when creating volumes in Windows Admin Center or PowerShell. Copy volume names and sizes directly.</t>
  </si>
  <si>
    <t>Volume Name</t>
  </si>
  <si>
    <t>Create Size
(TB)</t>
  </si>
  <si>
    <t>Create Size
(TiB)*</t>
  </si>
  <si>
    <t>Pool Footprint
(TB)</t>
  </si>
  <si>
    <t>AVD-SessionHosts</t>
  </si>
  <si>
    <t>AVD-Profiles</t>
  </si>
  <si>
    <t>AKS-Cluster</t>
  </si>
  <si>
    <t>Infra-VMs</t>
  </si>
  <si>
    <t>DevTest-VMs</t>
  </si>
  <si>
    <t>Backup-Archive</t>
  </si>
  <si>
    <t>* TiB column: What Windows/PowerShell will report. This calculator uses TB (decimal) everywhere else. 1 TB = ~0.909 TiB. Both are correct — different units for the same bytes.</t>
  </si>
  <si>
    <t>Enable Custom?</t>
  </si>
  <si>
    <t>S2D CAPACITY CALCULATOR — FINAL REPORT</t>
  </si>
  <si>
    <t>SECTION 1: CLUSTER HARDWARE SUMMARY</t>
  </si>
  <si>
    <t>Drive Configuration</t>
  </si>
  <si>
    <t>Usable Pool (after ~8% NVMe overhead)</t>
  </si>
  <si>
    <t>Infrastructure Volume</t>
  </si>
  <si>
    <t>AVAILABLE CAPACITY FOR VOLUMES</t>
  </si>
  <si>
    <t>per node</t>
  </si>
  <si>
    <t>SECTION 2: CAPACITY ALLOCATION</t>
  </si>
  <si>
    <t>Total Physical Footprint (all scenarios)</t>
  </si>
  <si>
    <t>Total Usable Volume Capacity (logical)</t>
  </si>
  <si>
    <t>Fit Check</t>
  </si>
  <si>
    <t>SECTION 3: SCENARIO BREAKDOWN</t>
  </si>
  <si>
    <t>Scenario</t>
  </si>
  <si>
    <t>S1: AVD Session Hosts</t>
  </si>
  <si>
    <t>S1: AVD FSLogix Profiles</t>
  </si>
  <si>
    <t>S2: AKS on Azure Local</t>
  </si>
  <si>
    <t>S3: Infrastructure VMs</t>
  </si>
  <si>
    <t>S4: Dev/Test VMs</t>
  </si>
  <si>
    <t>S5: Backup / Archive</t>
  </si>
  <si>
    <t>S6: Custom</t>
  </si>
  <si>
    <t>SECTION 4: VOLUME CREATION TABLE — DEPLOYMENT REFERENCE</t>
  </si>
  <si>
    <t>Create Size (TB)</t>
  </si>
  <si>
    <t>Create Size (TiB)*</t>
  </si>
  <si>
    <t>Pool Footprint (TB)</t>
  </si>
  <si>
    <t>* TiB (binary) = what Windows Admin Center and PowerShell report. 1 TB ≈ 0.909 TiB. Use TiB values when creating volumes via WAC or PowerShell.</t>
  </si>
  <si>
    <t>SECTION 5: DRIVE LAYOUT INSIGHT</t>
  </si>
  <si>
    <t>Your Current Configuration</t>
  </si>
  <si>
    <t>Drives per Node</t>
  </si>
  <si>
    <t>Available Capacity</t>
  </si>
  <si>
    <t>Best Alternative (more drives = less reserve)</t>
  </si>
  <si>
    <t>Drives per Node (max shown)</t>
  </si>
  <si>
    <t>Drive Size (calculated)</t>
  </si>
  <si>
    <t>Additional Capacity vs Current</t>
  </si>
  <si>
    <t>TB more</t>
  </si>
  <si>
    <t>Note: More drives per node reduces reserve but costs more and uses more physical slots. Calculated drive sizes are theoretical — actual drives come in standard sizes (1.6, 3.2, 3.84, 7.68 TB).</t>
  </si>
  <si>
    <t>SECTION 6: BEST PRACTICE NOTES &amp; GUIDANCE</t>
  </si>
  <si>
    <t>Rebuild Headroom</t>
  </si>
  <si>
    <t>Provisioning</t>
  </si>
  <si>
    <t>N+1 Compute</t>
  </si>
  <si>
    <t>Volume Size Limit</t>
  </si>
  <si>
    <t>Used</t>
  </si>
  <si>
    <t>Remaining</t>
  </si>
  <si>
    <t>SCENARIO INPUT DETAILS (enabled scenarios only)</t>
  </si>
  <si>
    <t xml:space="preserve">  Session host VMs</t>
  </si>
  <si>
    <t xml:space="preserve">  OS disk per host</t>
  </si>
  <si>
    <t xml:space="preserve">  Data/temp disk per host</t>
  </si>
  <si>
    <t xml:space="preserve">  Resiliency</t>
  </si>
  <si>
    <t xml:space="preserve">  Total AVD users</t>
  </si>
  <si>
    <t xml:space="preserve">  Profile size per user</t>
  </si>
  <si>
    <t xml:space="preserve">  Growth buffer</t>
  </si>
  <si>
    <t>POWERSHELL VOLUME CREATION COMMANDS (copy/paste ready)</t>
  </si>
  <si>
    <t>Run these commands in an elevated PowerShell session on any cluster node. Adjust -StoragePoolFriendlyName if your pool has a custom name. Use -ProvisioningType Thin only if you understand the risks (see Thin Provisioning tab).</t>
  </si>
  <si>
    <t>STEP 3: CLUSTER COMPUTE HARDWARE</t>
  </si>
  <si>
    <t>Physical CPU Cores per Node</t>
  </si>
  <si>
    <t>cores</t>
  </si>
  <si>
    <t>Physical cores per server (check CPU spec).</t>
  </si>
  <si>
    <t>Hyperthreading (SMT) Enabled?</t>
  </si>
  <si>
    <t>Yes/No</t>
  </si>
  <si>
    <t>If Yes, logical cores = physical × 2.</t>
  </si>
  <si>
    <t>RAM per Node (GB)</t>
  </si>
  <si>
    <t>Total physical RAM per node.</t>
  </si>
  <si>
    <t>Host OS / Management Reserved RAM (GB)</t>
  </si>
  <si>
    <t>Reserved for Hyper-V host OS, agents, S2D. Typical: 16-32 GB.</t>
  </si>
  <si>
    <t>COMPUTE CAPACITY (Auto-Calculated)</t>
  </si>
  <si>
    <t>Logical vCPU per Node</t>
  </si>
  <si>
    <t>vCPU</t>
  </si>
  <si>
    <t>Logical cores available per node for VMs.</t>
  </si>
  <si>
    <t>Usable RAM per Node (GB)</t>
  </si>
  <si>
    <t>RAM minus host OS reservation.</t>
  </si>
  <si>
    <t>Total Cluster vCPU (all nodes)</t>
  </si>
  <si>
    <t>All nodes combined.</t>
  </si>
  <si>
    <t>Total Cluster Usable RAM (all nodes)</t>
  </si>
  <si>
    <t>N+1 Available vCPU (1 node down)</t>
  </si>
  <si>
    <t>N+1 Available RAM (1 node down)</t>
  </si>
  <si>
    <t>RAM capacity with 1 node down.</t>
  </si>
  <si>
    <t>All usable RAM across cluster.</t>
  </si>
  <si>
    <t>With 1 node down for maintenance/failover.</t>
  </si>
  <si>
    <t xml:space="preserve">  AVD Compute Planning</t>
  </si>
  <si>
    <t>vCPU per session host VM</t>
  </si>
  <si>
    <t>Typical: 4-8 vCPU per session host. Size per VM SKU.</t>
  </si>
  <si>
    <t>RAM per session host VM (GB)</t>
  </si>
  <si>
    <t>Typical: 16-32 GB per session host VM.</t>
  </si>
  <si>
    <t>ratio</t>
  </si>
  <si>
    <t>vCPU per user</t>
  </si>
  <si>
    <t>Allocation per concurrent user. Light=1, Medium=2, Power=4.</t>
  </si>
  <si>
    <t>RAM per user (GB)</t>
  </si>
  <si>
    <t>Physical RAM per user. Light=2, Medium=4, Power=8 GB.</t>
  </si>
  <si>
    <t>Users per session host (max)</t>
  </si>
  <si>
    <t>users/host</t>
  </si>
  <si>
    <t>Min of vCPU and RAM constraints per host.</t>
  </si>
  <si>
    <t>Session hosts needed (for concurrent users)</t>
  </si>
  <si>
    <t>Concurrent users ÷ users per host (rounded up).</t>
  </si>
  <si>
    <t>Session host VM check</t>
  </si>
  <si>
    <t>Total AVD vCPU demand</t>
  </si>
  <si>
    <t>Session host VMs × vCPU per host.</t>
  </si>
  <si>
    <t xml:space="preserve">  AVD Compute Fit Check</t>
  </si>
  <si>
    <t>4:1</t>
  </si>
  <si>
    <t xml:space="preserve">  AKS Compute Planning</t>
  </si>
  <si>
    <t>vCPU per control plane node</t>
  </si>
  <si>
    <t>Default AKS control plane: 4 vCPU.</t>
  </si>
  <si>
    <t>RAM per control plane node (GB)</t>
  </si>
  <si>
    <t>Default AKS control plane: 16 GB.</t>
  </si>
  <si>
    <t>vCPU per worker node</t>
  </si>
  <si>
    <t>Size based on workload. Typical: 4-16 vCPU.</t>
  </si>
  <si>
    <t>RAM per worker node (GB)</t>
  </si>
  <si>
    <t>Size based on workload. Typical: 16-64 GB.</t>
  </si>
  <si>
    <t>Total AKS vCPU demand</t>
  </si>
  <si>
    <t>Control plane + worker node vCPU.</t>
  </si>
  <si>
    <t xml:space="preserve">  Infrastructure Compute Planning</t>
  </si>
  <si>
    <t>Average vCPU per VM</t>
  </si>
  <si>
    <t>Average across all infrastructure VMs.</t>
  </si>
  <si>
    <t>Average RAM per VM (GB)</t>
  </si>
  <si>
    <t>Average RAM per infra VM.</t>
  </si>
  <si>
    <t>Total Infra vCPU demand</t>
  </si>
  <si>
    <t>VMs × vCPU per VM.</t>
  </si>
  <si>
    <t xml:space="preserve">  Dev/Test Compute Planning</t>
  </si>
  <si>
    <t>Average across all dev/test VMs.</t>
  </si>
  <si>
    <t>Average RAM per dev/test VM.</t>
  </si>
  <si>
    <t>Total Dev/Test vCPU demand</t>
  </si>
  <si>
    <t>COMPUTE SUMMARY</t>
  </si>
  <si>
    <t>Cluster Total vCPU</t>
  </si>
  <si>
    <t>Total logical vCPU across all nodes.</t>
  </si>
  <si>
    <t>Cluster Total Usable RAM</t>
  </si>
  <si>
    <t>Total usable RAM (after host OS reserve).</t>
  </si>
  <si>
    <t>TOTAL vCPU DEMAND</t>
  </si>
  <si>
    <t>Must be LESS than cluster vCPU.</t>
  </si>
  <si>
    <t>REMAINING vCPU</t>
  </si>
  <si>
    <t>REMAINING RAM</t>
  </si>
  <si>
    <t>N+1 FAILOVER CHECK (1 node in maintenance)</t>
  </si>
  <si>
    <t>N+1 vCPU available</t>
  </si>
  <si>
    <t>N+1 RAM available</t>
  </si>
  <si>
    <t>N+1 vCPU fit</t>
  </si>
  <si>
    <t>N+1 RAM fit</t>
  </si>
  <si>
    <t>Overcommit Ratio</t>
  </si>
  <si>
    <t>Fit (N+1)</t>
  </si>
  <si>
    <t>Notes</t>
  </si>
  <si>
    <t>1:1 (no overcommit)</t>
  </si>
  <si>
    <t>Moderate. Knowledge workers.</t>
  </si>
  <si>
    <t>SECTION 7: COMPUTE CAPACITY ANALYSIS</t>
  </si>
  <si>
    <t>Cluster Hardware</t>
  </si>
  <si>
    <t xml:space="preserve">  Physical cores per node</t>
  </si>
  <si>
    <t xml:space="preserve">  Hyperthreading</t>
  </si>
  <si>
    <t xml:space="preserve">  Logical vCPU per node</t>
  </si>
  <si>
    <t xml:space="preserve">  RAM per node</t>
  </si>
  <si>
    <t>GB total</t>
  </si>
  <si>
    <t xml:space="preserve">  Usable RAM per node</t>
  </si>
  <si>
    <t>Cluster Totals</t>
  </si>
  <si>
    <t xml:space="preserve">  Total cluster vCPU</t>
  </si>
  <si>
    <t xml:space="preserve">  Total cluster usable RAM</t>
  </si>
  <si>
    <t xml:space="preserve">  N+1 vCPU (1 node down)</t>
  </si>
  <si>
    <t xml:space="preserve">  N+1 RAM (1 node down)</t>
  </si>
  <si>
    <t>Compute Demand by Scenario</t>
  </si>
  <si>
    <t>RAM (GB)</t>
  </si>
  <si>
    <t>Overcommit</t>
  </si>
  <si>
    <t>S2: AKS</t>
  </si>
  <si>
    <t>S3: Infrastructure</t>
  </si>
  <si>
    <t>S4: Dev/Test</t>
  </si>
  <si>
    <t>Compute Fit Analysis</t>
  </si>
  <si>
    <t>Check</t>
  </si>
  <si>
    <t>Details</t>
  </si>
  <si>
    <t>vCPU (all nodes)</t>
  </si>
  <si>
    <t>N+1 vCPU (1 node down)</t>
  </si>
  <si>
    <t>Ratio</t>
  </si>
  <si>
    <t>1:1</t>
  </si>
  <si>
    <t>2:1</t>
  </si>
  <si>
    <t>3:1</t>
  </si>
  <si>
    <t>COMPUTE CAPACITY REPORT</t>
  </si>
  <si>
    <t>CLUSTER COMPUTE HARDWARE</t>
  </si>
  <si>
    <t>RAM per Node</t>
  </si>
  <si>
    <t>Usable RAM per Node</t>
  </si>
  <si>
    <t>After host OS reservation.</t>
  </si>
  <si>
    <t>Total Cluster vCPU</t>
  </si>
  <si>
    <t>Total Cluster Usable RAM</t>
  </si>
  <si>
    <t>Plan workloads to survive this scenario.</t>
  </si>
  <si>
    <t>COMPUTE DEMAND BY SCENARIO</t>
  </si>
  <si>
    <t>CAPACITY RESULT</t>
  </si>
  <si>
    <t>vCPU Utilization</t>
  </si>
  <si>
    <t>RAM Utilization</t>
  </si>
  <si>
    <t>N+1 FAILOVER ANALYSIS (1 node in maintenance)</t>
  </si>
  <si>
    <t>Demand</t>
  </si>
  <si>
    <t>Available</t>
  </si>
  <si>
    <t>Utilization</t>
  </si>
  <si>
    <t>Headroom</t>
  </si>
  <si>
    <t>AVD SESSION HOST DETAIL</t>
  </si>
  <si>
    <t>VM spec: vCPU per host</t>
  </si>
  <si>
    <t>VM spec: RAM per host</t>
  </si>
  <si>
    <t>User allocation: vCPU per user</t>
  </si>
  <si>
    <t>User allocation: RAM per user</t>
  </si>
  <si>
    <t>Concurrent users to support</t>
  </si>
  <si>
    <t>Session hosts NEEDED</t>
  </si>
  <si>
    <t>Session hosts CONFIGURED</t>
  </si>
  <si>
    <t>Guidance</t>
  </si>
  <si>
    <t>6. Capacity Report</t>
  </si>
  <si>
    <t>AVD Sizing</t>
  </si>
  <si>
    <t>https://learn.microsoft.com/en-us/azure/virtual-desktop/prerequisites</t>
  </si>
  <si>
    <t>AKS on Azure Local</t>
  </si>
  <si>
    <t>https://learn.microsoft.com/en-us/azure/aks/hybrid/aks-hci-network-requirements</t>
  </si>
  <si>
    <t>Compute Sizing</t>
  </si>
  <si>
    <t>https://learn.microsoft.com/en-us/azure/azure-local/plan/choose-server-hardware</t>
  </si>
  <si>
    <t>https://learn.microsoft.com/en-us/windows-server/virtualization/hyper-v/best-practices-for-running-hyper-v</t>
  </si>
  <si>
    <t>Volume Planning</t>
  </si>
  <si>
    <t>https://learn.microsoft.com/en-us/azure-stack/hci/manage/create-volumes</t>
  </si>
  <si>
    <t>SCENARIO 1: AVD DEPLOYMENT</t>
  </si>
  <si>
    <t>S1: AVD</t>
  </si>
  <si>
    <t xml:space="preserve">  Session Hosts — Storage</t>
  </si>
  <si>
    <t xml:space="preserve">  FSLogix Profiles — Storage</t>
  </si>
  <si>
    <t>vCPU overcommit ratio</t>
  </si>
  <si>
    <t>vCPU overcommit. 1:1 = no overcommit. 4:1 = 4 vCPU share 1 physical core. Hyper-V supports vCPU overcommit; memory cannot be overcommitted.</t>
  </si>
  <si>
    <t>Total AVD RAM demand (GB)</t>
  </si>
  <si>
    <t>Effective vCPU (with overcommit)</t>
  </si>
  <si>
    <t>Total physical RAM needed. Hyper-V reserves full RAM per VM (no overcommit).</t>
  </si>
  <si>
    <t>Physical cores needed after vCPU overcommit ratio applied.</t>
  </si>
  <si>
    <t>RAM fit (all nodes)</t>
  </si>
  <si>
    <t>AVD total RAM vs cluster RAM. Full reservation required (no overcommit).</t>
  </si>
  <si>
    <t>AVD effective vCPU (after overcommit) vs total cluster vCPU.</t>
  </si>
  <si>
    <t>vCPU fit (all nodes, with overcommit)</t>
  </si>
  <si>
    <t>N+1 vCPU fit (with overcommit)</t>
  </si>
  <si>
    <t>Effective vCPU with 1 node down (patching/failover).</t>
  </si>
  <si>
    <t>N+1 RAM fit (1 node down)</t>
  </si>
  <si>
    <t>RAM with 1 node down. Full reservation (no overcommit).</t>
  </si>
  <si>
    <t>Note: Hyper-V supports vCPU overcommit (standard for AVD). Memory is NOT overcommitted — Hyper-V physically reserves full RAM per VM.</t>
  </si>
  <si>
    <t>No overcommit. Full core per vCPU.</t>
  </si>
  <si>
    <t>Conservative. 2 vCPU per core.</t>
  </si>
  <si>
    <t>Standard AVD. Task/office workers.</t>
  </si>
  <si>
    <t>Note: Hyper-V supports vCPU overcommit (standard for AVD). Memory is NOT overcommitted — full RAM reserved per VM.</t>
  </si>
  <si>
    <t>RAM (all nodes)</t>
  </si>
  <si>
    <t>N+1 vCPU (with overcommit)</t>
  </si>
  <si>
    <t>N+1 RAM (1 node down)</t>
  </si>
  <si>
    <t>Eff. vCPU</t>
  </si>
  <si>
    <t>vCPU Overcommit</t>
  </si>
  <si>
    <t>vCPU (all nodes, with overcommit)</t>
  </si>
  <si>
    <t>vCPU overcommit. 1:1 = no overcommit. 4:1 = standard.</t>
  </si>
  <si>
    <t>Effective AKS vCPU (with overcommit)</t>
  </si>
  <si>
    <t>Physical cores needed after vCPU overcommit.</t>
  </si>
  <si>
    <t>Effective Infra vCPU (with overcommit)</t>
  </si>
  <si>
    <t>Effective Dev/Test vCPU (with overcommit)</t>
  </si>
  <si>
    <t>TOTAL EFFECTIVE vCPU (with overcommit)</t>
  </si>
  <si>
    <t>Must be LESS than cluster vCPU (with overcommit applied).</t>
  </si>
  <si>
    <t>Hyper-V Best Practices</t>
  </si>
  <si>
    <t>Profile storage location</t>
  </si>
  <si>
    <t>S2D Volume (local)</t>
  </si>
  <si>
    <t>If profiles on external/cloud storage, footprint = 0 in pool.</t>
  </si>
  <si>
    <t>Value</t>
  </si>
  <si>
    <t>vCPU per session host</t>
  </si>
  <si>
    <t>RAM per session host (GB)</t>
  </si>
  <si>
    <t>Effective vCPU per host (after overcommit)</t>
  </si>
  <si>
    <t>Max Users Per Host</t>
  </si>
  <si>
    <t>CPU-limited</t>
  </si>
  <si>
    <t>RAM-limited</t>
  </si>
  <si>
    <t>Binding Constraint</t>
  </si>
  <si>
    <t>At your current settings</t>
  </si>
  <si>
    <t>Sensitivity: vCPU / User →</t>
  </si>
  <si>
    <t>Max users (CPU-limited)</t>
  </si>
  <si>
    <t>Effective max (lower of CPU/RAM)</t>
  </si>
  <si>
    <t>How many session hosts you need for your concurrent user target.</t>
  </si>
  <si>
    <t>Pool Planning</t>
  </si>
  <si>
    <t>Total registered users</t>
  </si>
  <si>
    <t>Concurrent users (peak)</t>
  </si>
  <si>
    <t>Concurrency ratio</t>
  </si>
  <si>
    <t>= concurrent ÷ registered</t>
  </si>
  <si>
    <t>Users per host (at your settings)</t>
  </si>
  <si>
    <t>Session hosts needed (concurrent)</t>
  </si>
  <si>
    <t>= ⌈ concurrent ÷ users/host ⌉</t>
  </si>
  <si>
    <t>+1 host for N+1 redundancy</t>
  </si>
  <si>
    <t>Best practice: N+1 per pool</t>
  </si>
  <si>
    <t>User Type</t>
  </si>
  <si>
    <t>Profile Size (GB)</t>
  </si>
  <si>
    <t>% of Users</t>
  </si>
  <si>
    <t>User Count</t>
  </si>
  <si>
    <t>Total (TB)</t>
  </si>
  <si>
    <t>Task Worker (Office web apps, basic)</t>
  </si>
  <si>
    <t>Knowledge Worker (full Office, Teams)</t>
  </si>
  <si>
    <t>Power User (CAD, dev tools, large cache)</t>
  </si>
  <si>
    <t>Mix total</t>
  </si>
  <si>
    <t>Weighted avg profile size (GB)</t>
  </si>
  <si>
    <t>Total profile storage (TB)</t>
  </si>
  <si>
    <t>Estimates peak network bandwidth for AVD sessions. Microsoft recommends 1.5 Mbps per single-monitor session, 3+ Mbps for multi-monitor.</t>
  </si>
  <si>
    <t>Bandwidth Planning</t>
  </si>
  <si>
    <t>Bandwidth per session (Mbps)</t>
  </si>
  <si>
    <t>← Adjust: 1.5 (single monitor) to 8+ (4K multi)</t>
  </si>
  <si>
    <t>Concurrent sessions</t>
  </si>
  <si>
    <t>Peak bandwidth needed (Mbps)</t>
  </si>
  <si>
    <t>Per-node bandwidth (Mbps)</t>
  </si>
  <si>
    <t>Component</t>
  </si>
  <si>
    <t>Your Value (GB)</t>
  </si>
  <si>
    <t>Typical Range</t>
  </si>
  <si>
    <t>OS disk (Windows + updates)</t>
  </si>
  <si>
    <t>80 – 127 GB</t>
  </si>
  <si>
    <t>Data disk (apps, temp, pagefile)</t>
  </si>
  <si>
    <t>0 – 100 GB</t>
  </si>
  <si>
    <t>Total per VM</t>
  </si>
  <si>
    <t>80 – 227 GB</t>
  </si>
  <si>
    <t>💡 Tip: Use VHDX deduplication or shared image galleries to reduce per-host OS footprint when running identical gold images.</t>
  </si>
  <si>
    <t>Detail</t>
  </si>
  <si>
    <t>Enough VMs for concurrent users?</t>
  </si>
  <si>
    <t>User mix % totals 100%?</t>
  </si>
  <si>
    <t>Profile storage location set?</t>
  </si>
  <si>
    <t>Network bandwidth per node &lt; 10 GbE?</t>
  </si>
  <si>
    <t>7. Compute Report</t>
  </si>
  <si>
    <t>10. Thin Provisioning</t>
  </si>
  <si>
    <t>11. References</t>
  </si>
  <si>
    <t>SOFS Planner — Separate File Server Cluster for FSLogix Profiles</t>
  </si>
  <si>
    <t>Sizes a dedicated SOFS cluster (separate from compute cluster) for hosting FSLogix profile containers via CA SMB shares backed by S2D.</t>
  </si>
  <si>
    <t>SOFS CLUSTER HARDWARE</t>
  </si>
  <si>
    <t>SOFS node count</t>
  </si>
  <si>
    <t>Minimum 2 nodes for SOFS + cloud witness. Microsoft supported production model.</t>
  </si>
  <si>
    <t>Drives per SOFS node</t>
  </si>
  <si>
    <t>NVMe or SSD recommended for FSLogix IOPS. Same count per node required.</t>
  </si>
  <si>
    <t>Drive capacity (each)</t>
  </si>
  <si>
    <t>Resiliency type</t>
  </si>
  <si>
    <t>Capacity efficiency factor</t>
  </si>
  <si>
    <t>S2D filesystem overhead. Default 92% (same as compute cluster).</t>
  </si>
  <si>
    <t>SOFS STORAGE POOL</t>
  </si>
  <si>
    <t>Total raw capacity</t>
  </si>
  <si>
    <t>Nodes × drives/node × drive size.</t>
  </si>
  <si>
    <t>Resiliency efficiency</t>
  </si>
  <si>
    <t>Data fraction after mirror/parity overhead.</t>
  </si>
  <si>
    <t>Usable capacity (after resiliency + overhead)</t>
  </si>
  <si>
    <t>Raw × resiliency efficiency × capacity efficiency factor.</t>
  </si>
  <si>
    <t>Drive reserve (largest drive capacity)</t>
  </si>
  <si>
    <t>S2D reserves capacity of largest drive for rebuild. Deducted from raw.</t>
  </si>
  <si>
    <t>Available for volumes</t>
  </si>
  <si>
    <t>Usable minus drive reserve. This is what you can allocate to FSLogix volumes.</t>
  </si>
  <si>
    <t>FSLOGIX PROFILE DEMAND</t>
  </si>
  <si>
    <t>Profile storage location (from WP)</t>
  </si>
  <si>
    <t>Linked from Workload Planner C17. SOFS tab relevant when NOT "S2D Volume (local)".</t>
  </si>
  <si>
    <t>Linked from Workload Planner.</t>
  </si>
  <si>
    <t>Profile size per user</t>
  </si>
  <si>
    <t>Growth buffer</t>
  </si>
  <si>
    <t>Profile logical demand</t>
  </si>
  <si>
    <t>Users × profile size × (1 + growth buffer) / 1024.</t>
  </si>
  <si>
    <t>Profile footprint on SOFS (after resiliency)</t>
  </si>
  <si>
    <t>Logical demand ÷ resiliency efficiency. This is the actual pool space consumed.</t>
  </si>
  <si>
    <t>Remaining SOFS capacity after profiles</t>
  </si>
  <si>
    <t>Available minus footprint. Negative = need more drives/nodes.</t>
  </si>
  <si>
    <t>Capacity utilization</t>
  </si>
  <si>
    <t>Keep under 80% for S2D performance headroom.</t>
  </si>
  <si>
    <t>IOPS ESTIMATE</t>
  </si>
  <si>
    <t>Steady-state IOPS per user</t>
  </si>
  <si>
    <t>IOPS</t>
  </si>
  <si>
    <t>Typical FSLogix steady state: ~10 IOPS per active session.</t>
  </si>
  <si>
    <t>Login/logoff storm IOPS per user</t>
  </si>
  <si>
    <t>Peak during login/logoff: ~50 IOPS per user (VHD mount/dismount).</t>
  </si>
  <si>
    <t>Concurrent users</t>
  </si>
  <si>
    <t>Login storm % (simultaneous logins)</t>
  </si>
  <si>
    <t>% of users logging in simultaneously during peak (e.g., 9 AM). 10-30% typical.</t>
  </si>
  <si>
    <t>Steady-state total IOPS</t>
  </si>
  <si>
    <t>Peak storm IOPS</t>
  </si>
  <si>
    <t>Steady users × steady IOPS + storm users × storm IOPS. Plan storage to handle this.</t>
  </si>
  <si>
    <t>SOFS READINESS CHECKLIST</t>
  </si>
  <si>
    <t>Capacity: SOFS can hold all profiles?</t>
  </si>
  <si>
    <t>Available capacity &gt;= profile footprint.</t>
  </si>
  <si>
    <t>Utilization: Under 80% threshold?</t>
  </si>
  <si>
    <t>S2D performance degrades above 80% utilization.</t>
  </si>
  <si>
    <t>Node count: Matches resiliency type?</t>
  </si>
  <si>
    <t>2-Way Mirror = 2+ nodes, 3-Way Mirror = 3+ nodes.</t>
  </si>
  <si>
    <t>Separate cluster: Not sharing with VM compute?</t>
  </si>
  <si>
    <t>MS does not support SOFS + VM workloads on same cluster for production.</t>
  </si>
  <si>
    <t>IMPORTANT NOTES</t>
  </si>
  <si>
    <t>⚠️ Microsoft does NOT support running SOFS and VM workloads on the same Azure Local cluster for production.</t>
  </si>
  <si>
    <t>✅ Supported: Dedicated SOFS cluster (2+ nodes) with its own S2D pool, serving CA SMB shares for FSLogix profiles.</t>
  </si>
  <si>
    <t>ℹ️ SOFS exposes continuously available (CA) SMB shares — node failovers are transparent to FSLogix sessions.</t>
  </si>
  <si>
    <t>ℹ️ FSLogix profile containers default to 30 GB max per VHD(X). Use Redirections.xml to exclude caches (Teams, browser) and keep profiles lean.</t>
  </si>
  <si>
    <t>ℹ️ For alternative storage options (Azure Files, ANF, NAS), set the profile storage location in Workload Planner and this tab becomes informational.</t>
  </si>
  <si>
    <t>Scale-Out File Server (SOFS)</t>
  </si>
  <si>
    <t>https://learn.microsoft.com/en-us/windows-server/failover-clustering/sofs-overview</t>
  </si>
  <si>
    <t>FSLogix Configuration</t>
  </si>
  <si>
    <t>https://learn.microsoft.com/en-us/fslogix/concepts-configuration-examples</t>
  </si>
  <si>
    <t>AVD PLANNING — SINGLE SOURCE FOR ALL AVD CONFIGURATION</t>
  </si>
  <si>
    <t>All AVD inputs are entered here. Workload Planner, Compute Report, Final Report, Volume Detail, and SOFS Planner all pull from this tab.</t>
  </si>
  <si>
    <t>SECTION 1: AVD SCENARIO INPUTS</t>
  </si>
  <si>
    <t>Set to No to skip AVD entirely. All downstream tabs respect this flag.</t>
  </si>
  <si>
    <t>S2D = local cluster volume. SOFS = dedicated file server (see SOFS Planner). External/Azure = 0 pool footprint.</t>
  </si>
  <si>
    <t>Peak concurrent sessions.</t>
  </si>
  <si>
    <t>Start at 5 GB if unknown. Measure after 30 days. See Section 3 estimator below.</t>
  </si>
  <si>
    <t>AVD TOTAL STORAGE FOOTPRINT</t>
  </si>
  <si>
    <t>SECTION 2: SESSION HOST DENSITY MATRIX</t>
  </si>
  <si>
    <t>Shows maximum users per host at different vCPU/user ratios, using your inputs above.</t>
  </si>
  <si>
    <t>Max users (RAM-limited @ your RAM/user)</t>
  </si>
  <si>
    <t>SECTION 3: HOST POOL SCALE-OUT</t>
  </si>
  <si>
    <t>From inputs above</t>
  </si>
  <si>
    <t>From Section 2 matrix</t>
  </si>
  <si>
    <t>Matches configured VM count?</t>
  </si>
  <si>
    <t>vs configured VMs (C9)</t>
  </si>
  <si>
    <t>SECTION 4: FSLOGIX PROFILE STORAGE ESTIMATOR</t>
  </si>
  <si>
    <t>Estimates total profile volume size based on user type mix. Adjust the mix to model your environment. Compare with your input in Section 1 (C20).</t>
  </si>
  <si>
    <t>Profile volume comparison</t>
  </si>
  <si>
    <t>This estimator</t>
  </si>
  <si>
    <t>Your input (C20)</t>
  </si>
  <si>
    <t>SECTION 5: NETWORK BANDWIDTH ESTIMATOR</t>
  </si>
  <si>
    <t>SECTION 6: GOLD IMAGE SIZING REFERENCE</t>
  </si>
  <si>
    <t>Typical OS disk sizes for session hosts. Your values are set in Section 1 above.</t>
  </si>
  <si>
    <t>SECTION 7: AVD READINESS CHECKLIST</t>
  </si>
  <si>
    <t>Automated checks against your inputs and Hardware Inputs settings.</t>
  </si>
  <si>
    <t>Weighted profile size ≈ input setting?</t>
  </si>
  <si>
    <t>vCPU fit (all nodes, with overcommit)?</t>
  </si>
  <si>
    <t>RAM fit (all nodes)?</t>
  </si>
  <si>
    <t>➡ All AVD inputs have moved to the AVD Planning tab.</t>
  </si>
  <si>
    <t>Profile size per user (GB)</t>
  </si>
  <si>
    <t xml:space="preserve">  AVD Compute Summary</t>
  </si>
  <si>
    <t>Session hosts needed</t>
  </si>
  <si>
    <t>Linked from AVD Planning tab.</t>
  </si>
  <si>
    <t>Click AVD Planning tab for all session host, profile, and compute inputs.</t>
  </si>
  <si>
    <t xml:space="preserve">  FSLogix Profiles — Summary</t>
  </si>
  <si>
    <t>SINGLE SOURCE FOR ALL AVD. Enter ALL session host, profile, and compute settings here. Density matrix, host pool scale-out, FSLogix profile estimator, network bandwidth, gold image sizing, readiness checklist. All downstream tabs pull from this tab.</t>
  </si>
  <si>
    <t>Go to 'Workload Planner'. Choose your scenarios: AKS, Infrastructure VMs, Dev/Test, Backup, or Custom. For AVD, go to the 'AVD Planning' tab — all AVD inputs live there. Running counter shows remaining capacity.</t>
  </si>
  <si>
    <t>CELL PROTECTION OVERRIDES</t>
  </si>
  <si>
    <t>⚠️ You accept all risk when unlocking.</t>
  </si>
  <si>
    <t>12. Advanced Settings</t>
  </si>
  <si>
    <t>⚠️ All formula cells on input tabs are PERMANENTLY LOCKED. If you need to override a calculated value, enter it below. The override value feeds into the system in place of the formula.</t>
  </si>
  <si>
    <t>HOW TO USE: Enter an override value in column D. Leave blank to use the normal formula. The "Active Value" column shows what the system is currently using.</t>
  </si>
  <si>
    <t>HARDWARE INPUTS — Calculated Fields</t>
  </si>
  <si>
    <t>Current Value</t>
  </si>
  <si>
    <t>Override (leave blank = use formula)</t>
  </si>
  <si>
    <t>Active Value</t>
  </si>
  <si>
    <t>Total Raw Capacity (TB)</t>
  </si>
  <si>
    <t>Total Usable Pool Before Reserve (TB)</t>
  </si>
  <si>
    <t>Reserve (TB)</t>
  </si>
  <si>
    <t>Available Capacity for Volumes (TB)</t>
  </si>
  <si>
    <t>Total Cluster Usable RAM (GB)</t>
  </si>
  <si>
    <t>N+1 Available vCPU</t>
  </si>
  <si>
    <t>N+1 Available RAM (GB)</t>
  </si>
  <si>
    <t>AVD PLANNING — Calculated Fields</t>
  </si>
  <si>
    <t>Override</t>
  </si>
  <si>
    <t>Session host volume logical (TB)</t>
  </si>
  <si>
    <t>Session host footprint in pool (TB)</t>
  </si>
  <si>
    <t>Profile volume logical (TB)</t>
  </si>
  <si>
    <t>Profile footprint in pool (TB)</t>
  </si>
  <si>
    <t>AVD total storage footprint (TB)</t>
  </si>
  <si>
    <t>SOFS VM Volumes — Footprint</t>
  </si>
  <si>
    <t>TO DO — REMAINING TASKS</t>
  </si>
  <si>
    <t>#</t>
  </si>
  <si>
    <t>Task Description</t>
  </si>
  <si>
    <t>Linked To / Dependencies</t>
  </si>
  <si>
    <t>WORKLOAD AND STORAGE CALCULATOR — Azure Local</t>
  </si>
  <si>
    <t>WORKLOAD AND STORAGE CALCULATOR — HOW TO USE</t>
  </si>
  <si>
    <t>DONE</t>
  </si>
  <si>
    <t>Linked from AVD Planning C22. Change profile resiliency there.</t>
  </si>
  <si>
    <t>Profile container type</t>
  </si>
  <si>
    <t>Single</t>
  </si>
  <si>
    <t>SOFS volume resiliency on main cluster</t>
  </si>
  <si>
    <t>Resiliency for the SOFS VM storage volumes on the Azure Local compute cluster. Independent from SOFS internal resiliency.</t>
  </si>
  <si>
    <t>QUESTIONS &amp; ANSWERS LOG</t>
  </si>
  <si>
    <t>Question</t>
  </si>
  <si>
    <t>Answer</t>
  </si>
  <si>
    <t>Single = 1 VHD per user (profile+Office combined). Split = 3 VHDs per user (profile + Office/ODFC + other). Split triples IOPS and volume count.</t>
  </si>
  <si>
    <t>Auto-calculated from profile demand. Drive size = pool needed ÷ (nodes × drives × resiliency eff × cap eff - 1 drive reserve).</t>
  </si>
  <si>
    <t>WORKLOAD PLANNER — Scenario Footprints</t>
  </si>
  <si>
    <t>S1: AVD total footprint (TB)</t>
  </si>
  <si>
    <t>S2: AKS total footprint (TB)</t>
  </si>
  <si>
    <t>S3: Infra total footprint (TB)</t>
  </si>
  <si>
    <t>S4: Dev/Test total footprint (TB)</t>
  </si>
  <si>
    <t>S5: Backup/Archive total footprint (TB)</t>
  </si>
  <si>
    <t>S6: Custom total footprint (TB)</t>
  </si>
  <si>
    <t>SOFS VM volumes footprint (TB)</t>
  </si>
  <si>
    <t>Total physical footprint (TB)</t>
  </si>
  <si>
    <t>Remaining pool capacity (TB)</t>
  </si>
  <si>
    <t>Pool utilization (%)</t>
  </si>
  <si>
    <t>SOFS PLANNER — Calculated Fields</t>
  </si>
  <si>
    <t>Drive capacity auto-calc (TB)</t>
  </si>
  <si>
    <t>Total raw capacity (TB)</t>
  </si>
  <si>
    <t>Usable capacity (TB)</t>
  </si>
  <si>
    <t>Available for volumes (TB)</t>
  </si>
  <si>
    <t>Profile logical demand (TB)</t>
  </si>
  <si>
    <t>Profile footprint on SOFS (TB)</t>
  </si>
  <si>
    <t>SOFS VM COMPUTE (on main cluster)</t>
  </si>
  <si>
    <t>vCPU per SOFS VM</t>
  </si>
  <si>
    <t>Typical SOFS VM: 4-8 vCPU. Depends on concurrent SMB sessions.</t>
  </si>
  <si>
    <t>RAM per SOFS VM</t>
  </si>
  <si>
    <t>Typical SOFS VM: 8-16 GB. More for large concurrent profile mounts.</t>
  </si>
  <si>
    <t>SOFS VM count</t>
  </si>
  <si>
    <t>Equals SOFS node count. Each node = 1 VM on the Azure Local cluster.</t>
  </si>
  <si>
    <t>Total SOFS vCPU demand</t>
  </si>
  <si>
    <t>Total vCPU consumed on main cluster by SOFS VMs.</t>
  </si>
  <si>
    <t>Total SOFS RAM demand</t>
  </si>
  <si>
    <t>Total RAM consumed on main cluster by SOFS VMs.</t>
  </si>
  <si>
    <t>SOFS VMs</t>
  </si>
  <si>
    <t>Enabled</t>
  </si>
  <si>
    <t>SOFS VM Volumes</t>
  </si>
  <si>
    <t>2. Workload Planner</t>
  </si>
  <si>
    <t>3. AVD Planning</t>
  </si>
  <si>
    <t>4. SOFS Planner</t>
  </si>
  <si>
    <t>5. Volume Detail</t>
  </si>
  <si>
    <t>8. Final Report</t>
  </si>
  <si>
    <t>9. Drive Layout Comparison</t>
  </si>
  <si>
    <t>SEPARATE SOFS CLUSTER SIZING. Hardware inputs, S2D pool calculation, FSLogix demand linked from Workload Planner (which pulls from AVD Planning), IOPS estimates, SOFS VM compute demand, readiness checklist. Use when profile storage is on a dedicated file server cluster.</t>
  </si>
  <si>
    <t>PER-VOLUME TABLE. Name, resiliency, efficiency, logical size, footprint, usable capacity. PASS/FAIL check. Includes SOFS VM volumes.</t>
  </si>
  <si>
    <t>COMPUTE ANALYSIS. CPU and RAM capacity vs demand by scenario (including SOFS VMs). N+1 failover analysis, session host sizing, vCPU overcommit sensitivity table. All formula-linked to Hardware Inputs and Workload Planner.</t>
  </si>
  <si>
    <t>ONE-PAGE SUMMARY. Hardware config, capacity allocation, scenario breakdown, volume creation table (TB + TiB), PowerShell commands, drive layout insight, compute analysis, best practice checks. All formula-linked — prints or shares as a snapshot.</t>
  </si>
  <si>
    <t>DOCUMENTATION LINKS. Microsoft Learn pages covering S2D, Azure Local, compute sizing, AVD, AKS, SOFS, and FSLogix topics.</t>
  </si>
  <si>
    <t>ADMIN ONLY. Capacity efficiency factor, infrastructure volume size, TB-to-TiB reference table. Override section for Workload Planner and SOFS Planner calculated fields. Also contains the CELL PROTECTION OVERRIDE switch.</t>
  </si>
  <si>
    <t>S1: AVD — vCPU demand</t>
  </si>
  <si>
    <t>Eff. vCPU (with overcommit) | RAM (GB)</t>
  </si>
  <si>
    <t>S2: AKS — vCPU demand</t>
  </si>
  <si>
    <t>S3: Infrastructure — vCPU demand</t>
  </si>
  <si>
    <t>S4: Dev/Test — vCPU demand</t>
  </si>
  <si>
    <t>SOFS VMs — vCPU demand</t>
  </si>
  <si>
    <t>1:1 overcommit — SOFS VMs are not overcommitted</t>
  </si>
  <si>
    <t>Raw vCPU</t>
  </si>
  <si>
    <t>TOTAL RAM DEMAND</t>
  </si>
  <si>
    <t>Must be LESS than cluster RAM.</t>
  </si>
  <si>
    <t>vCPU OVERCOMMIT SENSITIVITY (ALL SCENARIOS)</t>
  </si>
  <si>
    <t>AVD Eff. vCPU</t>
  </si>
  <si>
    <t>Total Eff. vCPU</t>
  </si>
  <si>
    <t>Fit (All)</t>
  </si>
  <si>
    <t>WHERE YOU PLAN VOLUMES. Scenario-based: AVD summary (linked from AVD Planning), AKS (clusters + worker nodes + PVs + data services), Infrastructure VMs, Dev/Test, Backup/Archive, Custom. Enable/disable each scenario. Running capacity counter. Compute summary tracks vCPU AND RAM demand per scenario with N+1 failover checks. Overcommit sensitivity table covers all scenarios.</t>
  </si>
  <si>
    <t>vCPU Overcommit Sensitivity (All Scenarios)</t>
  </si>
  <si>
    <t>Drives per node used for CAPACITY. Min 4 drives or more recommended</t>
  </si>
  <si>
    <t>SECTION 1: SOFS SCENARIO INPUTS</t>
  </si>
  <si>
    <t>Enable SOFS scenario?</t>
  </si>
  <si>
    <t>Set to No to skip SOFS entirely. All downstream tabs respect this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</si>
</sst>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quot; TB available from your cluster&quot;"/>
    <numFmt numFmtId="165" formatCode="0.0%"/>
    <numFmt numFmtId="166" formatCode="\+0.00&quot; TB&quot;;\-0.00&quot; TB&quot;;&quot;—&quot;"/>
    <numFmt numFmtId="167" formatCode="0.0"/>
    <numFmt numFmtId="168" formatCode="0.00&quot; TB&quot;"/>
  </numFmts>
  <fonts count="96" x14ac:knownFonts="1">
    <font>
      <sz val="11"/>
      <color theme="1"/>
      <name val="Calibri"/>
      <family val="2"/>
      <charset val="1"/>
    </font>
    <font>
      <b/>
      <sz val="14"/>
      <color rgb="FFFFFFFF"/>
      <name val="Arial"/>
      <charset val="1"/>
    </font>
    <font>
      <b/>
      <sz val="10"/>
      <color rgb="FFFFFFFF"/>
      <name val="Arial"/>
      <charset val="1"/>
    </font>
    <font>
      <sz val="10"/>
      <name val="Arial"/>
      <charset val="1"/>
    </font>
    <font>
      <b/>
      <sz val="13"/>
      <color rgb="FFFFFFFF"/>
      <name val="Arial"/>
      <charset val="1"/>
    </font>
    <font>
      <b/>
      <sz val="12"/>
      <color rgb="FF2E7D32"/>
      <name val="Arial"/>
      <charset val="1"/>
    </font>
    <font>
      <b/>
      <sz val="11"/>
      <color rgb="FF0000FF"/>
      <name val="Arial"/>
      <charset val="1"/>
    </font>
    <font>
      <b/>
      <sz val="11"/>
      <color rgb="FF1B3A5C"/>
      <name val="Arial"/>
      <charset val="1"/>
    </font>
    <font>
      <b/>
      <sz val="11"/>
      <color rgb="FFC62828"/>
      <name val="Arial"/>
      <charset val="1"/>
    </font>
    <font>
      <b/>
      <sz val="11"/>
      <color rgb="FFE65100"/>
      <name val="Arial"/>
      <charset val="1"/>
    </font>
    <font>
      <b/>
      <sz val="10"/>
      <name val="Arial"/>
      <charset val="1"/>
    </font>
    <font>
      <i/>
      <sz val="9"/>
      <color rgb="FF888888"/>
      <name val="Arial"/>
      <charset val="1"/>
    </font>
    <font>
      <b/>
      <sz val="10"/>
      <color rgb="FF0000FF"/>
      <name val="Arial"/>
      <charset val="1"/>
    </font>
    <font>
      <b/>
      <sz val="16"/>
      <color rgb="FF2E7D32"/>
      <name val="Arial"/>
      <charset val="1"/>
    </font>
    <font>
      <b/>
      <sz val="11"/>
      <color rgb="FFFFFFFF"/>
      <name val="Arial"/>
      <charset val="1"/>
    </font>
    <font>
      <u/>
      <sz val="9"/>
      <color rgb="FF0563C1"/>
      <name val="Arial"/>
      <charset val="1"/>
    </font>
    <font>
      <b/>
      <sz val="14"/>
      <color rgb="FFFFFFFF"/>
      <name val="Arial"/>
    </font>
    <font>
      <b/>
      <sz val="10"/>
      <color rgb="FFFFFFFF"/>
      <name val="Arial"/>
    </font>
    <font>
      <sz val="10"/>
      <color theme="1"/>
      <name val="Arial"/>
    </font>
    <font>
      <b/>
      <sz val="10"/>
      <color theme="1"/>
      <name val="Arial"/>
    </font>
    <font>
      <b/>
      <sz val="11"/>
      <color rgb="FF1B3A5C"/>
      <name val="Arial"/>
    </font>
    <font>
      <i/>
      <sz val="9"/>
      <color rgb="FF888888"/>
      <name val="Arial"/>
    </font>
    <font>
      <b/>
      <sz val="11"/>
      <color rgb="FF2E7D32"/>
      <name val="Arial"/>
    </font>
    <font>
      <b/>
      <sz val="11"/>
      <color rgb="FFE65100"/>
      <name val="Arial"/>
    </font>
    <font>
      <b/>
      <sz val="14"/>
      <color rgb="FF2E7D32"/>
      <name val="Arial"/>
    </font>
    <font>
      <b/>
      <sz val="10"/>
      <color rgb="FF2E7D32"/>
      <name val="Arial"/>
    </font>
    <font>
      <sz val="10"/>
      <color rgb="FF1B3A5C"/>
      <name val="Arial"/>
    </font>
    <font>
      <b/>
      <sz val="10"/>
      <color rgb="FF1B3A5C"/>
      <name val="Arial"/>
    </font>
    <font>
      <b/>
      <sz val="10"/>
      <color rgb="FF00695C"/>
      <name val="Arial"/>
    </font>
    <font>
      <sz val="10"/>
      <color rgb="FF000000"/>
      <name val="Arial"/>
    </font>
    <font>
      <b/>
      <sz val="9"/>
      <color rgb="FFFFFFFF"/>
      <name val="Arial"/>
    </font>
    <font>
      <b/>
      <sz val="12"/>
      <color rgb="FF2E7D32"/>
      <name val="Arial"/>
    </font>
    <font>
      <b/>
      <sz val="16"/>
      <color rgb="FF2E7D32"/>
      <name val="Arial"/>
    </font>
    <font>
      <b/>
      <sz val="10"/>
      <color rgb="FF0000FF"/>
      <name val="Arial"/>
    </font>
    <font>
      <b/>
      <sz val="11"/>
      <color rgb="FF0000FF"/>
      <name val="Arial"/>
    </font>
    <font>
      <b/>
      <sz val="11"/>
      <color rgb="FFC62828"/>
      <name val="Arial"/>
    </font>
    <font>
      <b/>
      <sz val="12"/>
      <color rgb="FF1B3A5C"/>
      <name val="Arial"/>
    </font>
    <font>
      <b/>
      <sz val="12"/>
      <color rgb="FFC62828"/>
      <name val="Arial"/>
    </font>
    <font>
      <b/>
      <sz val="11"/>
      <color rgb="FFFFFFFF"/>
      <name val="Arial"/>
    </font>
    <font>
      <b/>
      <sz val="11"/>
      <color theme="1"/>
      <name val="Arial"/>
    </font>
    <font>
      <sz val="10"/>
      <color rgb="FFC62828"/>
      <name val="Arial"/>
    </font>
    <font>
      <b/>
      <sz val="10"/>
      <color rgb="FF000000"/>
      <name val="Arial"/>
    </font>
    <font>
      <b/>
      <sz val="14"/>
      <color rgb="FFFFFFFF"/>
      <name val="Calibri"/>
      <family val="2"/>
      <charset val="1"/>
    </font>
    <font>
      <i/>
      <sz val="9"/>
      <color rgb="FF666666"/>
      <name val="Calibri"/>
      <family val="2"/>
      <charset val="1"/>
    </font>
    <font>
      <b/>
      <sz val="11"/>
      <color rgb="FFFFFFFF"/>
      <name val="Calibri"/>
      <family val="2"/>
      <charset val="1"/>
    </font>
    <font>
      <i/>
      <sz val="9"/>
      <color rgb="FF888888"/>
      <name val="Calibri"/>
      <family val="2"/>
      <charset val="1"/>
    </font>
    <font>
      <b/>
      <sz val="10"/>
      <color rgb="FF375623"/>
      <name val="Arial"/>
    </font>
    <font>
      <i/>
      <sz val="9"/>
      <color rgb="FF555555"/>
      <name val="Calibri"/>
      <family val="2"/>
      <charset val="1"/>
    </font>
    <font>
      <b/>
      <sz val="9"/>
      <color theme="1"/>
      <name val="Arial"/>
    </font>
    <font>
      <b/>
      <sz val="10"/>
      <color rgb="FF1B3A5C"/>
      <name val="Calibri"/>
      <family val="2"/>
      <charset val="1"/>
    </font>
    <font>
      <b/>
      <sz val="10"/>
      <color rgb="FF2C5F8A"/>
      <name val="Arial"/>
    </font>
    <font>
      <b/>
      <i/>
      <sz val="10"/>
      <color rgb="FF888888"/>
      <name val="Arial"/>
    </font>
    <font>
      <b/>
      <sz val="10"/>
      <color rgb="FFFFFFFF"/>
      <name val="Calibri"/>
      <family val="2"/>
      <charset val="1"/>
    </font>
    <font>
      <i/>
      <sz val="9"/>
      <color rgb="FFD4D4D4"/>
      <name val="Consolas"/>
    </font>
    <font>
      <sz val="11"/>
      <color rgb="FF000000"/>
      <name val="Calibri"/>
      <family val="2"/>
      <charset val="1"/>
    </font>
    <font>
      <b/>
      <i/>
      <sz val="9"/>
      <color rgb="FF888888"/>
      <name val="Arial"/>
    </font>
    <font>
      <sz val="10"/>
      <color rgb="FF2E7D32"/>
      <name val="Arial"/>
    </font>
    <font>
      <b/>
      <sz val="11"/>
      <color rgb="FF000000"/>
      <name val="Arial"/>
    </font>
    <font>
      <sz val="11"/>
      <color rgb="FF000000"/>
      <name val="Arial"/>
    </font>
    <font>
      <i/>
      <sz val="11"/>
      <color rgb="FF000000"/>
      <name val="Arial"/>
    </font>
    <font>
      <b/>
      <sz val="10"/>
      <color rgb="FFC62828"/>
      <name val="Arial"/>
    </font>
    <font>
      <b/>
      <sz val="11"/>
      <color rgb="FF00695C"/>
      <name val="Arial"/>
    </font>
    <font>
      <b/>
      <sz val="11"/>
      <color rgb="FFFFFFFF"/>
      <name val="Calibri"/>
    </font>
    <font>
      <sz val="10"/>
      <color rgb="FF00695C"/>
      <name val="Arial"/>
    </font>
    <font>
      <b/>
      <sz val="12"/>
      <color rgb="FF00695C"/>
      <name val="Arial"/>
    </font>
    <font>
      <b/>
      <sz val="18"/>
      <color rgb="FF2E7D32"/>
      <name val="Arial"/>
    </font>
    <font>
      <b/>
      <sz val="14"/>
      <color rgb="FFC62828"/>
      <name val="Arial"/>
    </font>
    <font>
      <b/>
      <sz val="14"/>
      <color rgb="FF1B3A5C"/>
      <name val="Arial"/>
    </font>
    <font>
      <i/>
      <sz val="9"/>
      <color rgb="FF666666"/>
      <name val="Calibri"/>
    </font>
    <font>
      <u/>
      <sz val="9"/>
      <color rgb="FF0563C1"/>
      <name val="Arial"/>
    </font>
    <font>
      <b/>
      <i/>
      <sz val="10"/>
      <color rgb="FFFFFFFF"/>
      <name val="Arial"/>
    </font>
    <font>
      <sz val="10"/>
      <color rgb="FF888888"/>
      <name val="Arial"/>
    </font>
    <font>
      <sz val="9"/>
      <color rgb="FF888888"/>
      <name val="Arial"/>
    </font>
    <font>
      <i/>
      <sz val="9"/>
      <color rgb="FF1B3A5C"/>
      <name val="Arial"/>
    </font>
    <font>
      <b/>
      <i/>
      <sz val="10"/>
      <color rgb="FF1B3A5C"/>
      <name val="Arial"/>
    </font>
    <font>
      <sz val="10"/>
      <color rgb="FFE65100"/>
      <name val="Arial"/>
    </font>
    <font>
      <i/>
      <sz val="9"/>
      <color rgb="FFE65100"/>
      <name val="Arial"/>
    </font>
    <font>
      <sz val="10"/>
      <color rgb="FF0000FF"/>
      <name val="Arial"/>
    </font>
    <font>
      <sz val="9"/>
      <color rgb="FF1B3A5C"/>
      <name val="Arial"/>
    </font>
    <font>
      <b/>
      <sz val="9"/>
      <color rgb="FF1B3A5C"/>
      <name val="Arial"/>
    </font>
    <font>
      <i/>
      <sz val="9"/>
      <color rgb="FF666666"/>
      <name val="Arial"/>
    </font>
    <font>
      <b/>
      <sz val="10"/>
      <color rgb="FFE65100"/>
      <name val="Arial"/>
    </font>
    <font>
      <b/>
      <sz val="9"/>
      <color rgb="FFC62828"/>
      <name val="Arial"/>
    </font>
    <font>
      <b/>
      <i/>
      <sz val="9"/>
      <color rgb="FFC62828"/>
      <name val="Arial"/>
    </font>
    <font>
      <sz val="9"/>
      <color rgb="FF000000"/>
      <name val="Arial"/>
    </font>
    <font>
      <sz val="9"/>
      <color rgb="FF0000FF"/>
      <name val="Arial"/>
    </font>
    <font>
      <b/>
      <sz val="9"/>
      <color rgb="FF000000"/>
      <name val="Arial"/>
    </font>
    <font>
      <i/>
      <sz val="9"/>
      <color rgb="FF000000"/>
      <name val="Arial"/>
    </font>
    <font>
      <b/>
      <sz val="10"/>
      <color rgb="FF2E7D32"/>
      <name val="Arial"/>
      <family val="2"/>
    </font>
    <font>
      <b/>
      <sz val="10"/>
      <color rgb="FF1B3A5C"/>
      <name val="Arial"/>
      <family val="2"/>
    </font>
    <font>
      <sz val="10"/>
      <color theme="1"/>
      <name val="Arial"/>
      <family val="2"/>
    </font>
    <font>
      <sz val="9"/>
      <color rgb="FF1B3A5C"/>
      <name val="Calibri"/>
      <family val="2"/>
      <charset val="1"/>
    </font>
    <font>
      <sz val="9"/>
      <color rgb="FF0000FF"/>
      <name val="Calibri"/>
      <family val="2"/>
      <charset val="1"/>
    </font>
    <font>
      <b/>
      <sz val="9"/>
      <color rgb="FF1B3A5C"/>
      <name val="Calibri"/>
      <family val="2"/>
      <charset val="1"/>
    </font>
    <font>
      <sz val="10"/>
      <color rgb="FF006100"/>
      <name val="Arial"/>
    </font>
    <font>
      <b/>
      <i/>
      <sz val="10"/>
      <color rgb="FF000000"/>
      <name val="Arial"/>
    </font>
  </fonts>
  <fills count="31">
    <fill>
      <patternFill patternType="none"/>
    </fill>
    <fill>
      <patternFill patternType="gray125"/>
    </fill>
    <fill>
      <patternFill patternType="solid">
        <fgColor rgb="FF1B3A5C"/>
        <bgColor rgb="FF333333"/>
      </patternFill>
    </fill>
    <fill>
      <patternFill patternType="solid">
        <fgColor rgb="FF2C5F8A"/>
        <bgColor rgb="FF1565C0"/>
      </patternFill>
    </fill>
    <fill>
      <patternFill patternType="solid">
        <fgColor rgb="FF2E7D32"/>
        <bgColor rgb="FF008000"/>
      </patternFill>
    </fill>
    <fill>
      <patternFill patternType="solid">
        <fgColor rgb="FFE8F5E9"/>
        <bgColor rgb="FFF2F2F2"/>
      </patternFill>
    </fill>
    <fill>
      <patternFill patternType="solid">
        <fgColor rgb="FFD6E4F0"/>
        <bgColor rgb="FFE8F5E9"/>
      </patternFill>
    </fill>
    <fill>
      <patternFill patternType="solid">
        <fgColor rgb="FFFFF2CC"/>
        <bgColor rgb="FFFFF3E0"/>
      </patternFill>
    </fill>
    <fill>
      <patternFill patternType="solid">
        <fgColor rgb="FFFCE4EC"/>
        <bgColor rgb="FFF2F2F2"/>
      </patternFill>
    </fill>
    <fill>
      <patternFill patternType="solid">
        <fgColor rgb="FFFFF3E0"/>
        <bgColor rgb="FFFFF2CC"/>
      </patternFill>
    </fill>
    <fill>
      <patternFill patternType="solid">
        <fgColor rgb="FFF2F2F2"/>
        <bgColor rgb="FFE8F5E9"/>
      </patternFill>
    </fill>
    <fill>
      <patternFill patternType="solid">
        <fgColor rgb="FFB71C1C"/>
        <bgColor rgb="FFC62828"/>
      </patternFill>
    </fill>
    <fill>
      <patternFill patternType="solid">
        <fgColor rgb="FF1B3A5C"/>
        <bgColor indexed="64"/>
      </patternFill>
    </fill>
    <fill>
      <patternFill patternType="solid">
        <fgColor rgb="FF2C5F8A"/>
        <bgColor indexed="64"/>
      </patternFill>
    </fill>
    <fill>
      <patternFill patternType="solid">
        <fgColor rgb="FFF2F2F2"/>
        <bgColor indexed="64"/>
      </patternFill>
    </fill>
    <fill>
      <patternFill patternType="solid">
        <fgColor rgb="FFD6E4F0"/>
        <bgColor indexed="64"/>
      </patternFill>
    </fill>
    <fill>
      <patternFill patternType="solid">
        <fgColor rgb="FFE8F5E9"/>
        <bgColor indexed="64"/>
      </patternFill>
    </fill>
    <fill>
      <patternFill patternType="solid">
        <fgColor rgb="FFFFFFFF"/>
        <bgColor indexed="64"/>
      </patternFill>
    </fill>
    <fill>
      <patternFill patternType="solid">
        <fgColor rgb="FF00695C"/>
        <bgColor indexed="64"/>
      </patternFill>
    </fill>
    <fill>
      <patternFill patternType="solid">
        <fgColor rgb="FFFFF2CC"/>
        <bgColor indexed="64"/>
      </patternFill>
    </fill>
    <fill>
      <patternFill patternType="solid">
        <fgColor rgb="FFFCE4EC"/>
        <bgColor indexed="64"/>
      </patternFill>
    </fill>
    <fill>
      <patternFill patternType="solid">
        <fgColor rgb="FF4472C4"/>
        <bgColor indexed="64"/>
      </patternFill>
    </fill>
    <fill>
      <patternFill patternType="solid">
        <fgColor rgb="FFF2F7FB"/>
        <bgColor indexed="64"/>
      </patternFill>
    </fill>
    <fill>
      <patternFill patternType="solid">
        <fgColor rgb="FFE2EFDA"/>
        <bgColor indexed="64"/>
      </patternFill>
    </fill>
    <fill>
      <patternFill patternType="solid">
        <fgColor rgb="FFE8EEF4"/>
        <bgColor indexed="64"/>
      </patternFill>
    </fill>
    <fill>
      <patternFill patternType="solid">
        <fgColor rgb="FF1E1E1E"/>
        <bgColor indexed="64"/>
      </patternFill>
    </fill>
    <fill>
      <patternFill patternType="solid">
        <fgColor rgb="FFFFF3E0"/>
        <bgColor indexed="64"/>
      </patternFill>
    </fill>
    <fill>
      <patternFill patternType="solid">
        <fgColor rgb="FFE0F2F1"/>
        <bgColor indexed="64"/>
      </patternFill>
    </fill>
    <fill>
      <patternFill patternType="solid">
        <fgColor rgb="FF3A5F8A"/>
        <bgColor indexed="64"/>
      </patternFill>
    </fill>
    <fill>
      <patternFill patternType="solid">
        <fgColor rgb="FFC62828"/>
        <bgColor indexed="64"/>
      </patternFill>
    </fill>
    <fill>
      <patternFill patternType="solid">
        <fgColor rgb="FFC6EFCE"/>
        <bgColor indexed="64"/>
      </patternFill>
    </fill>
  </fills>
  <borders count="22">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right/>
      <top style="thin">
        <color rgb="FFCCCCCC"/>
      </top>
      <bottom style="thin">
        <color rgb="FFCCCCCC"/>
      </bottom>
      <diagonal/>
    </border>
    <border>
      <left/>
      <right/>
      <top style="thin">
        <color rgb="FFCCCCCC"/>
      </top>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right/>
      <top style="medium">
        <color rgb="FF1B3A5C"/>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style="thin">
        <color rgb="FFCCCCCC"/>
      </left>
      <right/>
      <top/>
      <bottom/>
      <diagonal/>
    </border>
    <border>
      <left style="thin">
        <color rgb="FFCCCCCC"/>
      </left>
      <right style="thin">
        <color rgb="FFCCCCCC"/>
      </right>
      <top/>
      <bottom/>
      <diagonal/>
    </border>
    <border>
      <left style="thin">
        <color rgb="FFCCCCCC"/>
      </left>
      <right style="thin">
        <color rgb="FFCCCCCC"/>
      </right>
      <top style="medium">
        <color rgb="FF1B3A5C"/>
      </top>
      <bottom style="thin">
        <color rgb="FFCCCCCC"/>
      </bottom>
      <diagonal/>
    </border>
    <border>
      <left/>
      <right style="thin">
        <color rgb="FFCCCCCC"/>
      </right>
      <top/>
      <bottom/>
      <diagonal/>
    </border>
    <border>
      <left/>
      <right/>
      <top/>
      <bottom style="thin">
        <color rgb="FFB0B0B0"/>
      </bottom>
      <diagonal/>
    </border>
  </borders>
  <cellStyleXfs count="1">
    <xf numFmtId="0" fontId="0" fillId="0" borderId="0"/>
  </cellStyleXfs>
  <cellXfs count="529">
    <xf numFmtId="0" fontId="0" fillId="0" borderId="0" xfId="0"/>
    <xf numFmtId="0" fontId="0" fillId="0" borderId="0" xfId="0" applyAlignment="1">
      <alignment wrapText="1"/>
    </xf>
    <xf numFmtId="0" fontId="0" fillId="29" borderId="0" xfId="0" applyFill="1"/>
    <xf numFmtId="0" fontId="6" fillId="7" borderId="2" xfId="0" applyFont="1" applyFill="1" applyBorder="1" applyAlignment="1" applyProtection="1">
      <alignment horizontal="center"/>
      <protection locked="0"/>
    </xf>
    <xf numFmtId="0" fontId="12" fillId="7" borderId="2" xfId="0" applyFont="1" applyFill="1" applyBorder="1" applyAlignment="1" applyProtection="1">
      <alignment horizontal="center"/>
      <protection locked="0"/>
    </xf>
    <xf numFmtId="2" fontId="6" fillId="7" borderId="2" xfId="0" applyNumberFormat="1" applyFont="1" applyFill="1" applyBorder="1" applyAlignment="1" applyProtection="1">
      <alignment horizontal="center"/>
      <protection locked="0"/>
    </xf>
    <xf numFmtId="0" fontId="34" fillId="19" borderId="2" xfId="0" applyFont="1" applyFill="1" applyBorder="1" applyAlignment="1" applyProtection="1">
      <alignment horizontal="center"/>
      <protection locked="0"/>
    </xf>
    <xf numFmtId="0" fontId="33" fillId="19" borderId="2" xfId="0" applyFont="1" applyFill="1" applyBorder="1" applyAlignment="1" applyProtection="1">
      <alignment horizontal="center"/>
      <protection locked="0"/>
    </xf>
    <xf numFmtId="0" fontId="33" fillId="19" borderId="0" xfId="0" applyFont="1" applyFill="1" applyAlignment="1" applyProtection="1">
      <alignment horizontal="center"/>
      <protection locked="0"/>
    </xf>
    <xf numFmtId="0" fontId="34" fillId="19" borderId="0" xfId="0" applyFont="1" applyFill="1" applyAlignment="1" applyProtection="1">
      <alignment horizontal="center"/>
      <protection locked="0"/>
    </xf>
    <xf numFmtId="1" fontId="34" fillId="19" borderId="0" xfId="0" applyNumberFormat="1" applyFont="1" applyFill="1" applyAlignment="1" applyProtection="1">
      <alignment horizontal="center"/>
      <protection locked="0"/>
    </xf>
    <xf numFmtId="9" fontId="34" fillId="19" borderId="0" xfId="0" applyNumberFormat="1" applyFont="1" applyFill="1" applyAlignment="1" applyProtection="1">
      <alignment horizontal="center"/>
      <protection locked="0"/>
    </xf>
    <xf numFmtId="2" fontId="34" fillId="19" borderId="0" xfId="0" applyNumberFormat="1" applyFont="1" applyFill="1" applyAlignment="1" applyProtection="1">
      <alignment horizontal="center"/>
      <protection locked="0"/>
    </xf>
    <xf numFmtId="49" fontId="33" fillId="19" borderId="0" xfId="0" applyNumberFormat="1" applyFont="1" applyFill="1" applyAlignment="1" applyProtection="1">
      <alignment horizontal="center"/>
      <protection locked="0"/>
    </xf>
    <xf numFmtId="0" fontId="77" fillId="19" borderId="0" xfId="0" applyFont="1" applyFill="1" applyAlignment="1" applyProtection="1">
      <alignment horizontal="center"/>
      <protection locked="0"/>
    </xf>
    <xf numFmtId="9" fontId="77" fillId="19" borderId="0" xfId="0" applyNumberFormat="1" applyFont="1" applyFill="1" applyAlignment="1" applyProtection="1">
      <alignment horizontal="center"/>
      <protection locked="0"/>
    </xf>
    <xf numFmtId="0" fontId="33" fillId="19" borderId="18" xfId="0" applyFont="1" applyFill="1" applyBorder="1" applyAlignment="1" applyProtection="1">
      <alignment horizontal="center"/>
      <protection locked="0"/>
    </xf>
    <xf numFmtId="1" fontId="34" fillId="19" borderId="2" xfId="0" applyNumberFormat="1" applyFont="1" applyFill="1" applyBorder="1" applyAlignment="1" applyProtection="1">
      <alignment horizontal="center"/>
      <protection locked="0"/>
    </xf>
    <xf numFmtId="2" fontId="34" fillId="19" borderId="2" xfId="0" applyNumberFormat="1" applyFont="1" applyFill="1" applyBorder="1" applyAlignment="1" applyProtection="1">
      <alignment horizontal="center"/>
      <protection locked="0"/>
    </xf>
    <xf numFmtId="49" fontId="33" fillId="19" borderId="2" xfId="0" applyNumberFormat="1" applyFont="1" applyFill="1" applyBorder="1" applyAlignment="1" applyProtection="1">
      <alignment horizontal="center"/>
      <protection locked="0"/>
    </xf>
    <xf numFmtId="0" fontId="33" fillId="19" borderId="11" xfId="0" applyFont="1" applyFill="1" applyBorder="1" applyAlignment="1" applyProtection="1">
      <alignment horizontal="center"/>
      <protection locked="0"/>
    </xf>
    <xf numFmtId="9" fontId="6" fillId="7" borderId="2" xfId="0" applyNumberFormat="1" applyFont="1" applyFill="1" applyBorder="1" applyAlignment="1" applyProtection="1">
      <alignment horizontal="center"/>
      <protection locked="0"/>
    </xf>
    <xf numFmtId="0" fontId="85" fillId="19" borderId="0" xfId="0" applyFont="1" applyFill="1" applyAlignment="1" applyProtection="1">
      <alignment horizontal="center"/>
      <protection locked="0"/>
    </xf>
    <xf numFmtId="0" fontId="17" fillId="12" borderId="0" xfId="0" applyFont="1" applyFill="1"/>
    <xf numFmtId="0" fontId="17" fillId="12" borderId="0" xfId="0" applyFont="1" applyFill="1" applyAlignment="1">
      <alignment horizontal="center"/>
    </xf>
    <xf numFmtId="0" fontId="16" fillId="29" borderId="0" xfId="0" applyFont="1" applyFill="1" applyAlignment="1">
      <alignment horizontal="left"/>
    </xf>
    <xf numFmtId="0" fontId="27" fillId="14" borderId="0" xfId="0" applyFont="1" applyFill="1" applyAlignment="1">
      <alignment horizontal="center" vertical="top"/>
    </xf>
    <xf numFmtId="0" fontId="29" fillId="17" borderId="0" xfId="0" applyFont="1" applyFill="1" applyAlignment="1">
      <alignment vertical="top" wrapText="1"/>
    </xf>
    <xf numFmtId="0" fontId="60" fillId="20" borderId="0" xfId="0" applyFont="1" applyFill="1" applyAlignment="1">
      <alignment horizontal="center" vertical="top" wrapText="1"/>
    </xf>
    <xf numFmtId="0" fontId="27" fillId="15" borderId="0" xfId="0" applyFont="1" applyFill="1" applyAlignment="1">
      <alignment horizontal="center" vertical="top"/>
    </xf>
    <xf numFmtId="0" fontId="18" fillId="17" borderId="0" xfId="0" applyFont="1" applyFill="1" applyAlignment="1">
      <alignment vertical="top" wrapText="1"/>
    </xf>
    <xf numFmtId="0" fontId="25" fillId="16" borderId="0" xfId="0" applyFont="1" applyFill="1" applyAlignment="1">
      <alignment vertical="top" wrapText="1"/>
    </xf>
    <xf numFmtId="0" fontId="27" fillId="15" borderId="0" xfId="0" applyFont="1" applyFill="1" applyAlignment="1">
      <alignment horizontal="center" vertical="top" wrapText="1"/>
    </xf>
    <xf numFmtId="0" fontId="29" fillId="14" borderId="0" xfId="0" applyFont="1" applyFill="1" applyAlignment="1">
      <alignment vertical="top" wrapText="1"/>
    </xf>
    <xf numFmtId="0" fontId="17" fillId="12" borderId="0" xfId="0" applyFont="1" applyFill="1" applyAlignment="1">
      <alignment horizontal="center" wrapText="1"/>
    </xf>
    <xf numFmtId="0" fontId="18" fillId="0" borderId="0" xfId="0" applyFont="1" applyAlignment="1">
      <alignment vertical="top" wrapText="1"/>
    </xf>
    <xf numFmtId="0" fontId="88" fillId="16" borderId="0" xfId="0" applyFont="1" applyFill="1" applyAlignment="1">
      <alignment horizontal="center" vertical="top" wrapText="1"/>
    </xf>
    <xf numFmtId="0" fontId="89" fillId="14" borderId="0" xfId="0" applyFont="1" applyFill="1" applyAlignment="1">
      <alignment horizontal="center" vertical="top"/>
    </xf>
    <xf numFmtId="0" fontId="90" fillId="17" borderId="0" xfId="0" applyFont="1" applyFill="1" applyAlignment="1">
      <alignment vertical="top" wrapText="1"/>
    </xf>
    <xf numFmtId="0" fontId="88" fillId="16" borderId="0" xfId="0" applyFont="1" applyFill="1" applyAlignment="1">
      <alignment wrapText="1"/>
    </xf>
    <xf numFmtId="0" fontId="16" fillId="12" borderId="0" xfId="0" applyFont="1" applyFill="1" applyAlignment="1">
      <alignment horizontal="left"/>
    </xf>
    <xf numFmtId="0" fontId="27" fillId="15" borderId="0" xfId="0" applyFont="1" applyFill="1" applyAlignment="1" applyProtection="1">
      <alignment horizontal="center"/>
      <protection locked="0"/>
    </xf>
    <xf numFmtId="2" fontId="27" fillId="15" borderId="0" xfId="0" applyNumberFormat="1" applyFont="1" applyFill="1" applyAlignment="1">
      <alignment horizontal="center"/>
    </xf>
    <xf numFmtId="0" fontId="11" fillId="0" borderId="2" xfId="0" applyFont="1" applyBorder="1"/>
    <xf numFmtId="0" fontId="10" fillId="10" borderId="2" xfId="0" applyFont="1" applyFill="1" applyBorder="1"/>
    <xf numFmtId="0" fontId="6" fillId="7" borderId="2" xfId="0" applyFont="1" applyFill="1" applyBorder="1" applyAlignment="1">
      <alignment horizontal="center"/>
    </xf>
    <xf numFmtId="1" fontId="7" fillId="6" borderId="2" xfId="0" applyNumberFormat="1" applyFont="1" applyFill="1" applyBorder="1" applyAlignment="1">
      <alignment horizontal="center"/>
    </xf>
    <xf numFmtId="0" fontId="3" fillId="0" borderId="2" xfId="0" applyFont="1" applyBorder="1"/>
    <xf numFmtId="2" fontId="7" fillId="6" borderId="2" xfId="0" applyNumberFormat="1" applyFont="1" applyFill="1" applyBorder="1" applyAlignment="1">
      <alignment horizontal="center"/>
    </xf>
    <xf numFmtId="0" fontId="10" fillId="9" borderId="2" xfId="0" applyFont="1" applyFill="1" applyBorder="1"/>
    <xf numFmtId="2" fontId="9" fillId="9" borderId="2" xfId="0" applyNumberFormat="1" applyFont="1" applyFill="1" applyBorder="1" applyAlignment="1">
      <alignment horizontal="center"/>
    </xf>
    <xf numFmtId="0" fontId="13" fillId="5" borderId="2" xfId="0" applyFont="1" applyFill="1" applyBorder="1"/>
    <xf numFmtId="2" fontId="13" fillId="5" borderId="2" xfId="0" applyNumberFormat="1" applyFont="1" applyFill="1" applyBorder="1" applyAlignment="1">
      <alignment horizontal="center"/>
    </xf>
    <xf numFmtId="0" fontId="5" fillId="5" borderId="2" xfId="0" applyFont="1" applyFill="1" applyBorder="1"/>
    <xf numFmtId="0" fontId="10" fillId="6" borderId="2" xfId="0" applyFont="1" applyFill="1" applyBorder="1"/>
    <xf numFmtId="0" fontId="17" fillId="13" borderId="2" xfId="0" applyFont="1" applyFill="1" applyBorder="1" applyAlignment="1">
      <alignment horizontal="center"/>
    </xf>
    <xf numFmtId="0" fontId="0" fillId="13" borderId="2" xfId="0" applyFill="1" applyBorder="1"/>
    <xf numFmtId="0" fontId="0" fillId="13" borderId="1" xfId="0" applyFill="1" applyBorder="1"/>
    <xf numFmtId="0" fontId="0" fillId="13" borderId="17" xfId="0" applyFill="1" applyBorder="1"/>
    <xf numFmtId="0" fontId="41" fillId="14" borderId="2" xfId="0" applyFont="1" applyFill="1" applyBorder="1"/>
    <xf numFmtId="0" fontId="34" fillId="19" borderId="2" xfId="0" applyFont="1" applyFill="1" applyBorder="1" applyAlignment="1">
      <alignment horizontal="center"/>
    </xf>
    <xf numFmtId="0" fontId="29" fillId="17" borderId="1" xfId="0" applyFont="1" applyFill="1" applyBorder="1"/>
    <xf numFmtId="0" fontId="21" fillId="17" borderId="17" xfId="0" applyFont="1" applyFill="1" applyBorder="1"/>
    <xf numFmtId="0" fontId="21" fillId="17" borderId="1" xfId="0" applyFont="1" applyFill="1" applyBorder="1"/>
    <xf numFmtId="0" fontId="0" fillId="17" borderId="2" xfId="0" applyFill="1" applyBorder="1"/>
    <xf numFmtId="0" fontId="0" fillId="17" borderId="1" xfId="0" applyFill="1" applyBorder="1"/>
    <xf numFmtId="0" fontId="0" fillId="17" borderId="17" xfId="0" applyFill="1" applyBorder="1"/>
    <xf numFmtId="0" fontId="20" fillId="15" borderId="2" xfId="0" applyFont="1" applyFill="1" applyBorder="1" applyAlignment="1">
      <alignment horizontal="center"/>
    </xf>
    <xf numFmtId="0" fontId="41" fillId="15" borderId="2" xfId="0" applyFont="1" applyFill="1" applyBorder="1"/>
    <xf numFmtId="0" fontId="29" fillId="15" borderId="1" xfId="0" applyFont="1" applyFill="1" applyBorder="1"/>
    <xf numFmtId="0" fontId="41" fillId="15" borderId="2" xfId="0" applyFont="1" applyFill="1" applyBorder="1" applyAlignment="1">
      <alignment horizontal="center" vertical="center"/>
    </xf>
    <xf numFmtId="0" fontId="20" fillId="15" borderId="0" xfId="0" applyFont="1" applyFill="1" applyAlignment="1">
      <alignment horizontal="center"/>
    </xf>
    <xf numFmtId="0" fontId="41" fillId="15" borderId="1" xfId="0" applyFont="1" applyFill="1" applyBorder="1" applyAlignment="1">
      <alignment horizontal="center" vertical="center"/>
    </xf>
    <xf numFmtId="0" fontId="55" fillId="17" borderId="1" xfId="0" applyFont="1" applyFill="1" applyBorder="1" applyAlignment="1">
      <alignment horizontal="center" vertical="center"/>
    </xf>
    <xf numFmtId="0" fontId="41" fillId="16" borderId="2" xfId="0" applyFont="1" applyFill="1" applyBorder="1" applyAlignment="1">
      <alignment vertical="top" wrapText="1"/>
    </xf>
    <xf numFmtId="0" fontId="31" fillId="16" borderId="0" xfId="0" applyFont="1" applyFill="1" applyAlignment="1">
      <alignment horizontal="center"/>
    </xf>
    <xf numFmtId="0" fontId="25" fillId="16" borderId="1" xfId="0" applyFont="1" applyFill="1" applyBorder="1" applyAlignment="1">
      <alignment vertical="top" wrapText="1"/>
    </xf>
    <xf numFmtId="0" fontId="55" fillId="17" borderId="1" xfId="0" applyFont="1" applyFill="1" applyBorder="1" applyAlignment="1">
      <alignment vertical="top" wrapText="1"/>
    </xf>
    <xf numFmtId="0" fontId="41" fillId="16" borderId="2" xfId="0" applyFont="1" applyFill="1" applyBorder="1"/>
    <xf numFmtId="0" fontId="31" fillId="16" borderId="2" xfId="0" applyFont="1" applyFill="1" applyBorder="1" applyAlignment="1">
      <alignment horizontal="center"/>
    </xf>
    <xf numFmtId="0" fontId="56" fillId="16" borderId="1" xfId="0" applyFont="1" applyFill="1" applyBorder="1"/>
    <xf numFmtId="0" fontId="21" fillId="17" borderId="8" xfId="0" applyFont="1" applyFill="1" applyBorder="1"/>
    <xf numFmtId="0" fontId="41" fillId="17" borderId="8" xfId="0" applyFont="1" applyFill="1" applyBorder="1"/>
    <xf numFmtId="0" fontId="31" fillId="17" borderId="8" xfId="0" applyFont="1" applyFill="1" applyBorder="1" applyAlignment="1">
      <alignment horizontal="center"/>
    </xf>
    <xf numFmtId="0" fontId="56" fillId="17" borderId="8" xfId="0" applyFont="1" applyFill="1" applyBorder="1"/>
    <xf numFmtId="0" fontId="2" fillId="3" borderId="2" xfId="0" applyFont="1" applyFill="1" applyBorder="1" applyAlignment="1">
      <alignment horizontal="center" vertical="center" wrapText="1"/>
    </xf>
    <xf numFmtId="0" fontId="3" fillId="0" borderId="2" xfId="0" applyFont="1" applyBorder="1" applyAlignment="1">
      <alignment horizontal="center"/>
    </xf>
    <xf numFmtId="0" fontId="5" fillId="5" borderId="2" xfId="0" applyFont="1" applyFill="1" applyBorder="1" applyAlignment="1">
      <alignment horizontal="center"/>
    </xf>
    <xf numFmtId="0" fontId="3" fillId="5" borderId="2" xfId="0" applyFont="1" applyFill="1" applyBorder="1" applyAlignment="1">
      <alignment vertical="top" wrapText="1"/>
    </xf>
    <xf numFmtId="0" fontId="5" fillId="6" borderId="2" xfId="0" applyFont="1" applyFill="1" applyBorder="1" applyAlignment="1">
      <alignment horizontal="center"/>
    </xf>
    <xf numFmtId="0" fontId="29" fillId="16" borderId="2" xfId="0" applyFont="1" applyFill="1" applyBorder="1" applyAlignment="1">
      <alignment vertical="top" wrapText="1"/>
    </xf>
    <xf numFmtId="0" fontId="3" fillId="6" borderId="2" xfId="0" applyFont="1" applyFill="1" applyBorder="1" applyAlignment="1">
      <alignment vertical="top" wrapText="1"/>
    </xf>
    <xf numFmtId="0" fontId="6" fillId="7" borderId="2" xfId="0" applyFont="1" applyFill="1" applyBorder="1"/>
    <xf numFmtId="0" fontId="3" fillId="0" borderId="2" xfId="0" applyFont="1" applyBorder="1" applyAlignment="1">
      <alignment vertical="top" wrapText="1"/>
    </xf>
    <xf numFmtId="0" fontId="7" fillId="6" borderId="2" xfId="0" applyFont="1" applyFill="1" applyBorder="1"/>
    <xf numFmtId="0" fontId="7" fillId="6" borderId="2" xfId="0" applyFont="1" applyFill="1" applyBorder="1" applyAlignment="1">
      <alignment horizontal="center"/>
    </xf>
    <xf numFmtId="0" fontId="8" fillId="8" borderId="2" xfId="0" applyFont="1" applyFill="1" applyBorder="1"/>
    <xf numFmtId="0" fontId="8" fillId="8" borderId="2" xfId="0" applyFont="1" applyFill="1" applyBorder="1" applyAlignment="1">
      <alignment horizontal="center"/>
    </xf>
    <xf numFmtId="0" fontId="9" fillId="9" borderId="2" xfId="0" applyFont="1" applyFill="1" applyBorder="1"/>
    <xf numFmtId="0" fontId="9" fillId="9" borderId="2" xfId="0" applyFont="1" applyFill="1" applyBorder="1" applyAlignment="1">
      <alignment horizontal="center"/>
    </xf>
    <xf numFmtId="0" fontId="10" fillId="10" borderId="2" xfId="0" applyFont="1" applyFill="1" applyBorder="1" applyAlignment="1">
      <alignment horizontal="center"/>
    </xf>
    <xf numFmtId="0" fontId="41" fillId="15" borderId="2" xfId="0" applyFont="1" applyFill="1" applyBorder="1" applyAlignment="1">
      <alignment vertical="top" wrapText="1"/>
    </xf>
    <xf numFmtId="0" fontId="21" fillId="0" borderId="2" xfId="0" applyFont="1" applyBorder="1" applyAlignment="1">
      <alignment vertical="top" wrapText="1"/>
    </xf>
    <xf numFmtId="0" fontId="21" fillId="17" borderId="2" xfId="0" applyFont="1" applyFill="1" applyBorder="1" applyAlignment="1">
      <alignment vertical="top" wrapText="1"/>
    </xf>
    <xf numFmtId="0" fontId="41" fillId="15" borderId="11" xfId="0" applyFont="1" applyFill="1" applyBorder="1" applyAlignment="1">
      <alignment vertical="top" wrapText="1"/>
    </xf>
    <xf numFmtId="0" fontId="21" fillId="0" borderId="11" xfId="0" applyFont="1" applyBorder="1" applyAlignment="1">
      <alignment vertical="top" wrapText="1"/>
    </xf>
    <xf numFmtId="0" fontId="3" fillId="0" borderId="0" xfId="0" applyFont="1"/>
    <xf numFmtId="0" fontId="21" fillId="17" borderId="11" xfId="0" applyFont="1" applyFill="1" applyBorder="1" applyAlignment="1">
      <alignment vertical="top" wrapText="1"/>
    </xf>
    <xf numFmtId="0" fontId="29" fillId="17" borderId="0" xfId="0" applyFont="1" applyFill="1"/>
    <xf numFmtId="0" fontId="29" fillId="17" borderId="1" xfId="0" applyFont="1" applyFill="1" applyBorder="1" applyAlignment="1">
      <alignment horizontal="center" vertical="center"/>
    </xf>
    <xf numFmtId="0" fontId="41" fillId="15" borderId="8" xfId="0" applyFont="1" applyFill="1" applyBorder="1" applyAlignment="1">
      <alignment horizontal="left" vertical="center"/>
    </xf>
    <xf numFmtId="0" fontId="21" fillId="17" borderId="8" xfId="0" applyFont="1" applyFill="1" applyBorder="1" applyAlignment="1">
      <alignment horizontal="left" vertical="center"/>
    </xf>
    <xf numFmtId="0" fontId="10" fillId="6" borderId="2" xfId="0" applyFont="1" applyFill="1" applyBorder="1" applyAlignment="1">
      <alignment vertical="top" wrapText="1"/>
    </xf>
    <xf numFmtId="0" fontId="11" fillId="0" borderId="2" xfId="0" applyFont="1" applyBorder="1" applyAlignment="1">
      <alignment vertical="top" wrapText="1"/>
    </xf>
    <xf numFmtId="0" fontId="16" fillId="12" borderId="0" xfId="0" applyFont="1" applyFill="1" applyAlignment="1">
      <alignment horizontal="center"/>
    </xf>
    <xf numFmtId="0" fontId="0" fillId="12" borderId="0" xfId="0" applyFill="1"/>
    <xf numFmtId="0" fontId="17" fillId="13" borderId="0" xfId="0" applyFont="1" applyFill="1" applyAlignment="1">
      <alignment horizontal="center"/>
    </xf>
    <xf numFmtId="0" fontId="0" fillId="13" borderId="0" xfId="0" applyFill="1"/>
    <xf numFmtId="0" fontId="31" fillId="16" borderId="2" xfId="0" applyFont="1" applyFill="1" applyBorder="1"/>
    <xf numFmtId="2" fontId="32" fillId="16" borderId="2" xfId="0" applyNumberFormat="1" applyFont="1" applyFill="1" applyBorder="1" applyAlignment="1">
      <alignment horizontal="center"/>
    </xf>
    <xf numFmtId="164" fontId="31" fillId="16" borderId="0" xfId="0" applyNumberFormat="1" applyFont="1" applyFill="1" applyAlignment="1">
      <alignment horizontal="center"/>
    </xf>
    <xf numFmtId="0" fontId="0" fillId="16" borderId="0" xfId="0" applyFill="1"/>
    <xf numFmtId="0" fontId="41" fillId="14" borderId="0" xfId="0" applyFont="1" applyFill="1"/>
    <xf numFmtId="0" fontId="25" fillId="16" borderId="0" xfId="0" applyFont="1" applyFill="1" applyAlignment="1">
      <alignment horizontal="center"/>
    </xf>
    <xf numFmtId="0" fontId="21" fillId="0" borderId="0" xfId="0" applyFont="1"/>
    <xf numFmtId="0" fontId="27" fillId="26" borderId="0" xfId="0" applyFont="1" applyFill="1"/>
    <xf numFmtId="0" fontId="0" fillId="26" borderId="0" xfId="0" applyFill="1"/>
    <xf numFmtId="0" fontId="76" fillId="26" borderId="0" xfId="0" applyFont="1" applyFill="1"/>
    <xf numFmtId="0" fontId="22" fillId="16" borderId="0" xfId="0" applyFont="1" applyFill="1" applyAlignment="1">
      <alignment horizontal="center"/>
    </xf>
    <xf numFmtId="0" fontId="29" fillId="0" borderId="0" xfId="0" applyFont="1"/>
    <xf numFmtId="0" fontId="41" fillId="15" borderId="0" xfId="0" applyFont="1" applyFill="1"/>
    <xf numFmtId="2" fontId="20" fillId="15" borderId="0" xfId="0" applyNumberFormat="1" applyFont="1" applyFill="1" applyAlignment="1">
      <alignment horizontal="center"/>
    </xf>
    <xf numFmtId="0" fontId="29" fillId="15" borderId="0" xfId="0" applyFont="1" applyFill="1"/>
    <xf numFmtId="0" fontId="41" fillId="20" borderId="0" xfId="0" applyFont="1" applyFill="1"/>
    <xf numFmtId="2" fontId="35" fillId="20" borderId="0" xfId="0" applyNumberFormat="1" applyFont="1" applyFill="1" applyAlignment="1">
      <alignment horizontal="center"/>
    </xf>
    <xf numFmtId="0" fontId="29" fillId="20" borderId="0" xfId="0" applyFont="1" applyFill="1"/>
    <xf numFmtId="0" fontId="17" fillId="28" borderId="0" xfId="0" applyFont="1" applyFill="1"/>
    <xf numFmtId="0" fontId="0" fillId="28" borderId="0" xfId="0" applyFill="1"/>
    <xf numFmtId="0" fontId="20" fillId="15" borderId="0" xfId="0" applyFont="1" applyFill="1"/>
    <xf numFmtId="2" fontId="36" fillId="15" borderId="0" xfId="0" applyNumberFormat="1" applyFont="1" applyFill="1" applyAlignment="1">
      <alignment horizontal="center"/>
    </xf>
    <xf numFmtId="0" fontId="54" fillId="17" borderId="0" xfId="0" applyFont="1" applyFill="1"/>
    <xf numFmtId="2" fontId="0" fillId="28" borderId="0" xfId="0" applyNumberFormat="1" applyFill="1"/>
    <xf numFmtId="0" fontId="41" fillId="26" borderId="0" xfId="0" applyFont="1" applyFill="1"/>
    <xf numFmtId="0" fontId="41" fillId="26" borderId="0" xfId="0" applyFont="1" applyFill="1" applyAlignment="1">
      <alignment horizontal="center"/>
    </xf>
    <xf numFmtId="0" fontId="17" fillId="13" borderId="18" xfId="0" applyFont="1" applyFill="1" applyBorder="1" applyAlignment="1">
      <alignment horizontal="center"/>
    </xf>
    <xf numFmtId="0" fontId="41" fillId="13" borderId="18" xfId="0" applyFont="1" applyFill="1" applyBorder="1"/>
    <xf numFmtId="0" fontId="21" fillId="13" borderId="0" xfId="0" applyFont="1" applyFill="1"/>
    <xf numFmtId="0" fontId="19" fillId="14" borderId="18" xfId="0" applyFont="1" applyFill="1" applyBorder="1"/>
    <xf numFmtId="0" fontId="0" fillId="0" borderId="18" xfId="0" applyBorder="1"/>
    <xf numFmtId="0" fontId="27" fillId="15" borderId="11" xfId="0" applyFont="1" applyFill="1" applyBorder="1"/>
    <xf numFmtId="0" fontId="0" fillId="15" borderId="11" xfId="0" applyFill="1" applyBorder="1"/>
    <xf numFmtId="0" fontId="0" fillId="15" borderId="0" xfId="0" applyFill="1"/>
    <xf numFmtId="0" fontId="19" fillId="14" borderId="2" xfId="0" applyFont="1" applyFill="1" applyBorder="1"/>
    <xf numFmtId="0" fontId="18" fillId="0" borderId="2" xfId="0" applyFont="1" applyBorder="1"/>
    <xf numFmtId="0" fontId="27" fillId="15" borderId="2" xfId="0" applyFont="1" applyFill="1" applyBorder="1"/>
    <xf numFmtId="0" fontId="0" fillId="15" borderId="2" xfId="0" applyFill="1" applyBorder="1"/>
    <xf numFmtId="0" fontId="21" fillId="0" borderId="2" xfId="0" applyFont="1" applyBorder="1"/>
    <xf numFmtId="0" fontId="19" fillId="15" borderId="2" xfId="0" applyFont="1" applyFill="1" applyBorder="1"/>
    <xf numFmtId="2" fontId="20" fillId="15" borderId="2" xfId="0" applyNumberFormat="1" applyFont="1" applyFill="1" applyBorder="1" applyAlignment="1">
      <alignment horizontal="center"/>
    </xf>
    <xf numFmtId="0" fontId="18" fillId="15" borderId="2" xfId="0" applyFont="1" applyFill="1" applyBorder="1"/>
    <xf numFmtId="0" fontId="35" fillId="0" borderId="0" xfId="0" applyFont="1"/>
    <xf numFmtId="0" fontId="20" fillId="15" borderId="11" xfId="0" applyFont="1" applyFill="1" applyBorder="1"/>
    <xf numFmtId="2" fontId="36" fillId="15" borderId="11" xfId="0" applyNumberFormat="1" applyFont="1" applyFill="1" applyBorder="1" applyAlignment="1">
      <alignment horizontal="center"/>
    </xf>
    <xf numFmtId="0" fontId="19" fillId="15" borderId="11" xfId="0" applyFont="1" applyFill="1" applyBorder="1"/>
    <xf numFmtId="0" fontId="27" fillId="15" borderId="9" xfId="0" applyFont="1" applyFill="1" applyBorder="1"/>
    <xf numFmtId="2" fontId="58" fillId="15" borderId="2" xfId="0" applyNumberFormat="1" applyFont="1" applyFill="1" applyBorder="1" applyAlignment="1">
      <alignment horizontal="center"/>
    </xf>
    <xf numFmtId="0" fontId="58" fillId="15" borderId="1" xfId="0" applyFont="1" applyFill="1" applyBorder="1"/>
    <xf numFmtId="0" fontId="54" fillId="15" borderId="17" xfId="0" applyFont="1" applyFill="1" applyBorder="1"/>
    <xf numFmtId="0" fontId="59" fillId="15" borderId="0" xfId="0" applyFont="1" applyFill="1"/>
    <xf numFmtId="0" fontId="41" fillId="14" borderId="9" xfId="0" applyFont="1" applyFill="1" applyBorder="1"/>
    <xf numFmtId="0" fontId="54" fillId="17" borderId="17" xfId="0" applyFont="1" applyFill="1" applyBorder="1"/>
    <xf numFmtId="0" fontId="21" fillId="17" borderId="0" xfId="0" applyFont="1" applyFill="1"/>
    <xf numFmtId="0" fontId="41" fillId="15" borderId="9" xfId="0" applyFont="1" applyFill="1" applyBorder="1"/>
    <xf numFmtId="0" fontId="19" fillId="14" borderId="11" xfId="0" applyFont="1" applyFill="1" applyBorder="1"/>
    <xf numFmtId="0" fontId="0" fillId="0" borderId="11" xfId="0" applyBorder="1"/>
    <xf numFmtId="0" fontId="58" fillId="17" borderId="0" xfId="0" applyFont="1" applyFill="1"/>
    <xf numFmtId="2" fontId="58" fillId="17" borderId="0" xfId="0" applyNumberFormat="1" applyFont="1" applyFill="1" applyAlignment="1">
      <alignment horizontal="center"/>
    </xf>
    <xf numFmtId="0" fontId="59" fillId="17" borderId="0" xfId="0" applyFont="1" applyFill="1"/>
    <xf numFmtId="0" fontId="54" fillId="15" borderId="0" xfId="0" applyFont="1" applyFill="1"/>
    <xf numFmtId="0" fontId="20" fillId="15" borderId="2" xfId="0" applyFont="1" applyFill="1" applyBorder="1"/>
    <xf numFmtId="0" fontId="41" fillId="14" borderId="0" xfId="0" applyFont="1" applyFill="1" applyAlignment="1">
      <alignment horizontal="center"/>
    </xf>
    <xf numFmtId="0" fontId="33" fillId="19" borderId="0" xfId="0" applyFont="1" applyFill="1" applyAlignment="1">
      <alignment horizontal="center"/>
    </xf>
    <xf numFmtId="2" fontId="31" fillId="16" borderId="2" xfId="0" applyNumberFormat="1" applyFont="1" applyFill="1" applyBorder="1" applyAlignment="1">
      <alignment horizontal="center"/>
    </xf>
    <xf numFmtId="0" fontId="19" fillId="16" borderId="2" xfId="0" applyFont="1" applyFill="1" applyBorder="1"/>
    <xf numFmtId="0" fontId="41" fillId="14" borderId="18" xfId="0" applyFont="1" applyFill="1" applyBorder="1"/>
    <xf numFmtId="2" fontId="60" fillId="20" borderId="0" xfId="0" applyNumberFormat="1" applyFont="1" applyFill="1" applyAlignment="1">
      <alignment horizontal="center"/>
    </xf>
    <xf numFmtId="0" fontId="29" fillId="0" borderId="18" xfId="0" applyFont="1" applyBorder="1"/>
    <xf numFmtId="0" fontId="35" fillId="20" borderId="2" xfId="0" applyFont="1" applyFill="1" applyBorder="1"/>
    <xf numFmtId="2" fontId="37" fillId="20" borderId="2" xfId="0" applyNumberFormat="1" applyFont="1" applyFill="1" applyBorder="1" applyAlignment="1">
      <alignment horizontal="center"/>
    </xf>
    <xf numFmtId="0" fontId="19" fillId="20" borderId="2" xfId="0" applyFont="1" applyFill="1" applyBorder="1"/>
    <xf numFmtId="1" fontId="20" fillId="15" borderId="2" xfId="0" applyNumberFormat="1" applyFont="1" applyFill="1" applyBorder="1" applyAlignment="1">
      <alignment horizontal="center"/>
    </xf>
    <xf numFmtId="0" fontId="32" fillId="16" borderId="2" xfId="0" applyFont="1" applyFill="1" applyBorder="1"/>
    <xf numFmtId="0" fontId="31" fillId="16" borderId="0" xfId="0" applyFont="1" applyFill="1"/>
    <xf numFmtId="165" fontId="20" fillId="15" borderId="2" xfId="0" applyNumberFormat="1" applyFont="1" applyFill="1" applyBorder="1" applyAlignment="1">
      <alignment horizontal="center"/>
    </xf>
    <xf numFmtId="0" fontId="0" fillId="0" borderId="2" xfId="0" applyBorder="1"/>
    <xf numFmtId="0" fontId="16" fillId="12" borderId="9" xfId="0" applyFont="1" applyFill="1" applyBorder="1" applyAlignment="1">
      <alignment horizontal="center"/>
    </xf>
    <xf numFmtId="0" fontId="0" fillId="12" borderId="2" xfId="0" applyFill="1" applyBorder="1"/>
    <xf numFmtId="0" fontId="0" fillId="12" borderId="1" xfId="0" applyFill="1" applyBorder="1"/>
    <xf numFmtId="0" fontId="31" fillId="16" borderId="9" xfId="0" applyFont="1" applyFill="1" applyBorder="1"/>
    <xf numFmtId="0" fontId="41" fillId="16" borderId="1" xfId="0" applyFont="1" applyFill="1" applyBorder="1"/>
    <xf numFmtId="0" fontId="30" fillId="13" borderId="0" xfId="0" applyFont="1" applyFill="1" applyAlignment="1">
      <alignment horizontal="center"/>
    </xf>
    <xf numFmtId="1" fontId="20" fillId="15" borderId="1" xfId="0" applyNumberFormat="1" applyFont="1" applyFill="1" applyBorder="1" applyAlignment="1">
      <alignment horizontal="center"/>
    </xf>
    <xf numFmtId="0" fontId="21" fillId="17" borderId="4" xfId="0" applyFont="1" applyFill="1" applyBorder="1"/>
    <xf numFmtId="1" fontId="20" fillId="15" borderId="0" xfId="0" applyNumberFormat="1" applyFont="1" applyFill="1" applyAlignment="1">
      <alignment horizontal="center"/>
    </xf>
    <xf numFmtId="0" fontId="35" fillId="20" borderId="9" xfId="0" applyFont="1" applyFill="1" applyBorder="1"/>
    <xf numFmtId="0" fontId="37" fillId="20" borderId="2" xfId="0" applyFont="1" applyFill="1" applyBorder="1" applyAlignment="1">
      <alignment horizontal="center"/>
    </xf>
    <xf numFmtId="0" fontId="41" fillId="20" borderId="1" xfId="0" applyFont="1" applyFill="1" applyBorder="1"/>
    <xf numFmtId="0" fontId="0" fillId="0" borderId="17" xfId="0" applyBorder="1"/>
    <xf numFmtId="0" fontId="35" fillId="20" borderId="10" xfId="0" applyFont="1" applyFill="1" applyBorder="1"/>
    <xf numFmtId="0" fontId="37" fillId="20" borderId="11" xfId="0" applyFont="1" applyFill="1" applyBorder="1" applyAlignment="1">
      <alignment horizontal="center"/>
    </xf>
    <xf numFmtId="0" fontId="41" fillId="20" borderId="12" xfId="0" applyFont="1" applyFill="1" applyBorder="1"/>
    <xf numFmtId="0" fontId="35" fillId="20" borderId="4" xfId="0" applyFont="1" applyFill="1" applyBorder="1"/>
    <xf numFmtId="1" fontId="37" fillId="20" borderId="4" xfId="0" applyNumberFormat="1" applyFont="1" applyFill="1" applyBorder="1" applyAlignment="1">
      <alignment horizontal="center"/>
    </xf>
    <xf numFmtId="0" fontId="41" fillId="20" borderId="4" xfId="0" applyFont="1" applyFill="1" applyBorder="1"/>
    <xf numFmtId="0" fontId="32" fillId="16" borderId="9" xfId="0" applyFont="1" applyFill="1" applyBorder="1"/>
    <xf numFmtId="0" fontId="32" fillId="16" borderId="2" xfId="0" applyFont="1" applyFill="1" applyBorder="1" applyAlignment="1">
      <alignment horizontal="center"/>
    </xf>
    <xf numFmtId="0" fontId="25" fillId="16" borderId="1" xfId="0" applyFont="1" applyFill="1" applyBorder="1"/>
    <xf numFmtId="0" fontId="17" fillId="18" borderId="9" xfId="0" applyFont="1" applyFill="1" applyBorder="1" applyAlignment="1">
      <alignment horizontal="center"/>
    </xf>
    <xf numFmtId="0" fontId="0" fillId="18" borderId="2" xfId="0" applyFill="1" applyBorder="1"/>
    <xf numFmtId="0" fontId="0" fillId="18" borderId="1" xfId="0" applyFill="1" applyBorder="1"/>
    <xf numFmtId="0" fontId="0" fillId="18" borderId="0" xfId="0" applyFill="1"/>
    <xf numFmtId="0" fontId="41" fillId="27" borderId="9" xfId="0" applyFont="1" applyFill="1" applyBorder="1"/>
    <xf numFmtId="0" fontId="61" fillId="27" borderId="2" xfId="0" applyFont="1" applyFill="1" applyBorder="1" applyAlignment="1">
      <alignment horizontal="center"/>
    </xf>
    <xf numFmtId="0" fontId="29" fillId="27" borderId="1" xfId="0" applyFont="1" applyFill="1" applyBorder="1"/>
    <xf numFmtId="0" fontId="41" fillId="26" borderId="9" xfId="0" applyFont="1" applyFill="1" applyBorder="1"/>
    <xf numFmtId="0" fontId="41" fillId="26" borderId="2" xfId="0" applyFont="1" applyFill="1" applyBorder="1"/>
    <xf numFmtId="0" fontId="0" fillId="0" borderId="1" xfId="0" applyBorder="1"/>
    <xf numFmtId="0" fontId="30" fillId="13" borderId="2" xfId="0" applyFont="1" applyFill="1" applyBorder="1" applyAlignment="1">
      <alignment horizontal="center"/>
    </xf>
    <xf numFmtId="0" fontId="35" fillId="20" borderId="2" xfId="0" applyFont="1" applyFill="1" applyBorder="1" applyAlignment="1">
      <alignment horizontal="center"/>
    </xf>
    <xf numFmtId="0" fontId="41" fillId="15" borderId="2" xfId="0" applyFont="1" applyFill="1" applyBorder="1" applyAlignment="1">
      <alignment horizontal="center"/>
    </xf>
    <xf numFmtId="0" fontId="95" fillId="15" borderId="2" xfId="0" applyFont="1" applyFill="1" applyBorder="1" applyAlignment="1">
      <alignment horizontal="center"/>
    </xf>
    <xf numFmtId="49" fontId="41" fillId="14" borderId="2" xfId="0" applyNumberFormat="1" applyFont="1" applyFill="1" applyBorder="1"/>
    <xf numFmtId="0" fontId="25" fillId="16" borderId="0" xfId="0" applyFont="1" applyFill="1" applyAlignment="1" applyProtection="1">
      <alignment horizontal="center"/>
      <protection locked="0"/>
    </xf>
    <xf numFmtId="0" fontId="22" fillId="16" borderId="0" xfId="0" applyFont="1" applyFill="1" applyAlignment="1" applyProtection="1">
      <alignment horizontal="center"/>
      <protection locked="0"/>
    </xf>
    <xf numFmtId="1" fontId="22" fillId="16" borderId="0" xfId="0" applyNumberFormat="1" applyFont="1" applyFill="1" applyAlignment="1" applyProtection="1">
      <alignment horizontal="center"/>
      <protection locked="0"/>
    </xf>
    <xf numFmtId="9" fontId="22" fillId="16" borderId="0" xfId="0" applyNumberFormat="1" applyFont="1" applyFill="1" applyAlignment="1" applyProtection="1">
      <alignment horizontal="center"/>
      <protection locked="0"/>
    </xf>
    <xf numFmtId="2" fontId="22" fillId="16" borderId="0" xfId="0" applyNumberFormat="1" applyFont="1" applyFill="1" applyAlignment="1" applyProtection="1">
      <alignment horizontal="center"/>
      <protection locked="0"/>
    </xf>
    <xf numFmtId="49" fontId="25" fillId="16" borderId="0" xfId="0" applyNumberFormat="1" applyFont="1" applyFill="1" applyAlignment="1" applyProtection="1">
      <alignment horizontal="center"/>
      <protection locked="0"/>
    </xf>
    <xf numFmtId="0" fontId="0" fillId="15" borderId="2" xfId="0" applyFill="1" applyBorder="1" applyProtection="1">
      <protection locked="0"/>
    </xf>
    <xf numFmtId="2" fontId="20" fillId="15" borderId="2" xfId="0" applyNumberFormat="1" applyFont="1" applyFill="1" applyBorder="1" applyAlignment="1" applyProtection="1">
      <alignment horizontal="center"/>
      <protection locked="0"/>
    </xf>
    <xf numFmtId="2" fontId="36" fillId="15" borderId="2" xfId="0" applyNumberFormat="1" applyFont="1" applyFill="1" applyBorder="1" applyAlignment="1" applyProtection="1">
      <alignment horizontal="center"/>
      <protection locked="0"/>
    </xf>
    <xf numFmtId="0" fontId="38" fillId="28" borderId="0" xfId="0" applyFont="1" applyFill="1"/>
    <xf numFmtId="0" fontId="0" fillId="17" borderId="0" xfId="0" applyFill="1"/>
    <xf numFmtId="0" fontId="34" fillId="19" borderId="0" xfId="0" applyFont="1" applyFill="1" applyAlignment="1">
      <alignment horizontal="center"/>
    </xf>
    <xf numFmtId="1" fontId="34" fillId="19" borderId="0" xfId="0" applyNumberFormat="1" applyFont="1" applyFill="1" applyAlignment="1">
      <alignment horizontal="center"/>
    </xf>
    <xf numFmtId="0" fontId="41" fillId="0" borderId="0" xfId="0" applyFont="1"/>
    <xf numFmtId="2" fontId="41" fillId="26" borderId="0" xfId="0" applyNumberFormat="1" applyFont="1" applyFill="1" applyAlignment="1">
      <alignment horizontal="center"/>
    </xf>
    <xf numFmtId="2" fontId="41" fillId="14" borderId="0" xfId="0" applyNumberFormat="1" applyFont="1" applyFill="1" applyAlignment="1">
      <alignment horizontal="left"/>
    </xf>
    <xf numFmtId="0" fontId="41" fillId="26" borderId="0" xfId="0" applyFont="1" applyFill="1" applyAlignment="1">
      <alignment horizontal="left"/>
    </xf>
    <xf numFmtId="0" fontId="27" fillId="15" borderId="0" xfId="0" applyFont="1" applyFill="1"/>
    <xf numFmtId="1" fontId="27" fillId="15" borderId="0" xfId="0" applyNumberFormat="1" applyFont="1" applyFill="1" applyAlignment="1">
      <alignment horizontal="center"/>
    </xf>
    <xf numFmtId="0" fontId="27" fillId="15" borderId="0" xfId="0" applyFont="1" applyFill="1" applyAlignment="1">
      <alignment horizontal="center"/>
    </xf>
    <xf numFmtId="0" fontId="74" fillId="15" borderId="0" xfId="0" applyFont="1" applyFill="1" applyAlignment="1">
      <alignment horizontal="center"/>
    </xf>
    <xf numFmtId="0" fontId="27" fillId="22" borderId="0" xfId="0" applyFont="1" applyFill="1"/>
    <xf numFmtId="0" fontId="60" fillId="20" borderId="0" xfId="0" applyFont="1" applyFill="1" applyAlignment="1">
      <alignment horizontal="center"/>
    </xf>
    <xf numFmtId="0" fontId="26" fillId="22" borderId="0" xfId="0" applyFont="1" applyFill="1"/>
    <xf numFmtId="0" fontId="26" fillId="15" borderId="0" xfId="0" applyFont="1" applyFill="1" applyAlignment="1">
      <alignment horizontal="center"/>
    </xf>
    <xf numFmtId="0" fontId="26" fillId="0" borderId="0" xfId="0" applyFont="1"/>
    <xf numFmtId="0" fontId="27" fillId="16" borderId="0" xfId="0" applyFont="1" applyFill="1"/>
    <xf numFmtId="3" fontId="26" fillId="15" borderId="0" xfId="0" applyNumberFormat="1" applyFont="1" applyFill="1" applyAlignment="1">
      <alignment horizontal="center"/>
    </xf>
    <xf numFmtId="165" fontId="26" fillId="15" borderId="0" xfId="0" applyNumberFormat="1" applyFont="1" applyFill="1" applyAlignment="1">
      <alignment horizontal="center"/>
    </xf>
    <xf numFmtId="0" fontId="21" fillId="0" borderId="0" xfId="0" quotePrefix="1" applyFont="1"/>
    <xf numFmtId="0" fontId="75" fillId="26" borderId="0" xfId="0" applyFont="1" applyFill="1"/>
    <xf numFmtId="0" fontId="23" fillId="26" borderId="0" xfId="0" applyFont="1" applyFill="1" applyAlignment="1">
      <alignment horizontal="center"/>
    </xf>
    <xf numFmtId="0" fontId="76" fillId="0" borderId="0" xfId="0" applyFont="1"/>
    <xf numFmtId="0" fontId="27" fillId="16" borderId="0" xfId="0" applyFont="1" applyFill="1" applyAlignment="1">
      <alignment horizontal="center"/>
    </xf>
    <xf numFmtId="2" fontId="26" fillId="15" borderId="0" xfId="0" applyNumberFormat="1" applyFont="1" applyFill="1" applyAlignment="1">
      <alignment horizontal="center"/>
    </xf>
    <xf numFmtId="0" fontId="27" fillId="0" borderId="0" xfId="0" applyFont="1"/>
    <xf numFmtId="9" fontId="27" fillId="15" borderId="0" xfId="0" applyNumberFormat="1" applyFont="1" applyFill="1" applyAlignment="1">
      <alignment horizontal="center"/>
    </xf>
    <xf numFmtId="3" fontId="27" fillId="15" borderId="0" xfId="0" applyNumberFormat="1" applyFont="1" applyFill="1" applyAlignment="1">
      <alignment horizontal="center"/>
    </xf>
    <xf numFmtId="167" fontId="27" fillId="15" borderId="0" xfId="0" applyNumberFormat="1" applyFont="1" applyFill="1" applyAlignment="1">
      <alignment horizontal="center"/>
    </xf>
    <xf numFmtId="0" fontId="79" fillId="15" borderId="0" xfId="0" applyFont="1" applyFill="1" applyAlignment="1">
      <alignment horizontal="center"/>
    </xf>
    <xf numFmtId="168" fontId="26" fillId="15" borderId="0" xfId="0" applyNumberFormat="1" applyFont="1" applyFill="1" applyAlignment="1">
      <alignment horizontal="center"/>
    </xf>
    <xf numFmtId="0" fontId="77" fillId="19" borderId="0" xfId="0" applyFont="1" applyFill="1"/>
    <xf numFmtId="0" fontId="27" fillId="0" borderId="0" xfId="0" applyFont="1" applyAlignment="1">
      <alignment horizontal="center"/>
    </xf>
    <xf numFmtId="0" fontId="71" fillId="0" borderId="0" xfId="0" applyFont="1" applyAlignment="1">
      <alignment horizontal="center"/>
    </xf>
    <xf numFmtId="0" fontId="73" fillId="26" borderId="0" xfId="0" applyFont="1" applyFill="1"/>
    <xf numFmtId="0" fontId="41" fillId="0" borderId="0" xfId="0" applyFont="1" applyAlignment="1">
      <alignment horizontal="center"/>
    </xf>
    <xf numFmtId="0" fontId="72" fillId="0" borderId="0" xfId="0" applyFont="1"/>
    <xf numFmtId="0" fontId="16" fillId="12" borderId="0" xfId="0" applyFont="1" applyFill="1"/>
    <xf numFmtId="0" fontId="18" fillId="12" borderId="0" xfId="0" applyFont="1" applyFill="1"/>
    <xf numFmtId="0" fontId="18" fillId="0" borderId="0" xfId="0" applyFont="1"/>
    <xf numFmtId="0" fontId="80" fillId="0" borderId="0" xfId="0" applyFont="1"/>
    <xf numFmtId="0" fontId="38" fillId="28" borderId="13" xfId="0" applyFont="1" applyFill="1" applyBorder="1"/>
    <xf numFmtId="0" fontId="18" fillId="28" borderId="13" xfId="0" applyFont="1" applyFill="1" applyBorder="1"/>
    <xf numFmtId="0" fontId="18" fillId="0" borderId="13" xfId="0" applyFont="1" applyBorder="1"/>
    <xf numFmtId="0" fontId="29" fillId="14" borderId="0" xfId="0" applyFont="1" applyFill="1"/>
    <xf numFmtId="0" fontId="71" fillId="14" borderId="0" xfId="0" applyFont="1" applyFill="1"/>
    <xf numFmtId="0" fontId="71" fillId="17" borderId="0" xfId="0" applyFont="1" applyFill="1"/>
    <xf numFmtId="0" fontId="0" fillId="14" borderId="0" xfId="0" applyFill="1"/>
    <xf numFmtId="9" fontId="33" fillId="19" borderId="0" xfId="0" applyNumberFormat="1" applyFont="1" applyFill="1" applyAlignment="1">
      <alignment horizontal="center"/>
    </xf>
    <xf numFmtId="0" fontId="41" fillId="17" borderId="21" xfId="0" applyFont="1" applyFill="1" applyBorder="1"/>
    <xf numFmtId="0" fontId="0" fillId="17" borderId="21" xfId="0" applyFill="1" applyBorder="1"/>
    <xf numFmtId="0" fontId="21" fillId="0" borderId="21" xfId="0" applyFont="1" applyBorder="1"/>
    <xf numFmtId="2" fontId="81" fillId="26" borderId="0" xfId="0" applyNumberFormat="1" applyFont="1" applyFill="1" applyAlignment="1">
      <alignment horizontal="center"/>
    </xf>
    <xf numFmtId="0" fontId="41" fillId="16" borderId="0" xfId="0" applyFont="1" applyFill="1"/>
    <xf numFmtId="2" fontId="25" fillId="16" borderId="0" xfId="0" applyNumberFormat="1" applyFont="1" applyFill="1" applyAlignment="1">
      <alignment horizontal="center"/>
    </xf>
    <xf numFmtId="0" fontId="71" fillId="16" borderId="0" xfId="0" applyFont="1" applyFill="1"/>
    <xf numFmtId="0" fontId="18" fillId="14" borderId="0" xfId="0" applyFont="1" applyFill="1"/>
    <xf numFmtId="0" fontId="18" fillId="17" borderId="0" xfId="0" applyFont="1" applyFill="1"/>
    <xf numFmtId="165" fontId="27" fillId="15" borderId="0" xfId="0" applyNumberFormat="1" applyFont="1" applyFill="1" applyAlignment="1">
      <alignment horizontal="center"/>
    </xf>
    <xf numFmtId="3" fontId="60" fillId="20" borderId="0" xfId="0" applyNumberFormat="1" applyFont="1" applyFill="1" applyAlignment="1">
      <alignment horizontal="center"/>
    </xf>
    <xf numFmtId="0" fontId="71" fillId="20" borderId="0" xfId="0" applyFont="1" applyFill="1"/>
    <xf numFmtId="0" fontId="18" fillId="15" borderId="0" xfId="0" applyFont="1" applyFill="1"/>
    <xf numFmtId="0" fontId="19" fillId="0" borderId="0" xfId="0" applyFont="1" applyAlignment="1">
      <alignment horizontal="center"/>
    </xf>
    <xf numFmtId="0" fontId="18" fillId="0" borderId="5" xfId="0" applyFont="1" applyBorder="1"/>
    <xf numFmtId="0" fontId="19" fillId="0" borderId="5" xfId="0" applyFont="1" applyBorder="1" applyAlignment="1">
      <alignment horizontal="center"/>
    </xf>
    <xf numFmtId="0" fontId="18" fillId="0" borderId="4" xfId="0" applyFont="1" applyBorder="1"/>
    <xf numFmtId="0" fontId="81" fillId="26" borderId="4" xfId="0" applyFont="1" applyFill="1" applyBorder="1" applyAlignment="1">
      <alignment horizontal="center"/>
    </xf>
    <xf numFmtId="0" fontId="18" fillId="28" borderId="0" xfId="0" applyFont="1" applyFill="1"/>
    <xf numFmtId="0" fontId="60" fillId="20" borderId="0" xfId="0" applyFont="1" applyFill="1"/>
    <xf numFmtId="0" fontId="56" fillId="16" borderId="0" xfId="0" applyFont="1" applyFill="1"/>
    <xf numFmtId="0" fontId="26" fillId="15" borderId="0" xfId="0" applyFont="1" applyFill="1"/>
    <xf numFmtId="49" fontId="33" fillId="19" borderId="21" xfId="0" applyNumberFormat="1" applyFont="1" applyFill="1" applyBorder="1" applyAlignment="1" applyProtection="1">
      <alignment horizontal="center"/>
      <protection locked="0"/>
    </xf>
    <xf numFmtId="0" fontId="17" fillId="13" borderId="0" xfId="0" applyFont="1" applyFill="1" applyAlignment="1">
      <alignment horizontal="left"/>
    </xf>
    <xf numFmtId="0" fontId="17" fillId="12" borderId="2" xfId="0" applyFont="1" applyFill="1" applyBorder="1" applyAlignment="1">
      <alignment horizontal="center" wrapText="1"/>
    </xf>
    <xf numFmtId="0" fontId="33" fillId="14" borderId="2" xfId="0" applyFont="1" applyFill="1" applyBorder="1"/>
    <xf numFmtId="0" fontId="18" fillId="0" borderId="2" xfId="0" applyFont="1" applyBorder="1" applyAlignment="1">
      <alignment horizontal="center"/>
    </xf>
    <xf numFmtId="2" fontId="39" fillId="0" borderId="2" xfId="0" applyNumberFormat="1" applyFont="1" applyBorder="1" applyAlignment="1">
      <alignment horizontal="center"/>
    </xf>
    <xf numFmtId="2" fontId="26" fillId="0" borderId="2" xfId="0" applyNumberFormat="1" applyFont="1" applyBorder="1" applyAlignment="1">
      <alignment horizontal="center"/>
    </xf>
    <xf numFmtId="2" fontId="40" fillId="0" borderId="2" xfId="0" applyNumberFormat="1" applyFont="1" applyBorder="1" applyAlignment="1">
      <alignment horizontal="center"/>
    </xf>
    <xf numFmtId="9" fontId="18" fillId="0" borderId="2" xfId="0" applyNumberFormat="1" applyFont="1" applyBorder="1" applyAlignment="1">
      <alignment horizontal="center"/>
    </xf>
    <xf numFmtId="0" fontId="19" fillId="0" borderId="2" xfId="0" applyFont="1" applyBorder="1" applyAlignment="1">
      <alignment horizontal="center"/>
    </xf>
    <xf numFmtId="0" fontId="33" fillId="17" borderId="2" xfId="0" applyFont="1" applyFill="1" applyBorder="1"/>
    <xf numFmtId="0" fontId="27" fillId="14" borderId="2" xfId="0" applyFont="1" applyFill="1" applyBorder="1"/>
    <xf numFmtId="0" fontId="26" fillId="15" borderId="2" xfId="0" applyFont="1" applyFill="1" applyBorder="1" applyAlignment="1">
      <alignment horizontal="center"/>
    </xf>
    <xf numFmtId="2" fontId="27" fillId="15" borderId="2" xfId="0" applyNumberFormat="1" applyFont="1" applyFill="1" applyBorder="1" applyAlignment="1">
      <alignment horizontal="center"/>
    </xf>
    <xf numFmtId="2" fontId="26" fillId="15" borderId="2" xfId="0" applyNumberFormat="1" applyFont="1" applyFill="1" applyBorder="1" applyAlignment="1">
      <alignment horizontal="center"/>
    </xf>
    <xf numFmtId="0" fontId="38" fillId="12" borderId="2" xfId="0" applyFont="1" applyFill="1" applyBorder="1" applyAlignment="1">
      <alignment horizontal="center"/>
    </xf>
    <xf numFmtId="2" fontId="38" fillId="12" borderId="2" xfId="0" applyNumberFormat="1" applyFont="1" applyFill="1" applyBorder="1" applyAlignment="1">
      <alignment horizontal="center"/>
    </xf>
    <xf numFmtId="0" fontId="17" fillId="12" borderId="2" xfId="0" applyFont="1" applyFill="1" applyBorder="1" applyAlignment="1">
      <alignment horizontal="center"/>
    </xf>
    <xf numFmtId="0" fontId="38" fillId="13" borderId="0" xfId="0" applyFont="1" applyFill="1" applyAlignment="1">
      <alignment horizontal="center"/>
    </xf>
    <xf numFmtId="2" fontId="5" fillId="5" borderId="2" xfId="0" applyNumberFormat="1" applyFont="1" applyFill="1" applyBorder="1" applyAlignment="1">
      <alignment horizontal="center"/>
    </xf>
    <xf numFmtId="165" fontId="7" fillId="6" borderId="2" xfId="0" applyNumberFormat="1" applyFont="1" applyFill="1" applyBorder="1" applyAlignment="1">
      <alignment horizontal="center"/>
    </xf>
    <xf numFmtId="0" fontId="10" fillId="9" borderId="2" xfId="0" applyFont="1" applyFill="1" applyBorder="1" applyAlignment="1">
      <alignment vertical="top" wrapText="1"/>
    </xf>
    <xf numFmtId="0" fontId="68" fillId="0" borderId="0" xfId="0" applyFont="1" applyAlignment="1">
      <alignment horizontal="center"/>
    </xf>
    <xf numFmtId="0" fontId="29" fillId="0" borderId="2" xfId="0" applyFont="1" applyBorder="1"/>
    <xf numFmtId="0" fontId="24" fillId="16" borderId="2" xfId="0" applyFont="1" applyFill="1" applyBorder="1" applyAlignment="1">
      <alignment horizontal="center"/>
    </xf>
    <xf numFmtId="0" fontId="25" fillId="16" borderId="2" xfId="0" applyFont="1" applyFill="1" applyBorder="1"/>
    <xf numFmtId="0" fontId="28" fillId="27" borderId="2" xfId="0" applyFont="1" applyFill="1" applyBorder="1"/>
    <xf numFmtId="0" fontId="64" fillId="27" borderId="2" xfId="0" applyFont="1" applyFill="1" applyBorder="1" applyAlignment="1">
      <alignment horizontal="center"/>
    </xf>
    <xf numFmtId="0" fontId="63" fillId="27" borderId="2" xfId="0" applyFont="1" applyFill="1" applyBorder="1"/>
    <xf numFmtId="0" fontId="17" fillId="21" borderId="2" xfId="0" applyFont="1" applyFill="1" applyBorder="1" applyAlignment="1">
      <alignment horizontal="left"/>
    </xf>
    <xf numFmtId="0" fontId="17" fillId="21" borderId="2" xfId="0" applyFont="1" applyFill="1" applyBorder="1" applyAlignment="1">
      <alignment horizontal="center"/>
    </xf>
    <xf numFmtId="0" fontId="41" fillId="22" borderId="2" xfId="0" applyFont="1" applyFill="1" applyBorder="1"/>
    <xf numFmtId="0" fontId="29" fillId="22" borderId="2" xfId="0" applyFont="1" applyFill="1" applyBorder="1" applyAlignment="1">
      <alignment horizontal="center"/>
    </xf>
    <xf numFmtId="0" fontId="41" fillId="0" borderId="2" xfId="0" applyFont="1" applyBorder="1"/>
    <xf numFmtId="0" fontId="29" fillId="0" borderId="2" xfId="0" applyFont="1" applyBorder="1" applyAlignment="1">
      <alignment horizontal="center"/>
    </xf>
    <xf numFmtId="0" fontId="41" fillId="0" borderId="11" xfId="0" applyFont="1" applyBorder="1"/>
    <xf numFmtId="0" fontId="29" fillId="0" borderId="11" xfId="0" applyFont="1" applyBorder="1" applyAlignment="1">
      <alignment horizontal="center"/>
    </xf>
    <xf numFmtId="0" fontId="41" fillId="22" borderId="0" xfId="0" applyFont="1" applyFill="1"/>
    <xf numFmtId="0" fontId="94" fillId="22" borderId="0" xfId="0" applyFont="1" applyFill="1" applyAlignment="1">
      <alignment horizontal="center"/>
    </xf>
    <xf numFmtId="0" fontId="18" fillId="22" borderId="0" xfId="0" applyFont="1" applyFill="1" applyAlignment="1">
      <alignment horizontal="center"/>
    </xf>
    <xf numFmtId="49" fontId="18" fillId="22" borderId="0" xfId="0" applyNumberFormat="1" applyFont="1" applyFill="1" applyAlignment="1">
      <alignment horizontal="center"/>
    </xf>
    <xf numFmtId="0" fontId="27" fillId="15" borderId="19" xfId="0" applyFont="1" applyFill="1" applyBorder="1"/>
    <xf numFmtId="0" fontId="0" fillId="15" borderId="19" xfId="0" applyFill="1" applyBorder="1"/>
    <xf numFmtId="0" fontId="20" fillId="15" borderId="19" xfId="0" applyFont="1" applyFill="1" applyBorder="1" applyAlignment="1">
      <alignment horizontal="center"/>
    </xf>
    <xf numFmtId="0" fontId="24" fillId="16" borderId="2" xfId="0" applyFont="1" applyFill="1" applyBorder="1"/>
    <xf numFmtId="0" fontId="65" fillId="16" borderId="2" xfId="0" applyFont="1" applyFill="1" applyBorder="1" applyAlignment="1">
      <alignment horizontal="center"/>
    </xf>
    <xf numFmtId="165" fontId="57" fillId="16" borderId="2" xfId="0" applyNumberFormat="1" applyFont="1" applyFill="1" applyBorder="1" applyAlignment="1">
      <alignment horizontal="center"/>
    </xf>
    <xf numFmtId="0" fontId="17" fillId="18" borderId="0" xfId="0" applyFont="1" applyFill="1" applyAlignment="1">
      <alignment horizontal="center"/>
    </xf>
    <xf numFmtId="165" fontId="29" fillId="22" borderId="2" xfId="0" applyNumberFormat="1" applyFont="1" applyFill="1" applyBorder="1" applyAlignment="1">
      <alignment horizontal="center"/>
    </xf>
    <xf numFmtId="0" fontId="41" fillId="22" borderId="2" xfId="0" applyFont="1" applyFill="1" applyBorder="1" applyAlignment="1">
      <alignment horizontal="center"/>
    </xf>
    <xf numFmtId="165" fontId="29" fillId="0" borderId="2" xfId="0" applyNumberFormat="1" applyFont="1" applyBorder="1" applyAlignment="1">
      <alignment horizontal="center"/>
    </xf>
    <xf numFmtId="0" fontId="41" fillId="0" borderId="2" xfId="0" applyFont="1" applyBorder="1" applyAlignment="1">
      <alignment horizontal="center"/>
    </xf>
    <xf numFmtId="0" fontId="29" fillId="26" borderId="2" xfId="0" applyFont="1" applyFill="1" applyBorder="1" applyAlignment="1">
      <alignment horizontal="center"/>
    </xf>
    <xf numFmtId="165" fontId="29" fillId="26" borderId="2" xfId="0" applyNumberFormat="1" applyFont="1" applyFill="1" applyBorder="1" applyAlignment="1">
      <alignment horizontal="center"/>
    </xf>
    <xf numFmtId="0" fontId="41" fillId="26" borderId="2" xfId="0" applyFont="1" applyFill="1" applyBorder="1" applyAlignment="1">
      <alignment horizontal="center"/>
    </xf>
    <xf numFmtId="0" fontId="41" fillId="14" borderId="11" xfId="0" applyFont="1" applyFill="1" applyBorder="1"/>
    <xf numFmtId="0" fontId="34" fillId="19" borderId="11" xfId="0" applyFont="1" applyFill="1" applyBorder="1" applyAlignment="1">
      <alignment horizontal="center"/>
    </xf>
    <xf numFmtId="0" fontId="29" fillId="0" borderId="11" xfId="0" applyFont="1" applyBorder="1"/>
    <xf numFmtId="0" fontId="60" fillId="20" borderId="19" xfId="0" applyFont="1" applyFill="1" applyBorder="1"/>
    <xf numFmtId="0" fontId="66" fillId="20" borderId="19" xfId="0" applyFont="1" applyFill="1" applyBorder="1" applyAlignment="1">
      <alignment horizontal="center"/>
    </xf>
    <xf numFmtId="0" fontId="41" fillId="15" borderId="7" xfId="0" applyFont="1" applyFill="1" applyBorder="1"/>
    <xf numFmtId="0" fontId="67" fillId="15" borderId="7" xfId="0" applyFont="1" applyFill="1" applyBorder="1" applyAlignment="1">
      <alignment horizontal="center"/>
    </xf>
    <xf numFmtId="0" fontId="27" fillId="15" borderId="7" xfId="0" applyFont="1" applyFill="1" applyBorder="1"/>
    <xf numFmtId="0" fontId="17" fillId="21" borderId="18" xfId="0" applyFont="1" applyFill="1" applyBorder="1" applyAlignment="1">
      <alignment horizontal="center"/>
    </xf>
    <xf numFmtId="49" fontId="41" fillId="22" borderId="2" xfId="0" applyNumberFormat="1" applyFont="1" applyFill="1" applyBorder="1"/>
    <xf numFmtId="0" fontId="20" fillId="22" borderId="2" xfId="0" applyFont="1" applyFill="1" applyBorder="1" applyAlignment="1">
      <alignment horizontal="center"/>
    </xf>
    <xf numFmtId="0" fontId="21" fillId="22" borderId="2" xfId="0" applyFont="1" applyFill="1" applyBorder="1"/>
    <xf numFmtId="49" fontId="41" fillId="17" borderId="2" xfId="0" applyNumberFormat="1" applyFont="1" applyFill="1" applyBorder="1"/>
    <xf numFmtId="0" fontId="20" fillId="0" borderId="2" xfId="0" applyFont="1" applyBorder="1" applyAlignment="1">
      <alignment horizontal="center"/>
    </xf>
    <xf numFmtId="0" fontId="19" fillId="0" borderId="3" xfId="0" applyFont="1" applyBorder="1"/>
    <xf numFmtId="0" fontId="18" fillId="0" borderId="3" xfId="0" applyFont="1" applyBorder="1" applyAlignment="1">
      <alignment horizontal="center"/>
    </xf>
    <xf numFmtId="0" fontId="18" fillId="0" borderId="3" xfId="0" applyFont="1" applyBorder="1"/>
    <xf numFmtId="0" fontId="19" fillId="0" borderId="4" xfId="0" applyFont="1" applyBorder="1"/>
    <xf numFmtId="0" fontId="18" fillId="0" borderId="4" xfId="0" applyFont="1" applyBorder="1" applyAlignment="1">
      <alignment horizontal="center"/>
    </xf>
    <xf numFmtId="2" fontId="18" fillId="0" borderId="4" xfId="0" applyNumberFormat="1" applyFont="1" applyBorder="1" applyAlignment="1">
      <alignment horizontal="center"/>
    </xf>
    <xf numFmtId="1" fontId="18" fillId="0" borderId="4" xfId="0" applyNumberFormat="1" applyFont="1" applyBorder="1" applyAlignment="1">
      <alignment horizontal="center"/>
    </xf>
    <xf numFmtId="0" fontId="27" fillId="15" borderId="5" xfId="0" applyFont="1" applyFill="1" applyBorder="1"/>
    <xf numFmtId="2" fontId="36" fillId="15" borderId="5" xfId="0" applyNumberFormat="1" applyFont="1" applyFill="1" applyBorder="1" applyAlignment="1">
      <alignment horizontal="center"/>
    </xf>
    <xf numFmtId="0" fontId="18" fillId="15" borderId="5" xfId="0" applyFont="1" applyFill="1" applyBorder="1"/>
    <xf numFmtId="2" fontId="18" fillId="0" borderId="3" xfId="0" applyNumberFormat="1" applyFont="1" applyBorder="1" applyAlignment="1">
      <alignment horizontal="center"/>
    </xf>
    <xf numFmtId="0" fontId="19" fillId="15" borderId="4" xfId="0" applyFont="1" applyFill="1" applyBorder="1"/>
    <xf numFmtId="2" fontId="36" fillId="15" borderId="4" xfId="0" applyNumberFormat="1" applyFont="1" applyFill="1" applyBorder="1" applyAlignment="1">
      <alignment horizontal="center"/>
    </xf>
    <xf numFmtId="0" fontId="18" fillId="15" borderId="4" xfId="0" applyFont="1" applyFill="1" applyBorder="1"/>
    <xf numFmtId="165" fontId="27" fillId="15" borderId="4" xfId="0" applyNumberFormat="1" applyFont="1" applyFill="1" applyBorder="1" applyAlignment="1">
      <alignment horizontal="center"/>
    </xf>
    <xf numFmtId="0" fontId="19" fillId="0" borderId="5" xfId="0" applyFont="1" applyBorder="1"/>
    <xf numFmtId="0" fontId="39" fillId="0" borderId="5" xfId="0" applyFont="1" applyBorder="1" applyAlignment="1">
      <alignment horizontal="center"/>
    </xf>
    <xf numFmtId="0" fontId="19" fillId="0" borderId="0" xfId="0" applyFont="1"/>
    <xf numFmtId="0" fontId="48" fillId="0" borderId="0" xfId="0" applyFont="1" applyAlignment="1">
      <alignment horizontal="center"/>
    </xf>
    <xf numFmtId="0" fontId="48" fillId="0" borderId="0" xfId="0" applyFont="1"/>
    <xf numFmtId="2" fontId="39" fillId="0" borderId="0" xfId="0" applyNumberFormat="1" applyFont="1" applyAlignment="1">
      <alignment horizontal="center"/>
    </xf>
    <xf numFmtId="2" fontId="18" fillId="0" borderId="0" xfId="0" applyNumberFormat="1" applyFont="1"/>
    <xf numFmtId="0" fontId="39" fillId="0" borderId="0" xfId="0" applyFont="1" applyAlignment="1">
      <alignment horizontal="center"/>
    </xf>
    <xf numFmtId="0" fontId="17" fillId="21" borderId="6" xfId="0" applyFont="1" applyFill="1" applyBorder="1" applyAlignment="1">
      <alignment horizontal="left"/>
    </xf>
    <xf numFmtId="0" fontId="17" fillId="21" borderId="7" xfId="0" applyFont="1" applyFill="1" applyBorder="1" applyAlignment="1">
      <alignment horizontal="center"/>
    </xf>
    <xf numFmtId="0" fontId="17" fillId="21" borderId="8" xfId="0" applyFont="1" applyFill="1" applyBorder="1" applyAlignment="1">
      <alignment horizontal="center"/>
    </xf>
    <xf numFmtId="0" fontId="19" fillId="22" borderId="9" xfId="0" applyFont="1" applyFill="1" applyBorder="1"/>
    <xf numFmtId="0" fontId="18" fillId="22" borderId="2" xfId="0" applyFont="1" applyFill="1" applyBorder="1" applyAlignment="1">
      <alignment horizontal="center"/>
    </xf>
    <xf numFmtId="2" fontId="18" fillId="22" borderId="2" xfId="0" applyNumberFormat="1" applyFont="1" applyFill="1" applyBorder="1" applyAlignment="1">
      <alignment horizontal="center"/>
    </xf>
    <xf numFmtId="2" fontId="18" fillId="22" borderId="1" xfId="0" applyNumberFormat="1" applyFont="1" applyFill="1" applyBorder="1" applyAlignment="1">
      <alignment horizontal="center"/>
    </xf>
    <xf numFmtId="0" fontId="19" fillId="0" borderId="9" xfId="0" applyFont="1" applyBorder="1"/>
    <xf numFmtId="2" fontId="18" fillId="0" borderId="2" xfId="0" applyNumberFormat="1" applyFont="1" applyBorder="1" applyAlignment="1">
      <alignment horizontal="center"/>
    </xf>
    <xf numFmtId="2" fontId="18" fillId="0" borderId="1" xfId="0" applyNumberFormat="1" applyFont="1" applyBorder="1" applyAlignment="1">
      <alignment horizontal="center"/>
    </xf>
    <xf numFmtId="0" fontId="19" fillId="22" borderId="10" xfId="0" applyFont="1" applyFill="1" applyBorder="1"/>
    <xf numFmtId="0" fontId="18" fillId="22" borderId="11" xfId="0" applyFont="1" applyFill="1" applyBorder="1" applyAlignment="1">
      <alignment horizontal="center"/>
    </xf>
    <xf numFmtId="2" fontId="18" fillId="22" borderId="11" xfId="0" applyNumberFormat="1" applyFont="1" applyFill="1" applyBorder="1" applyAlignment="1">
      <alignment horizontal="center"/>
    </xf>
    <xf numFmtId="2" fontId="18" fillId="22" borderId="12" xfId="0" applyNumberFormat="1" applyFont="1" applyFill="1" applyBorder="1" applyAlignment="1">
      <alignment horizontal="center"/>
    </xf>
    <xf numFmtId="0" fontId="41" fillId="22" borderId="20" xfId="0" applyFont="1" applyFill="1" applyBorder="1"/>
    <xf numFmtId="0" fontId="27" fillId="15" borderId="13" xfId="0" applyFont="1" applyFill="1" applyBorder="1"/>
    <xf numFmtId="2" fontId="27" fillId="15" borderId="13" xfId="0" applyNumberFormat="1" applyFont="1" applyFill="1" applyBorder="1" applyAlignment="1">
      <alignment horizontal="center"/>
    </xf>
    <xf numFmtId="0" fontId="50" fillId="15" borderId="0" xfId="0" applyFont="1" applyFill="1"/>
    <xf numFmtId="2" fontId="51" fillId="15" borderId="0" xfId="0" applyNumberFormat="1" applyFont="1" applyFill="1" applyAlignment="1">
      <alignment horizontal="center"/>
    </xf>
    <xf numFmtId="0" fontId="27" fillId="15" borderId="14" xfId="0" applyFont="1" applyFill="1" applyBorder="1"/>
    <xf numFmtId="0" fontId="27" fillId="15" borderId="14" xfId="0" applyFont="1" applyFill="1" applyBorder="1" applyAlignment="1">
      <alignment horizontal="center"/>
    </xf>
    <xf numFmtId="0" fontId="27" fillId="15" borderId="15" xfId="0" applyFont="1" applyFill="1" applyBorder="1"/>
    <xf numFmtId="1" fontId="27" fillId="15" borderId="15" xfId="0" applyNumberFormat="1" applyFont="1" applyFill="1" applyBorder="1" applyAlignment="1">
      <alignment horizontal="center"/>
    </xf>
    <xf numFmtId="0" fontId="27" fillId="15" borderId="16" xfId="0" applyFont="1" applyFill="1" applyBorder="1"/>
    <xf numFmtId="0" fontId="27" fillId="15" borderId="16" xfId="0" applyFont="1" applyFill="1" applyBorder="1" applyAlignment="1">
      <alignment horizontal="center"/>
    </xf>
    <xf numFmtId="9" fontId="27" fillId="15" borderId="15" xfId="0" applyNumberFormat="1" applyFont="1" applyFill="1" applyBorder="1" applyAlignment="1">
      <alignment horizontal="center"/>
    </xf>
    <xf numFmtId="0" fontId="41" fillId="22" borderId="9" xfId="0" applyFont="1" applyFill="1" applyBorder="1"/>
    <xf numFmtId="0" fontId="18" fillId="22" borderId="1" xfId="0" applyFont="1" applyFill="1" applyBorder="1" applyAlignment="1">
      <alignment horizontal="center"/>
    </xf>
    <xf numFmtId="0" fontId="41" fillId="17" borderId="9" xfId="0" applyFont="1" applyFill="1" applyBorder="1"/>
    <xf numFmtId="0" fontId="18" fillId="0" borderId="1" xfId="0" applyFont="1" applyBorder="1" applyAlignment="1">
      <alignment horizontal="center"/>
    </xf>
    <xf numFmtId="0" fontId="41" fillId="22" borderId="10" xfId="0" applyFont="1" applyFill="1" applyBorder="1"/>
    <xf numFmtId="0" fontId="18" fillId="22" borderId="12" xfId="0" applyFont="1" applyFill="1" applyBorder="1" applyAlignment="1">
      <alignment horizontal="center"/>
    </xf>
    <xf numFmtId="2" fontId="18" fillId="22" borderId="0" xfId="0" applyNumberFormat="1" applyFont="1" applyFill="1" applyAlignment="1">
      <alignment horizontal="center"/>
    </xf>
    <xf numFmtId="0" fontId="94" fillId="30" borderId="0" xfId="0" applyFont="1" applyFill="1" applyAlignment="1">
      <alignment horizontal="center"/>
    </xf>
    <xf numFmtId="0" fontId="41" fillId="17" borderId="0" xfId="0" applyFont="1" applyFill="1"/>
    <xf numFmtId="0" fontId="18" fillId="17" borderId="0" xfId="0" applyFont="1" applyFill="1" applyAlignment="1">
      <alignment horizontal="center"/>
    </xf>
    <xf numFmtId="2" fontId="18" fillId="17" borderId="0" xfId="0" applyNumberFormat="1" applyFont="1" applyFill="1" applyAlignment="1">
      <alignment horizontal="center"/>
    </xf>
    <xf numFmtId="0" fontId="27" fillId="15" borderId="13" xfId="0" applyFont="1" applyFill="1" applyBorder="1" applyAlignment="1">
      <alignment horizontal="center"/>
    </xf>
    <xf numFmtId="0" fontId="45" fillId="0" borderId="0" xfId="0" applyFont="1" applyAlignment="1">
      <alignment wrapText="1"/>
    </xf>
    <xf numFmtId="0" fontId="53" fillId="25" borderId="0" xfId="0" applyFont="1" applyFill="1" applyAlignment="1">
      <alignment wrapText="1"/>
    </xf>
    <xf numFmtId="2" fontId="18" fillId="0" borderId="5" xfId="0" applyNumberFormat="1" applyFont="1" applyBorder="1" applyAlignment="1">
      <alignment horizontal="center"/>
    </xf>
    <xf numFmtId="0" fontId="19" fillId="23" borderId="5" xfId="0" applyFont="1" applyFill="1" applyBorder="1"/>
    <xf numFmtId="2" fontId="46" fillId="23" borderId="5" xfId="0" applyNumberFormat="1" applyFont="1" applyFill="1" applyBorder="1" applyAlignment="1">
      <alignment horizontal="center"/>
    </xf>
    <xf numFmtId="0" fontId="18" fillId="23" borderId="5" xfId="0" applyFont="1" applyFill="1" applyBorder="1"/>
    <xf numFmtId="0" fontId="18" fillId="0" borderId="14" xfId="0" applyFont="1" applyBorder="1"/>
    <xf numFmtId="0" fontId="62" fillId="13" borderId="0" xfId="0" applyFont="1" applyFill="1"/>
    <xf numFmtId="0" fontId="18" fillId="13" borderId="0" xfId="0" applyFont="1" applyFill="1"/>
    <xf numFmtId="0" fontId="29" fillId="0" borderId="0" xfId="0" applyFont="1" applyAlignment="1">
      <alignment horizontal="center"/>
    </xf>
    <xf numFmtId="0" fontId="20" fillId="0" borderId="0" xfId="0" applyFont="1" applyAlignment="1">
      <alignment horizontal="center"/>
    </xf>
    <xf numFmtId="0" fontId="28" fillId="0" borderId="0" xfId="0" applyFont="1"/>
    <xf numFmtId="0" fontId="61" fillId="0" borderId="0" xfId="0" applyFont="1" applyAlignment="1">
      <alignment horizontal="center"/>
    </xf>
    <xf numFmtId="0" fontId="63" fillId="0" borderId="0" xfId="0" applyFont="1"/>
    <xf numFmtId="0" fontId="27" fillId="15" borderId="19" xfId="0" applyFont="1" applyFill="1" applyBorder="1" applyAlignment="1">
      <alignment horizontal="center"/>
    </xf>
    <xf numFmtId="0" fontId="17" fillId="21" borderId="20" xfId="0" applyFont="1" applyFill="1" applyBorder="1" applyAlignment="1">
      <alignment horizontal="center"/>
    </xf>
    <xf numFmtId="49" fontId="29" fillId="22" borderId="2" xfId="0" applyNumberFormat="1" applyFont="1" applyFill="1" applyBorder="1"/>
    <xf numFmtId="0" fontId="41" fillId="15" borderId="0" xfId="0" applyFont="1" applyFill="1" applyAlignment="1">
      <alignment horizontal="center"/>
    </xf>
    <xf numFmtId="49" fontId="29" fillId="17" borderId="2" xfId="0" applyNumberFormat="1" applyFont="1" applyFill="1" applyBorder="1"/>
    <xf numFmtId="9" fontId="20" fillId="15" borderId="2" xfId="0" applyNumberFormat="1" applyFont="1" applyFill="1" applyBorder="1" applyAlignment="1">
      <alignment horizontal="center"/>
    </xf>
    <xf numFmtId="0" fontId="22" fillId="16" borderId="2" xfId="0" applyFont="1" applyFill="1" applyBorder="1" applyAlignment="1">
      <alignment horizontal="center"/>
    </xf>
    <xf numFmtId="2" fontId="22" fillId="16" borderId="2" xfId="0" applyNumberFormat="1" applyFont="1" applyFill="1" applyBorder="1" applyAlignment="1">
      <alignment horizontal="center"/>
    </xf>
    <xf numFmtId="2" fontId="23" fillId="16" borderId="2" xfId="0" applyNumberFormat="1" applyFont="1" applyFill="1" applyBorder="1" applyAlignment="1">
      <alignment horizontal="center"/>
    </xf>
    <xf numFmtId="2" fontId="24" fillId="16" borderId="2" xfId="0" applyNumberFormat="1" applyFont="1" applyFill="1" applyBorder="1" applyAlignment="1">
      <alignment horizontal="center"/>
    </xf>
    <xf numFmtId="0" fontId="25" fillId="16" borderId="2" xfId="0" applyFont="1" applyFill="1" applyBorder="1" applyAlignment="1">
      <alignment horizontal="center"/>
    </xf>
    <xf numFmtId="0" fontId="20" fillId="17" borderId="2" xfId="0" applyFont="1" applyFill="1" applyBorder="1" applyAlignment="1">
      <alignment horizontal="center"/>
    </xf>
    <xf numFmtId="2" fontId="20" fillId="17" borderId="2" xfId="0" applyNumberFormat="1" applyFont="1" applyFill="1" applyBorder="1" applyAlignment="1">
      <alignment horizontal="center"/>
    </xf>
    <xf numFmtId="2" fontId="23" fillId="17" borderId="2" xfId="0" applyNumberFormat="1" applyFont="1" applyFill="1" applyBorder="1" applyAlignment="1">
      <alignment horizontal="center"/>
    </xf>
    <xf numFmtId="166" fontId="27" fillId="17" borderId="2" xfId="0" applyNumberFormat="1" applyFont="1" applyFill="1" applyBorder="1" applyAlignment="1">
      <alignment horizontal="center"/>
    </xf>
    <xf numFmtId="0" fontId="20" fillId="14" borderId="2" xfId="0" applyFont="1" applyFill="1" applyBorder="1" applyAlignment="1">
      <alignment horizontal="center"/>
    </xf>
    <xf numFmtId="2" fontId="20" fillId="14" borderId="2" xfId="0" applyNumberFormat="1" applyFont="1" applyFill="1" applyBorder="1" applyAlignment="1">
      <alignment horizontal="center"/>
    </xf>
    <xf numFmtId="2" fontId="23" fillId="14" borderId="2" xfId="0" applyNumberFormat="1" applyFont="1" applyFill="1" applyBorder="1" applyAlignment="1">
      <alignment horizontal="center"/>
    </xf>
    <xf numFmtId="166" fontId="27" fillId="14" borderId="2" xfId="0" applyNumberFormat="1" applyFont="1" applyFill="1" applyBorder="1" applyAlignment="1">
      <alignment horizontal="center"/>
    </xf>
    <xf numFmtId="0" fontId="10" fillId="5" borderId="2" xfId="0" applyFont="1" applyFill="1" applyBorder="1" applyAlignment="1">
      <alignment vertical="top" wrapText="1"/>
    </xf>
    <xf numFmtId="0" fontId="8" fillId="8" borderId="2" xfId="0" applyFont="1" applyFill="1" applyBorder="1" applyAlignment="1">
      <alignment vertical="top" wrapText="1"/>
    </xf>
    <xf numFmtId="0" fontId="15" fillId="0" borderId="2" xfId="0" applyFont="1" applyBorder="1"/>
    <xf numFmtId="0" fontId="10" fillId="10" borderId="11" xfId="0" applyFont="1" applyFill="1" applyBorder="1"/>
    <xf numFmtId="0" fontId="15" fillId="0" borderId="11" xfId="0" applyFont="1" applyBorder="1"/>
    <xf numFmtId="0" fontId="41" fillId="14" borderId="12" xfId="0" applyFont="1" applyFill="1" applyBorder="1"/>
    <xf numFmtId="0" fontId="69" fillId="17" borderId="11" xfId="0" applyFont="1" applyFill="1" applyBorder="1"/>
    <xf numFmtId="0" fontId="41" fillId="14" borderId="1" xfId="0" applyFont="1" applyFill="1" applyBorder="1"/>
    <xf numFmtId="0" fontId="69" fillId="17" borderId="2" xfId="0" applyFont="1" applyFill="1" applyBorder="1"/>
    <xf numFmtId="0" fontId="17" fillId="29" borderId="0" xfId="0" applyFont="1" applyFill="1" applyAlignment="1">
      <alignment horizontal="center"/>
    </xf>
    <xf numFmtId="0" fontId="82" fillId="20" borderId="0" xfId="0" applyFont="1" applyFill="1"/>
    <xf numFmtId="0" fontId="0" fillId="20" borderId="0" xfId="0" applyFill="1"/>
    <xf numFmtId="0" fontId="55" fillId="14" borderId="0" xfId="0" applyFont="1" applyFill="1"/>
    <xf numFmtId="0" fontId="38" fillId="29" borderId="0" xfId="0" applyFont="1" applyFill="1" applyAlignment="1">
      <alignment horizontal="center"/>
    </xf>
    <xf numFmtId="0" fontId="83" fillId="0" borderId="0" xfId="0" applyFont="1"/>
    <xf numFmtId="0" fontId="30" fillId="28" borderId="0" xfId="0" applyFont="1" applyFill="1" applyAlignment="1">
      <alignment horizontal="center"/>
    </xf>
    <xf numFmtId="0" fontId="84" fillId="14" borderId="0" xfId="0" applyFont="1" applyFill="1"/>
    <xf numFmtId="0" fontId="78" fillId="15" borderId="0" xfId="0" applyFont="1" applyFill="1" applyAlignment="1">
      <alignment horizontal="center"/>
    </xf>
    <xf numFmtId="0" fontId="86" fillId="14" borderId="0" xfId="0" applyFont="1" applyFill="1"/>
    <xf numFmtId="0" fontId="87" fillId="14" borderId="0" xfId="0" applyFont="1" applyFill="1"/>
    <xf numFmtId="0" fontId="70" fillId="28" borderId="0" xfId="0" applyFont="1" applyFill="1"/>
    <xf numFmtId="0" fontId="91" fillId="15" borderId="0" xfId="0" applyFont="1" applyFill="1" applyAlignment="1">
      <alignment horizontal="center"/>
    </xf>
    <xf numFmtId="0" fontId="93" fillId="15" borderId="0" xfId="0" applyFont="1" applyFill="1" applyAlignment="1">
      <alignment horizontal="center"/>
    </xf>
    <xf numFmtId="0" fontId="92" fillId="19" borderId="0" xfId="0" applyFont="1" applyFill="1" applyAlignment="1" applyProtection="1">
      <alignment horizontal="center"/>
      <protection locked="0"/>
    </xf>
    <xf numFmtId="0" fontId="28" fillId="0" borderId="0" xfId="0" applyFont="1" applyAlignment="1">
      <alignment wrapText="1"/>
    </xf>
    <xf numFmtId="0" fontId="21" fillId="0" borderId="0" xfId="0" applyFont="1" applyAlignment="1">
      <alignment wrapText="1"/>
    </xf>
    <xf numFmtId="0" fontId="11" fillId="0" borderId="1" xfId="0" applyFont="1" applyBorder="1" applyAlignment="1">
      <alignment vertical="top" wrapText="1"/>
    </xf>
    <xf numFmtId="0" fontId="2" fillId="3" borderId="1" xfId="0" applyFont="1" applyFill="1" applyBorder="1" applyAlignment="1">
      <alignment horizontal="center" vertical="center"/>
    </xf>
    <xf numFmtId="0" fontId="17" fillId="13" borderId="1" xfId="0" applyFont="1" applyFill="1" applyBorder="1" applyAlignment="1">
      <alignment horizontal="center" vertical="center"/>
    </xf>
    <xf numFmtId="0" fontId="17" fillId="13" borderId="4" xfId="0" applyFont="1" applyFill="1" applyBorder="1" applyAlignment="1">
      <alignment horizontal="center" vertical="center"/>
    </xf>
    <xf numFmtId="0" fontId="16" fillId="12" borderId="1" xfId="0" applyFont="1" applyFill="1" applyBorder="1" applyAlignment="1">
      <alignment horizontal="center" vertical="center"/>
    </xf>
    <xf numFmtId="0" fontId="1" fillId="2" borderId="1" xfId="0" applyFont="1" applyFill="1" applyBorder="1" applyAlignment="1">
      <alignment horizontal="center" vertical="center"/>
    </xf>
    <xf numFmtId="0" fontId="3" fillId="0" borderId="1" xfId="0" applyFont="1" applyBorder="1" applyAlignment="1">
      <alignment vertical="top" wrapText="1"/>
    </xf>
    <xf numFmtId="0" fontId="4" fillId="4" borderId="1" xfId="0" applyFont="1" applyFill="1" applyBorder="1" applyAlignment="1">
      <alignment horizontal="center" vertical="center"/>
    </xf>
    <xf numFmtId="0" fontId="2" fillId="3" borderId="8" xfId="0" applyFont="1" applyFill="1" applyBorder="1" applyAlignment="1">
      <alignment horizontal="center" vertical="center"/>
    </xf>
    <xf numFmtId="0" fontId="31" fillId="16" borderId="0" xfId="0" applyFont="1" applyFill="1" applyAlignment="1">
      <alignment horizontal="center"/>
    </xf>
    <xf numFmtId="0" fontId="47" fillId="0" borderId="14" xfId="0" applyFont="1" applyBorder="1" applyAlignment="1">
      <alignment wrapText="1"/>
    </xf>
    <xf numFmtId="0" fontId="0" fillId="0" borderId="14" xfId="0" applyBorder="1"/>
    <xf numFmtId="0" fontId="53" fillId="25" borderId="0" xfId="0" applyFont="1" applyFill="1" applyAlignment="1">
      <alignment wrapText="1"/>
    </xf>
    <xf numFmtId="0" fontId="45" fillId="0" borderId="0" xfId="0" applyFont="1" applyAlignment="1">
      <alignment wrapText="1"/>
    </xf>
    <xf numFmtId="0" fontId="0" fillId="0" borderId="0" xfId="0"/>
    <xf numFmtId="0" fontId="42" fillId="12" borderId="0" xfId="0" applyFont="1" applyFill="1" applyAlignment="1">
      <alignment horizontal="center"/>
    </xf>
    <xf numFmtId="0" fontId="0" fillId="12" borderId="0" xfId="0" applyFill="1"/>
    <xf numFmtId="0" fontId="43" fillId="0" borderId="0" xfId="0" applyFont="1" applyAlignment="1">
      <alignment horizontal="center"/>
    </xf>
    <xf numFmtId="0" fontId="44" fillId="13" borderId="0" xfId="0" applyFont="1" applyFill="1"/>
    <xf numFmtId="0" fontId="0" fillId="13" borderId="0" xfId="0" applyFill="1"/>
    <xf numFmtId="0" fontId="0" fillId="0" borderId="0" xfId="0" applyAlignment="1">
      <alignment wrapText="1"/>
    </xf>
    <xf numFmtId="0" fontId="47" fillId="0" borderId="0" xfId="0" applyFont="1" applyAlignment="1">
      <alignment wrapText="1"/>
    </xf>
    <xf numFmtId="0" fontId="49" fillId="24" borderId="0" xfId="0" applyFont="1" applyFill="1"/>
    <xf numFmtId="0" fontId="52" fillId="13" borderId="0" xfId="0" applyFont="1" applyFill="1"/>
    <xf numFmtId="0" fontId="14" fillId="11" borderId="1" xfId="0" applyFont="1" applyFill="1" applyBorder="1" applyAlignment="1">
      <alignment horizontal="center" vertical="center"/>
    </xf>
    <xf numFmtId="0" fontId="1" fillId="11" borderId="1" xfId="0" applyFont="1" applyFill="1" applyBorder="1" applyAlignment="1">
      <alignment horizontal="center" vertical="center"/>
    </xf>
    <xf numFmtId="0" fontId="16" fillId="12" borderId="0" xfId="0" applyFont="1" applyFill="1" applyAlignment="1">
      <alignment horizontal="left"/>
    </xf>
  </cellXfs>
  <cellStyles count="1">
    <cellStyle name="Normal" xfId="0" builtinId="0"/>
  </cellStyles>
  <dxfs count="39">
    <dxf>
      <font>
        <color rgb="FF9C0006"/>
      </font>
      <fill>
        <patternFill patternType="solid">
          <fgColor indexed="64"/>
          <bgColor rgb="FFFFC7CE"/>
        </patternFill>
      </fill>
    </dxf>
    <dxf>
      <font>
        <color rgb="FF888888"/>
      </font>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88888"/>
      </font>
    </dxf>
    <dxf>
      <font>
        <color rgb="FF006100"/>
      </font>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C62828"/>
      </font>
      <fill>
        <patternFill patternType="solid">
          <fgColor indexed="64"/>
          <bgColor rgb="FFFCE4EC"/>
        </patternFill>
      </fill>
    </dxf>
    <dxf>
      <font>
        <color rgb="FF2E7D32"/>
      </font>
      <fill>
        <patternFill patternType="solid">
          <fgColor indexed="64"/>
          <bgColor rgb="FFE8F5E9"/>
        </patternFill>
      </fill>
    </dxf>
    <dxf>
      <font>
        <color rgb="FFC62828"/>
      </font>
      <fill>
        <patternFill patternType="solid">
          <fgColor indexed="64"/>
          <bgColor rgb="FFFCE4EC"/>
        </patternFill>
      </fill>
    </dxf>
    <dxf>
      <font>
        <color rgb="FFC62828"/>
      </font>
      <fill>
        <patternFill patternType="solid">
          <fgColor indexed="64"/>
          <bgColor rgb="FFFCE4EC"/>
        </patternFill>
      </fill>
    </dxf>
    <dxf>
      <font>
        <color rgb="FFC62828"/>
      </font>
      <fill>
        <patternFill patternType="solid">
          <fgColor indexed="64"/>
          <bgColor rgb="FFFCE4EC"/>
        </patternFill>
      </fill>
    </dxf>
    <dxf>
      <font>
        <color rgb="FF2E7D32"/>
      </font>
      <fill>
        <patternFill patternType="solid">
          <fgColor indexed="64"/>
          <bgColor rgb="FFE8F5E9"/>
        </patternFill>
      </fill>
    </dxf>
    <dxf>
      <font>
        <color rgb="FFC62828"/>
      </font>
      <fill>
        <patternFill patternType="solid">
          <fgColor indexed="64"/>
          <bgColor rgb="FFFCE4EC"/>
        </patternFill>
      </fill>
    </dxf>
    <dxf>
      <font>
        <color rgb="FFC62828"/>
      </font>
      <fill>
        <patternFill patternType="solid">
          <fgColor indexed="64"/>
          <bgColor rgb="FFFCE4EC"/>
        </patternFill>
      </fill>
    </dxf>
    <dxf>
      <font>
        <color rgb="FFC62828"/>
      </font>
      <fill>
        <patternFill patternType="solid">
          <fgColor indexed="64"/>
          <bgColor rgb="FFFCE4EC"/>
        </patternFill>
      </fill>
    </dxf>
    <dxf>
      <font>
        <color rgb="FFC62828"/>
      </font>
      <fill>
        <patternFill patternType="solid">
          <fgColor indexed="64"/>
          <bgColor rgb="FFFCE4EC"/>
        </patternFill>
      </fill>
    </dxf>
    <dxf>
      <font>
        <color rgb="FFC62828"/>
      </font>
      <fill>
        <patternFill patternType="solid">
          <fgColor indexed="64"/>
          <bgColor rgb="FFFCE4EC"/>
        </patternFill>
      </fill>
    </dxf>
    <dxf>
      <font>
        <color rgb="FFC62828"/>
      </font>
      <fill>
        <patternFill patternType="solid">
          <fgColor indexed="64"/>
          <bgColor rgb="FFFCE4EC"/>
        </patternFill>
      </fill>
    </dxf>
    <dxf>
      <font>
        <color rgb="FFC62828"/>
      </font>
      <fill>
        <patternFill patternType="solid">
          <fgColor indexed="64"/>
          <bgColor rgb="FFFCE4EC"/>
        </patternFill>
      </fill>
    </dxf>
    <dxf>
      <font>
        <color rgb="FFE65100"/>
      </font>
      <fill>
        <patternFill patternType="solid">
          <fgColor indexed="64"/>
          <bgColor rgb="FFFFF3E0"/>
        </patternFill>
      </fill>
    </dxf>
    <dxf>
      <font>
        <color rgb="FFC62828"/>
      </font>
      <fill>
        <patternFill patternType="solid">
          <fgColor indexed="64"/>
          <bgColor rgb="FFFCE4EC"/>
        </patternFill>
      </fill>
    </dxf>
    <dxf>
      <font>
        <color rgb="FFC62828"/>
      </font>
      <fill>
        <patternFill patternType="solid">
          <fgColor indexed="64"/>
          <bgColor rgb="FFFCE4EC"/>
        </patternFill>
      </fill>
    </dxf>
    <dxf>
      <font>
        <color rgb="FFC0C0C0"/>
      </font>
    </dxf>
    <dxf>
      <font>
        <color rgb="FFC0C0C0"/>
      </font>
    </dxf>
    <dxf>
      <font>
        <color rgb="FFC0C0C0"/>
      </font>
    </dxf>
    <dxf>
      <font>
        <color rgb="FFC0C0C0"/>
      </font>
    </dxf>
    <dxf>
      <font>
        <color rgb="FFC0C0C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95C"/>
      <rgbColor rgb="FFCCCCCC"/>
      <rgbColor rgb="FF888888"/>
      <rgbColor rgb="FF9999FF"/>
      <rgbColor rgb="FF9C27B0"/>
      <rgbColor rgb="FFFFF2CC"/>
      <rgbColor rgb="FFE8F5E9"/>
      <rgbColor rgb="FF660066"/>
      <rgbColor rgb="FFF44336"/>
      <rgbColor rgb="FF0563C1"/>
      <rgbColor rgb="FFD6E4F0"/>
      <rgbColor rgb="FF000080"/>
      <rgbColor rgb="FFFF00FF"/>
      <rgbColor rgb="FFFFFF00"/>
      <rgbColor rgb="FF00FFFF"/>
      <rgbColor rgb="FF800080"/>
      <rgbColor rgb="FF800000"/>
      <rgbColor rgb="FF1565C0"/>
      <rgbColor rgb="FF0000FF"/>
      <rgbColor rgb="FF00CCFF"/>
      <rgbColor rgb="FFF2F2F2"/>
      <rgbColor rgb="FFCCFFCC"/>
      <rgbColor rgb="FFFFF3E0"/>
      <rgbColor rgb="FF99CCFF"/>
      <rgbColor rgb="FFFF99CC"/>
      <rgbColor rgb="FFCC99FF"/>
      <rgbColor rgb="FFFCE4EC"/>
      <rgbColor rgb="FF4472C4"/>
      <rgbColor rgb="FF33CCCC"/>
      <rgbColor rgb="FF99CC00"/>
      <rgbColor rgb="FFFFCC00"/>
      <rgbColor rgb="FFFF9800"/>
      <rgbColor rgb="FFE65100"/>
      <rgbColor rgb="FF607D8B"/>
      <rgbColor rgb="FF969696"/>
      <rgbColor rgb="FF1B3A5C"/>
      <rgbColor rgb="FF2E7D32"/>
      <rgbColor rgb="FF003300"/>
      <rgbColor rgb="FF333300"/>
      <rgbColor rgb="FFB71C1C"/>
      <rgbColor rgb="FFC62828"/>
      <rgbColor rgb="FF2C5F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B3A5C"/>
                </a:solidFill>
                <a:latin typeface="+mn-lt"/>
                <a:ea typeface="+mn-ea"/>
                <a:cs typeface="+mn-cs"/>
              </a:defRPr>
            </a:pPr>
            <a:r>
              <a:rPr lang="en-US"/>
              <a:t>Pool Capacity Utilization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B3A5C"/>
              </a:solidFill>
              <a:latin typeface="+mn-lt"/>
              <a:ea typeface="+mn-ea"/>
              <a:cs typeface="+mn-cs"/>
            </a:defRPr>
          </a:pPr>
          <a:endParaRPr lang="en-US"/>
        </a:p>
      </c:txPr>
    </c:title>
    <c:autoTitleDeleted val="0"/>
    <c:plotArea>
      <c:layout/>
      <c:barChart>
        <c:barDir val="bar"/>
        <c:grouping val="percentStacked"/>
        <c:varyColors val="0"/>
        <c:ser>
          <c:idx val="0"/>
          <c:order val="0"/>
          <c:tx>
            <c:strRef>
              <c:f>'Final Report'!$C$26</c:f>
              <c:strCache>
                <c:ptCount val="1"/>
                <c:pt idx="0">
                  <c:v>Used</c:v>
                </c:pt>
              </c:strCache>
            </c:strRef>
          </c:tx>
          <c:spPr>
            <a:solidFill>
              <a:srgbClr val="C0504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Report'!$B$27</c:f>
              <c:strCache>
                <c:ptCount val="1"/>
                <c:pt idx="0">
                  <c:v>Pool Capacity</c:v>
                </c:pt>
              </c:strCache>
            </c:strRef>
          </c:cat>
          <c:val>
            <c:numRef>
              <c:f>'Final Report'!$C$27</c:f>
              <c:numCache>
                <c:formatCode>0.00</c:formatCode>
                <c:ptCount val="1"/>
                <c:pt idx="0">
                  <c:v>0</c:v>
                </c:pt>
              </c:numCache>
            </c:numRef>
          </c:val>
          <c:extLst>
            <c:ext xmlns:c16="http://schemas.microsoft.com/office/drawing/2014/chart" uri="{C3380CC4-5D6E-409C-BE32-E72D297353CC}">
              <c16:uniqueId val="{00000000-54D1-4F4B-94FE-FE0861B9E71A}"/>
            </c:ext>
          </c:extLst>
        </c:ser>
        <c:ser>
          <c:idx val="1"/>
          <c:order val="1"/>
          <c:tx>
            <c:strRef>
              <c:f>'Final Report'!$D$26</c:f>
              <c:strCache>
                <c:ptCount val="1"/>
                <c:pt idx="0">
                  <c:v>Remaining</c:v>
                </c:pt>
              </c:strCache>
            </c:strRef>
          </c:tx>
          <c:spPr>
            <a:solidFill>
              <a:srgbClr val="9BBB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Report'!$B$27</c:f>
              <c:strCache>
                <c:ptCount val="1"/>
                <c:pt idx="0">
                  <c:v>Pool Capacity</c:v>
                </c:pt>
              </c:strCache>
            </c:strRef>
          </c:cat>
          <c:val>
            <c:numRef>
              <c:f>'Final Report'!$D$27</c:f>
              <c:numCache>
                <c:formatCode>0.00</c:formatCode>
                <c:ptCount val="1"/>
                <c:pt idx="0">
                  <c:v>31.045200000000001</c:v>
                </c:pt>
              </c:numCache>
            </c:numRef>
          </c:val>
          <c:extLst>
            <c:ext xmlns:c16="http://schemas.microsoft.com/office/drawing/2014/chart" uri="{C3380CC4-5D6E-409C-BE32-E72D297353CC}">
              <c16:uniqueId val="{00000001-54D1-4F4B-94FE-FE0861B9E71A}"/>
            </c:ext>
          </c:extLst>
        </c:ser>
        <c:dLbls>
          <c:showLegendKey val="0"/>
          <c:showVal val="0"/>
          <c:showCatName val="0"/>
          <c:showSerName val="0"/>
          <c:showPercent val="0"/>
          <c:showBubbleSize val="0"/>
        </c:dLbls>
        <c:gapWidth val="150"/>
        <c:overlap val="100"/>
        <c:axId val="1340404271"/>
        <c:axId val="1340406191"/>
      </c:barChart>
      <c:catAx>
        <c:axId val="134040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06191"/>
        <c:crosses val="autoZero"/>
        <c:auto val="1"/>
        <c:lblAlgn val="ctr"/>
        <c:lblOffset val="100"/>
        <c:noMultiLvlLbl val="0"/>
      </c:catAx>
      <c:valAx>
        <c:axId val="13404061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0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206375</xdr:colOff>
      <xdr:row>27</xdr:row>
      <xdr:rowOff>0</xdr:rowOff>
    </xdr:from>
    <xdr:to>
      <xdr:col>4</xdr:col>
      <xdr:colOff>682625</xdr:colOff>
      <xdr:row>35</xdr:row>
      <xdr:rowOff>0</xdr:rowOff>
    </xdr:to>
    <xdr:graphicFrame macro="">
      <xdr:nvGraphicFramePr>
        <xdr:cNvPr id="3" name="Chart 2">
          <a:extLst>
            <a:ext uri="{FF2B5EF4-FFF2-40B4-BE49-F238E27FC236}">
              <a16:creationId xmlns:a16="http://schemas.microsoft.com/office/drawing/2014/main" id="{D743B70B-026B-358A-0F1D-211DEFAC3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17E352-A4A0-4D33-BC08-85BCD6DF4DC0}">
  <we:reference id="wa200009404" version="1.0.0.5" store="en-US" storeType="OMEX"/>
  <we:alternateReferences>
    <we:reference id="WA200009404" version="1.0.0.5" store="WA200009404" storeType="OMEX"/>
  </we:alternateReferences>
  <we:properties/>
  <we:bindings/>
  <we:snapshot xmlns:r="http://schemas.openxmlformats.org/officeDocument/2006/relationships"/>
</we:webextension>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8" Type="http://schemas.openxmlformats.org/officeDocument/2006/relationships/hyperlink" Target="https://learn.microsoft.com/en-us/azure/architecture/hybrid/azure-local-baseline" TargetMode="External"/><Relationship Id="rId3" Type="http://schemas.openxmlformats.org/officeDocument/2006/relationships/hyperlink" Target="https://learn.microsoft.com/en-us/windows-server/storage/storage-spaces/storage-spaces-direct-overview" TargetMode="External"/><Relationship Id="rId7" Type="http://schemas.openxmlformats.org/officeDocument/2006/relationships/hyperlink" Target="https://learn.microsoft.com/en-us/azure-stack/hci/manage/thin-provisioning" TargetMode="External"/><Relationship Id="rId2" Type="http://schemas.openxmlformats.org/officeDocument/2006/relationships/hyperlink" Target="https://learn.microsoft.com/en-us/windows-server/storage/storage-spaces/fault-tolerance" TargetMode="External"/><Relationship Id="rId1" Type="http://schemas.openxmlformats.org/officeDocument/2006/relationships/hyperlink" Target="https://learn.microsoft.com/en-us/windows-server/storage/storage-spaces/plan-volumes" TargetMode="External"/><Relationship Id="rId6" Type="http://schemas.openxmlformats.org/officeDocument/2006/relationships/hyperlink" Target="https://learn.microsoft.com/en-us/windows-server/storage/storage-spaces/nested-resiliency" TargetMode="External"/><Relationship Id="rId5" Type="http://schemas.openxmlformats.org/officeDocument/2006/relationships/hyperlink" Target="https://learn.microsoft.com/en-us/windows-server/storage/storage-spaces/cache" TargetMode="External"/><Relationship Id="rId10" Type="http://schemas.openxmlformats.org/officeDocument/2006/relationships/hyperlink" Target="https://learn.microsoft.com/en-us/azure/well-architected/service-guides/azure-local" TargetMode="External"/><Relationship Id="rId4" Type="http://schemas.openxmlformats.org/officeDocument/2006/relationships/hyperlink" Target="https://learn.microsoft.com/en-us/windows-server/storage/storage-spaces/storage-spaces-direct-hardware-requirements" TargetMode="External"/><Relationship Id="rId9" Type="http://schemas.openxmlformats.org/officeDocument/2006/relationships/hyperlink" Target="https://learn.microsoft.com/en-us/azure/azure-local/deploy/deploy-via-portal"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565C0"/>
  </sheetPr>
  <dimension ref="B2:D51"/>
  <sheetViews>
    <sheetView zoomScaleNormal="100" workbookViewId="0">
      <selection activeCell="C1" sqref="C1"/>
    </sheetView>
  </sheetViews>
  <sheetFormatPr defaultColWidth="8.7109375" defaultRowHeight="15" x14ac:dyDescent="0.25"/>
  <cols>
    <col min="1" max="1" width="3" customWidth="1"/>
    <col min="2" max="2" width="2.5703125" bestFit="1" customWidth="1"/>
    <col min="3" max="3" width="24.42578125" bestFit="1" customWidth="1"/>
    <col min="4" max="4" width="94.85546875" bestFit="1" customWidth="1"/>
  </cols>
  <sheetData>
    <row r="2" spans="2:4" ht="18" x14ac:dyDescent="0.25">
      <c r="B2" s="506" t="s">
        <v>854</v>
      </c>
      <c r="C2" s="507"/>
      <c r="D2" s="507"/>
    </row>
    <row r="3" spans="2:4" x14ac:dyDescent="0.25">
      <c r="B3" s="503" t="s">
        <v>0</v>
      </c>
      <c r="C3" s="503"/>
      <c r="D3" s="503"/>
    </row>
    <row r="5" spans="2:4" ht="49.5" customHeight="1" x14ac:dyDescent="0.25">
      <c r="B5" s="508" t="s">
        <v>1</v>
      </c>
      <c r="C5" s="508"/>
      <c r="D5" s="508"/>
    </row>
    <row r="7" spans="2:4" ht="16.5" x14ac:dyDescent="0.25">
      <c r="B7" s="509" t="s">
        <v>2</v>
      </c>
      <c r="C7" s="509"/>
      <c r="D7" s="509"/>
    </row>
    <row r="8" spans="2:4" ht="51.75" customHeight="1" x14ac:dyDescent="0.25">
      <c r="B8" s="47"/>
      <c r="C8" s="87" t="s">
        <v>3</v>
      </c>
      <c r="D8" s="88" t="s">
        <v>4</v>
      </c>
    </row>
    <row r="9" spans="2:4" ht="51.75" customHeight="1" x14ac:dyDescent="0.25">
      <c r="B9" s="47"/>
      <c r="C9" s="89" t="s">
        <v>5</v>
      </c>
      <c r="D9" s="90" t="s">
        <v>824</v>
      </c>
    </row>
    <row r="10" spans="2:4" ht="51.75" customHeight="1" x14ac:dyDescent="0.25">
      <c r="B10" s="47"/>
      <c r="C10" s="89" t="s">
        <v>6</v>
      </c>
      <c r="D10" s="91" t="s">
        <v>7</v>
      </c>
    </row>
    <row r="12" spans="2:4" x14ac:dyDescent="0.25">
      <c r="B12" s="503" t="s">
        <v>8</v>
      </c>
      <c r="C12" s="503"/>
      <c r="D12" s="503"/>
    </row>
    <row r="13" spans="2:4" ht="27.75" customHeight="1" x14ac:dyDescent="0.25">
      <c r="B13" s="92"/>
      <c r="C13" s="45" t="s">
        <v>9</v>
      </c>
      <c r="D13" s="93" t="s">
        <v>10</v>
      </c>
    </row>
    <row r="14" spans="2:4" ht="27.75" customHeight="1" x14ac:dyDescent="0.25">
      <c r="B14" s="53"/>
      <c r="C14" s="87" t="s">
        <v>11</v>
      </c>
      <c r="D14" s="93" t="s">
        <v>12</v>
      </c>
    </row>
    <row r="15" spans="2:4" ht="27.75" customHeight="1" x14ac:dyDescent="0.25">
      <c r="B15" s="94"/>
      <c r="C15" s="95" t="s">
        <v>13</v>
      </c>
      <c r="D15" s="93" t="s">
        <v>14</v>
      </c>
    </row>
    <row r="16" spans="2:4" ht="27.75" customHeight="1" x14ac:dyDescent="0.25">
      <c r="B16" s="96"/>
      <c r="C16" s="97" t="s">
        <v>15</v>
      </c>
      <c r="D16" s="93" t="s">
        <v>16</v>
      </c>
    </row>
    <row r="17" spans="2:4" ht="27.75" customHeight="1" x14ac:dyDescent="0.25">
      <c r="B17" s="98"/>
      <c r="C17" s="99" t="s">
        <v>17</v>
      </c>
      <c r="D17" s="93" t="s">
        <v>18</v>
      </c>
    </row>
    <row r="18" spans="2:4" ht="27.75" customHeight="1" x14ac:dyDescent="0.25">
      <c r="B18" s="44"/>
      <c r="C18" s="100" t="s">
        <v>19</v>
      </c>
      <c r="D18" s="93" t="s">
        <v>20</v>
      </c>
    </row>
    <row r="20" spans="2:4" x14ac:dyDescent="0.25">
      <c r="B20" s="503" t="s">
        <v>21</v>
      </c>
      <c r="C20" s="503"/>
      <c r="D20" s="503"/>
    </row>
    <row r="21" spans="2:4" ht="54.75" customHeight="1" x14ac:dyDescent="0.25">
      <c r="B21" s="47"/>
      <c r="C21" s="101" t="s">
        <v>22</v>
      </c>
      <c r="D21" s="102" t="s">
        <v>23</v>
      </c>
    </row>
    <row r="22" spans="2:4" ht="54.75" customHeight="1" x14ac:dyDescent="0.25">
      <c r="B22" s="47"/>
      <c r="C22" s="101" t="s">
        <v>898</v>
      </c>
      <c r="D22" s="102" t="s">
        <v>924</v>
      </c>
    </row>
    <row r="23" spans="2:4" ht="54.75" customHeight="1" x14ac:dyDescent="0.25">
      <c r="B23" s="47"/>
      <c r="C23" s="101" t="s">
        <v>899</v>
      </c>
      <c r="D23" s="102" t="s">
        <v>823</v>
      </c>
    </row>
    <row r="24" spans="2:4" ht="54.75" customHeight="1" x14ac:dyDescent="0.25">
      <c r="B24" s="47"/>
      <c r="C24" s="101" t="s">
        <v>900</v>
      </c>
      <c r="D24" s="103" t="s">
        <v>904</v>
      </c>
    </row>
    <row r="25" spans="2:4" ht="54.75" customHeight="1" x14ac:dyDescent="0.25">
      <c r="B25" s="47"/>
      <c r="C25" s="101" t="s">
        <v>901</v>
      </c>
      <c r="D25" s="103" t="s">
        <v>905</v>
      </c>
    </row>
    <row r="26" spans="2:4" ht="54.75" customHeight="1" x14ac:dyDescent="0.25">
      <c r="B26" s="47"/>
      <c r="C26" s="101" t="s">
        <v>611</v>
      </c>
      <c r="D26" s="102" t="s">
        <v>24</v>
      </c>
    </row>
    <row r="27" spans="2:4" ht="54.75" customHeight="1" x14ac:dyDescent="0.25">
      <c r="B27" s="47"/>
      <c r="C27" s="101" t="s">
        <v>717</v>
      </c>
      <c r="D27" s="103" t="s">
        <v>906</v>
      </c>
    </row>
    <row r="28" spans="2:4" ht="54.75" customHeight="1" x14ac:dyDescent="0.25">
      <c r="B28" s="47"/>
      <c r="C28" s="101" t="s">
        <v>902</v>
      </c>
      <c r="D28" s="102" t="s">
        <v>907</v>
      </c>
    </row>
    <row r="29" spans="2:4" ht="54.75" customHeight="1" x14ac:dyDescent="0.25">
      <c r="B29" s="47"/>
      <c r="C29" s="104" t="s">
        <v>903</v>
      </c>
      <c r="D29" s="105" t="s">
        <v>320</v>
      </c>
    </row>
    <row r="30" spans="2:4" ht="54.75" customHeight="1" x14ac:dyDescent="0.25">
      <c r="B30" s="106"/>
      <c r="C30" s="104" t="s">
        <v>718</v>
      </c>
      <c r="D30" s="107" t="s">
        <v>25</v>
      </c>
    </row>
    <row r="31" spans="2:4" ht="24" x14ac:dyDescent="0.25">
      <c r="B31" s="108"/>
      <c r="C31" s="101" t="s">
        <v>719</v>
      </c>
      <c r="D31" s="102" t="s">
        <v>908</v>
      </c>
    </row>
    <row r="32" spans="2:4" x14ac:dyDescent="0.25">
      <c r="B32" s="109"/>
      <c r="C32" s="110" t="s">
        <v>827</v>
      </c>
      <c r="D32" s="111" t="s">
        <v>909</v>
      </c>
    </row>
    <row r="33" spans="2:4" x14ac:dyDescent="0.25">
      <c r="B33" s="504" t="s">
        <v>26</v>
      </c>
      <c r="C33" s="505"/>
      <c r="D33" s="505"/>
    </row>
    <row r="34" spans="2:4" ht="49.5" customHeight="1" x14ac:dyDescent="0.25">
      <c r="B34" s="47"/>
      <c r="C34" s="112" t="s">
        <v>27</v>
      </c>
      <c r="D34" s="113" t="s">
        <v>28</v>
      </c>
    </row>
    <row r="35" spans="2:4" ht="49.5" customHeight="1" x14ac:dyDescent="0.25">
      <c r="B35" s="47"/>
      <c r="C35" s="112" t="s">
        <v>29</v>
      </c>
      <c r="D35" s="113" t="s">
        <v>30</v>
      </c>
    </row>
    <row r="36" spans="2:4" ht="49.5" customHeight="1" x14ac:dyDescent="0.25">
      <c r="B36" s="47"/>
      <c r="C36" s="112" t="s">
        <v>31</v>
      </c>
      <c r="D36" s="113" t="s">
        <v>32</v>
      </c>
    </row>
    <row r="37" spans="2:4" ht="49.5" customHeight="1" x14ac:dyDescent="0.25">
      <c r="B37" s="47"/>
      <c r="C37" s="112" t="s">
        <v>33</v>
      </c>
      <c r="D37" s="102" t="s">
        <v>321</v>
      </c>
    </row>
    <row r="38" spans="2:4" ht="49.5" customHeight="1" x14ac:dyDescent="0.25">
      <c r="B38" s="47"/>
      <c r="C38" s="112" t="s">
        <v>34</v>
      </c>
      <c r="D38" s="113" t="s">
        <v>35</v>
      </c>
    </row>
    <row r="39" spans="2:4" ht="49.5" customHeight="1" x14ac:dyDescent="0.25">
      <c r="B39" s="47"/>
      <c r="C39" s="112" t="s">
        <v>36</v>
      </c>
      <c r="D39" s="113" t="s">
        <v>37</v>
      </c>
    </row>
    <row r="40" spans="2:4" ht="49.5" customHeight="1" x14ac:dyDescent="0.25">
      <c r="B40" s="47"/>
      <c r="C40" s="112" t="s">
        <v>38</v>
      </c>
      <c r="D40" s="113" t="s">
        <v>39</v>
      </c>
    </row>
    <row r="41" spans="2:4" ht="49.5" customHeight="1" x14ac:dyDescent="0.25">
      <c r="B41" s="47"/>
      <c r="C41" s="112" t="s">
        <v>40</v>
      </c>
      <c r="D41" s="113" t="s">
        <v>41</v>
      </c>
    </row>
    <row r="43" spans="2:4" x14ac:dyDescent="0.25">
      <c r="B43" s="503" t="s">
        <v>42</v>
      </c>
      <c r="C43" s="503"/>
      <c r="D43" s="503"/>
    </row>
    <row r="44" spans="2:4" ht="31.5" customHeight="1" x14ac:dyDescent="0.25">
      <c r="B44" s="100" t="s">
        <v>43</v>
      </c>
      <c r="C44" s="502" t="s">
        <v>44</v>
      </c>
      <c r="D44" s="502"/>
    </row>
    <row r="45" spans="2:4" ht="31.5" customHeight="1" x14ac:dyDescent="0.25">
      <c r="B45" s="100" t="s">
        <v>45</v>
      </c>
      <c r="C45" s="502" t="s">
        <v>46</v>
      </c>
      <c r="D45" s="502"/>
    </row>
    <row r="46" spans="2:4" ht="31.5" customHeight="1" x14ac:dyDescent="0.25">
      <c r="B46" s="100" t="s">
        <v>47</v>
      </c>
      <c r="C46" s="502" t="s">
        <v>48</v>
      </c>
      <c r="D46" s="502"/>
    </row>
    <row r="47" spans="2:4" ht="31.5" customHeight="1" x14ac:dyDescent="0.25">
      <c r="B47" s="100" t="s">
        <v>49</v>
      </c>
      <c r="C47" s="502" t="s">
        <v>50</v>
      </c>
      <c r="D47" s="502"/>
    </row>
    <row r="48" spans="2:4" ht="31.5" customHeight="1" x14ac:dyDescent="0.25">
      <c r="B48" s="100" t="s">
        <v>51</v>
      </c>
      <c r="C48" s="502" t="s">
        <v>52</v>
      </c>
      <c r="D48" s="502"/>
    </row>
    <row r="49" spans="2:4" ht="31.5" customHeight="1" x14ac:dyDescent="0.25">
      <c r="B49" s="100" t="s">
        <v>53</v>
      </c>
      <c r="C49" s="502" t="s">
        <v>54</v>
      </c>
      <c r="D49" s="502"/>
    </row>
    <row r="50" spans="2:4" ht="31.5" customHeight="1" x14ac:dyDescent="0.25">
      <c r="B50" s="100" t="s">
        <v>55</v>
      </c>
      <c r="C50" s="502" t="s">
        <v>56</v>
      </c>
      <c r="D50" s="502"/>
    </row>
    <row r="51" spans="2:4" ht="31.5" customHeight="1" x14ac:dyDescent="0.25">
      <c r="B51" s="100" t="s">
        <v>57</v>
      </c>
      <c r="C51" s="502" t="s">
        <v>58</v>
      </c>
      <c r="D51" s="502"/>
    </row>
  </sheetData>
  <sheetProtection sheet="1" objects="1" scenarios="1"/>
  <mergeCells count="16">
    <mergeCell ref="B2:D2"/>
    <mergeCell ref="B3:D3"/>
    <mergeCell ref="B5:D5"/>
    <mergeCell ref="B7:D7"/>
    <mergeCell ref="B12:D12"/>
    <mergeCell ref="B20:D20"/>
    <mergeCell ref="B43:D43"/>
    <mergeCell ref="C44:D44"/>
    <mergeCell ref="C45:D45"/>
    <mergeCell ref="B33:D33"/>
    <mergeCell ref="C51:D51"/>
    <mergeCell ref="C46:D46"/>
    <mergeCell ref="C47:D47"/>
    <mergeCell ref="C48:D48"/>
    <mergeCell ref="C49:D49"/>
    <mergeCell ref="C50:D5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B2:E50"/>
  <sheetViews>
    <sheetView topLeftCell="A3" zoomScaleNormal="100" workbookViewId="0">
      <selection activeCell="C22" sqref="C22"/>
    </sheetView>
  </sheetViews>
  <sheetFormatPr defaultColWidth="8.7109375" defaultRowHeight="15" x14ac:dyDescent="0.25"/>
  <cols>
    <col min="1" max="1" width="3" customWidth="1"/>
    <col min="2" max="2" width="81.5703125" bestFit="1" customWidth="1"/>
    <col min="3" max="3" width="20" bestFit="1" customWidth="1"/>
    <col min="4" max="4" width="16.28515625" bestFit="1" customWidth="1"/>
    <col min="5" max="5" width="58.7109375" bestFit="1" customWidth="1"/>
  </cols>
  <sheetData>
    <row r="2" spans="2:5" ht="18" x14ac:dyDescent="0.25">
      <c r="B2" s="506" t="s">
        <v>853</v>
      </c>
      <c r="C2" s="507"/>
      <c r="D2" s="507"/>
      <c r="E2" s="507"/>
    </row>
    <row r="3" spans="2:5" x14ac:dyDescent="0.25">
      <c r="B3" s="503" t="s">
        <v>59</v>
      </c>
      <c r="C3" s="503"/>
      <c r="D3" s="503"/>
      <c r="E3" s="503"/>
    </row>
    <row r="5" spans="2:5" x14ac:dyDescent="0.25">
      <c r="B5" s="43" t="s">
        <v>60</v>
      </c>
    </row>
    <row r="7" spans="2:5" x14ac:dyDescent="0.25">
      <c r="B7" s="503" t="s">
        <v>61</v>
      </c>
      <c r="C7" s="503"/>
      <c r="D7" s="503"/>
      <c r="E7" s="503"/>
    </row>
    <row r="8" spans="2:5" x14ac:dyDescent="0.25">
      <c r="B8" s="44" t="s">
        <v>62</v>
      </c>
      <c r="C8" s="3">
        <v>3</v>
      </c>
      <c r="D8" s="43" t="s">
        <v>63</v>
      </c>
      <c r="E8" s="43" t="s">
        <v>64</v>
      </c>
    </row>
    <row r="9" spans="2:5" x14ac:dyDescent="0.25">
      <c r="B9" s="44" t="s">
        <v>65</v>
      </c>
      <c r="C9" s="4" t="s">
        <v>66</v>
      </c>
      <c r="D9" s="43" t="s">
        <v>67</v>
      </c>
      <c r="E9" s="43" t="s">
        <v>68</v>
      </c>
    </row>
    <row r="10" spans="2:5" x14ac:dyDescent="0.25">
      <c r="B10" s="44" t="s">
        <v>69</v>
      </c>
      <c r="C10" s="3">
        <v>4</v>
      </c>
      <c r="D10" s="43" t="s">
        <v>70</v>
      </c>
      <c r="E10" s="43" t="s">
        <v>926</v>
      </c>
    </row>
    <row r="11" spans="2:5" x14ac:dyDescent="0.25">
      <c r="B11" s="44" t="s">
        <v>71</v>
      </c>
      <c r="C11" s="5">
        <v>3.84</v>
      </c>
      <c r="D11" s="43" t="s">
        <v>72</v>
      </c>
      <c r="E11" s="43" t="s">
        <v>73</v>
      </c>
    </row>
    <row r="12" spans="2:5" x14ac:dyDescent="0.25">
      <c r="B12" s="44" t="s">
        <v>74</v>
      </c>
      <c r="C12" s="4">
        <v>0</v>
      </c>
      <c r="D12" s="43" t="s">
        <v>75</v>
      </c>
      <c r="E12" s="43" t="s">
        <v>76</v>
      </c>
    </row>
    <row r="13" spans="2:5" x14ac:dyDescent="0.25">
      <c r="B13" s="44" t="s">
        <v>77</v>
      </c>
      <c r="C13" s="4" t="s">
        <v>78</v>
      </c>
      <c r="D13" s="43" t="s">
        <v>67</v>
      </c>
      <c r="E13" s="43" t="s">
        <v>79</v>
      </c>
    </row>
    <row r="15" spans="2:5" x14ac:dyDescent="0.25">
      <c r="B15" s="503" t="s">
        <v>80</v>
      </c>
      <c r="C15" s="503"/>
      <c r="D15" s="503"/>
      <c r="E15" s="503"/>
    </row>
    <row r="16" spans="2:5" x14ac:dyDescent="0.25">
      <c r="B16" s="44" t="s">
        <v>81</v>
      </c>
      <c r="C16" s="46">
        <f>C8*C10</f>
        <v>12</v>
      </c>
      <c r="D16" s="47" t="s">
        <v>82</v>
      </c>
      <c r="E16" s="43" t="s">
        <v>83</v>
      </c>
    </row>
    <row r="17" spans="2:5" x14ac:dyDescent="0.25">
      <c r="B17" s="44" t="s">
        <v>84</v>
      </c>
      <c r="C17" s="46">
        <f>IF(C9="NVMe + SSD (NVMe is Cache)",C8*C12,0)</f>
        <v>0</v>
      </c>
      <c r="D17" s="47" t="s">
        <v>82</v>
      </c>
      <c r="E17" s="43" t="s">
        <v>85</v>
      </c>
    </row>
    <row r="18" spans="2:5" x14ac:dyDescent="0.25">
      <c r="B18" s="44" t="s">
        <v>86</v>
      </c>
      <c r="C18" s="48">
        <f>C16*C11</f>
        <v>46.08</v>
      </c>
      <c r="D18" s="47" t="s">
        <v>87</v>
      </c>
      <c r="E18" s="43" t="s">
        <v>88</v>
      </c>
    </row>
    <row r="19" spans="2:5" x14ac:dyDescent="0.25">
      <c r="B19" s="44" t="s">
        <v>89</v>
      </c>
      <c r="C19" s="48">
        <f>C11*'Advanced Settings'!C8</f>
        <v>3.5327999999999999</v>
      </c>
      <c r="D19" s="47" t="s">
        <v>87</v>
      </c>
      <c r="E19" s="43" t="s">
        <v>90</v>
      </c>
    </row>
    <row r="20" spans="2:5" x14ac:dyDescent="0.25">
      <c r="B20" s="44" t="s">
        <v>91</v>
      </c>
      <c r="C20" s="48">
        <f>C16*C19</f>
        <v>42.393599999999999</v>
      </c>
      <c r="D20" s="47" t="s">
        <v>87</v>
      </c>
      <c r="E20" s="43" t="s">
        <v>92</v>
      </c>
    </row>
    <row r="21" spans="2:5" x14ac:dyDescent="0.25">
      <c r="B21" s="49" t="s">
        <v>93</v>
      </c>
      <c r="C21" s="50">
        <f>MIN(C8,4)*C19</f>
        <v>10.5984</v>
      </c>
      <c r="D21" s="47" t="s">
        <v>87</v>
      </c>
      <c r="E21" s="43" t="s">
        <v>94</v>
      </c>
    </row>
    <row r="22" spans="2:5" x14ac:dyDescent="0.25">
      <c r="B22" s="49" t="s">
        <v>95</v>
      </c>
      <c r="C22" s="50">
        <f>'Advanced Settings'!C14</f>
        <v>0.75</v>
      </c>
      <c r="D22" s="47" t="s">
        <v>96</v>
      </c>
      <c r="E22" s="43" t="s">
        <v>97</v>
      </c>
    </row>
    <row r="24" spans="2:5" ht="36" customHeight="1" x14ac:dyDescent="0.3">
      <c r="B24" s="51" t="s">
        <v>98</v>
      </c>
      <c r="C24" s="52">
        <f>C20-C21-C22</f>
        <v>31.045200000000001</v>
      </c>
      <c r="D24" s="51" t="s">
        <v>87</v>
      </c>
      <c r="E24" s="53" t="s">
        <v>99</v>
      </c>
    </row>
    <row r="26" spans="2:5" x14ac:dyDescent="0.25">
      <c r="B26" s="54" t="s">
        <v>100</v>
      </c>
      <c r="C26" s="48">
        <f>ROUND(C24*1000/1024,2)</f>
        <v>30.32</v>
      </c>
      <c r="D26" s="47" t="s">
        <v>101</v>
      </c>
      <c r="E26" s="43" t="s">
        <v>102</v>
      </c>
    </row>
    <row r="28" spans="2:5" x14ac:dyDescent="0.25">
      <c r="B28" s="55" t="s">
        <v>471</v>
      </c>
      <c r="C28" s="56"/>
      <c r="D28" s="57"/>
      <c r="E28" s="58"/>
    </row>
    <row r="29" spans="2:5" x14ac:dyDescent="0.25">
      <c r="B29" s="59" t="s">
        <v>472</v>
      </c>
      <c r="C29" s="6">
        <v>32</v>
      </c>
      <c r="D29" s="61" t="s">
        <v>473</v>
      </c>
      <c r="E29" s="62" t="s">
        <v>474</v>
      </c>
    </row>
    <row r="30" spans="2:5" x14ac:dyDescent="0.25">
      <c r="B30" s="59" t="s">
        <v>475</v>
      </c>
      <c r="C30" s="7" t="s">
        <v>131</v>
      </c>
      <c r="D30" s="63" t="s">
        <v>476</v>
      </c>
      <c r="E30" s="62" t="s">
        <v>477</v>
      </c>
    </row>
    <row r="31" spans="2:5" x14ac:dyDescent="0.25">
      <c r="B31" s="59" t="s">
        <v>478</v>
      </c>
      <c r="C31" s="6">
        <v>256</v>
      </c>
      <c r="D31" s="61" t="s">
        <v>126</v>
      </c>
      <c r="E31" s="62" t="s">
        <v>479</v>
      </c>
    </row>
    <row r="32" spans="2:5" x14ac:dyDescent="0.25">
      <c r="B32" s="59" t="s">
        <v>480</v>
      </c>
      <c r="C32" s="6">
        <v>32</v>
      </c>
      <c r="D32" s="61" t="s">
        <v>126</v>
      </c>
      <c r="E32" s="62" t="s">
        <v>481</v>
      </c>
    </row>
    <row r="33" spans="2:5" x14ac:dyDescent="0.25">
      <c r="B33" s="64"/>
      <c r="C33" s="64"/>
      <c r="D33" s="65"/>
      <c r="E33" s="66"/>
    </row>
    <row r="34" spans="2:5" x14ac:dyDescent="0.25">
      <c r="B34" s="55" t="s">
        <v>482</v>
      </c>
      <c r="C34" s="56"/>
      <c r="D34" s="57"/>
      <c r="E34" s="58"/>
    </row>
    <row r="35" spans="2:5" x14ac:dyDescent="0.25">
      <c r="B35" s="59" t="s">
        <v>483</v>
      </c>
      <c r="C35" s="67">
        <f>IF(C30="Yes",C29*2,C29)</f>
        <v>64</v>
      </c>
      <c r="D35" s="61" t="s">
        <v>484</v>
      </c>
      <c r="E35" s="62" t="s">
        <v>485</v>
      </c>
    </row>
    <row r="36" spans="2:5" x14ac:dyDescent="0.25">
      <c r="B36" s="59" t="s">
        <v>486</v>
      </c>
      <c r="C36" s="67">
        <f>C31-C32</f>
        <v>224</v>
      </c>
      <c r="D36" s="61" t="s">
        <v>126</v>
      </c>
      <c r="E36" s="62" t="s">
        <v>487</v>
      </c>
    </row>
    <row r="37" spans="2:5" x14ac:dyDescent="0.25">
      <c r="B37" s="68" t="s">
        <v>488</v>
      </c>
      <c r="C37" s="67">
        <f>C35*C8</f>
        <v>192</v>
      </c>
      <c r="D37" s="69" t="s">
        <v>484</v>
      </c>
      <c r="E37" s="62" t="s">
        <v>489</v>
      </c>
    </row>
    <row r="38" spans="2:5" x14ac:dyDescent="0.25">
      <c r="B38" s="70" t="s">
        <v>490</v>
      </c>
      <c r="C38" s="71">
        <f>C36*C8</f>
        <v>672</v>
      </c>
      <c r="D38" s="72" t="s">
        <v>126</v>
      </c>
      <c r="E38" s="73" t="s">
        <v>494</v>
      </c>
    </row>
    <row r="39" spans="2:5" ht="36" customHeight="1" x14ac:dyDescent="0.25">
      <c r="B39" s="74" t="s">
        <v>491</v>
      </c>
      <c r="C39" s="75">
        <f>C35*(C8-1)</f>
        <v>128</v>
      </c>
      <c r="D39" s="76" t="s">
        <v>484</v>
      </c>
      <c r="E39" s="77" t="s">
        <v>495</v>
      </c>
    </row>
    <row r="40" spans="2:5" ht="15.75" x14ac:dyDescent="0.25">
      <c r="B40" s="78" t="s">
        <v>492</v>
      </c>
      <c r="C40" s="79">
        <f>C36*(C8-1)</f>
        <v>448</v>
      </c>
      <c r="D40" s="80" t="s">
        <v>126</v>
      </c>
      <c r="E40" s="81" t="s">
        <v>493</v>
      </c>
    </row>
    <row r="41" spans="2:5" ht="15.75" x14ac:dyDescent="0.25">
      <c r="B41" s="82"/>
      <c r="C41" s="83"/>
      <c r="D41" s="84"/>
      <c r="E41" s="81"/>
    </row>
    <row r="42" spans="2:5" x14ac:dyDescent="0.25">
      <c r="B42" s="510" t="s">
        <v>103</v>
      </c>
      <c r="C42" s="510"/>
      <c r="D42" s="510"/>
      <c r="E42" s="510"/>
    </row>
    <row r="43" spans="2:5" x14ac:dyDescent="0.25">
      <c r="B43" s="85" t="s">
        <v>104</v>
      </c>
      <c r="C43" s="85" t="s">
        <v>105</v>
      </c>
      <c r="D43" s="85" t="s">
        <v>106</v>
      </c>
      <c r="E43" s="85" t="s">
        <v>107</v>
      </c>
    </row>
    <row r="44" spans="2:5" x14ac:dyDescent="0.25">
      <c r="B44" s="47" t="s">
        <v>108</v>
      </c>
      <c r="C44" s="86" t="s">
        <v>109</v>
      </c>
      <c r="D44" s="86">
        <v>2</v>
      </c>
      <c r="E44" s="47" t="s">
        <v>110</v>
      </c>
    </row>
    <row r="45" spans="2:5" x14ac:dyDescent="0.25">
      <c r="B45" s="47" t="s">
        <v>111</v>
      </c>
      <c r="C45" s="86" t="s">
        <v>112</v>
      </c>
      <c r="D45" s="86">
        <v>3</v>
      </c>
      <c r="E45" s="47" t="s">
        <v>113</v>
      </c>
    </row>
    <row r="46" spans="2:5" x14ac:dyDescent="0.25">
      <c r="B46" s="47" t="s">
        <v>114</v>
      </c>
      <c r="C46" s="86" t="s">
        <v>109</v>
      </c>
      <c r="D46" s="86">
        <v>4</v>
      </c>
      <c r="E46" s="47" t="s">
        <v>113</v>
      </c>
    </row>
    <row r="47" spans="2:5" x14ac:dyDescent="0.25">
      <c r="B47" s="47" t="s">
        <v>115</v>
      </c>
      <c r="C47" s="86" t="s">
        <v>116</v>
      </c>
      <c r="D47" s="86">
        <v>7</v>
      </c>
      <c r="E47" s="47" t="s">
        <v>113</v>
      </c>
    </row>
    <row r="48" spans="2:5" x14ac:dyDescent="0.25">
      <c r="B48" s="47" t="s">
        <v>117</v>
      </c>
      <c r="C48" s="86" t="s">
        <v>118</v>
      </c>
      <c r="D48" s="86">
        <v>9</v>
      </c>
      <c r="E48" s="47" t="s">
        <v>113</v>
      </c>
    </row>
    <row r="49" spans="2:5" x14ac:dyDescent="0.25">
      <c r="B49" s="47" t="s">
        <v>119</v>
      </c>
      <c r="C49" s="86" t="s">
        <v>120</v>
      </c>
      <c r="D49" s="86">
        <v>16</v>
      </c>
      <c r="E49" s="47" t="s">
        <v>113</v>
      </c>
    </row>
    <row r="50" spans="2:5" x14ac:dyDescent="0.25">
      <c r="B50" s="47" t="s">
        <v>121</v>
      </c>
      <c r="C50" s="86" t="s">
        <v>122</v>
      </c>
      <c r="D50" s="86">
        <v>2</v>
      </c>
      <c r="E50" s="47" t="s">
        <v>123</v>
      </c>
    </row>
  </sheetData>
  <sheetProtection sheet="1" objects="1" scenarios="1"/>
  <mergeCells count="5">
    <mergeCell ref="B42:E42"/>
    <mergeCell ref="B2:E2"/>
    <mergeCell ref="B3:E3"/>
    <mergeCell ref="B7:E7"/>
    <mergeCell ref="B15:E15"/>
  </mergeCells>
  <dataValidations count="4">
    <dataValidation type="list" allowBlank="1" showInputMessage="1" showErrorMessage="1" sqref="C30" xr:uid="{208F75E0-F2A1-4AC3-9974-D19C6353B932}">
      <formula1>"Yes,No"</formula1>
    </dataValidation>
    <dataValidation type="list" allowBlank="1" showInputMessage="1" showErrorMessage="1" sqref="C8" xr:uid="{963EA7CF-AB54-452B-9133-7FB4F618FCFE}">
      <formula1>"1,2,3,4,5,6,7,8,9,10,11,12,13,14,15,16"</formula1>
    </dataValidation>
    <dataValidation type="list" allowBlank="1" showInputMessage="1" showErrorMessage="1" sqref="C9" xr:uid="{FC4CFF6C-92C0-4D41-A5B4-FEE181220D93}">
      <formula1>"All-NVMe (No Cache),NVMe + SSD (NVMe is Cache)"</formula1>
    </dataValidation>
    <dataValidation type="list" allowBlank="1" showInputMessage="1" showErrorMessage="1" sqref="C13" xr:uid="{917C79B0-9ED1-4181-A9E4-68BB849EAF90}">
      <formula1>"Fixed (Thick),Thin"</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2:F161"/>
  <sheetViews>
    <sheetView tabSelected="1" topLeftCell="A121" zoomScaleNormal="100" workbookViewId="0">
      <selection activeCell="B139" sqref="B139"/>
    </sheetView>
  </sheetViews>
  <sheetFormatPr defaultColWidth="8.7109375" defaultRowHeight="15" x14ac:dyDescent="0.25"/>
  <cols>
    <col min="1" max="1" width="2.85546875" customWidth="1"/>
    <col min="2" max="2" width="74.42578125" bestFit="1" customWidth="1"/>
    <col min="3" max="3" width="51.7109375" bestFit="1" customWidth="1"/>
    <col min="4" max="4" width="19" customWidth="1"/>
    <col min="5" max="5" width="41" bestFit="1" customWidth="1"/>
    <col min="6" max="6" width="122.140625" bestFit="1" customWidth="1"/>
    <col min="7" max="7" width="50" customWidth="1"/>
  </cols>
  <sheetData>
    <row r="2" spans="2:6" ht="18" x14ac:dyDescent="0.25">
      <c r="B2" s="114" t="s">
        <v>322</v>
      </c>
      <c r="C2" s="115"/>
      <c r="D2" s="115"/>
      <c r="E2" s="115"/>
      <c r="F2" s="115"/>
    </row>
    <row r="3" spans="2:6" x14ac:dyDescent="0.25">
      <c r="B3" s="116" t="s">
        <v>323</v>
      </c>
      <c r="C3" s="117"/>
      <c r="D3" s="117"/>
      <c r="E3" s="117"/>
      <c r="F3" s="117"/>
    </row>
    <row r="5" spans="2:6" ht="30" customHeight="1" x14ac:dyDescent="0.3">
      <c r="B5" s="118" t="s">
        <v>124</v>
      </c>
      <c r="C5" s="119">
        <f>'Hardware Inputs'!C24</f>
        <v>31.045200000000001</v>
      </c>
      <c r="D5" s="118" t="s">
        <v>87</v>
      </c>
      <c r="E5" s="120">
        <f>'Hardware Inputs'!C24</f>
        <v>31.045200000000001</v>
      </c>
      <c r="F5" s="121"/>
    </row>
    <row r="7" spans="2:6" ht="24" customHeight="1" x14ac:dyDescent="0.25">
      <c r="B7" s="116" t="s">
        <v>621</v>
      </c>
      <c r="C7" s="117"/>
      <c r="D7" s="117"/>
      <c r="E7" s="117"/>
      <c r="F7" s="117"/>
    </row>
    <row r="8" spans="2:6" x14ac:dyDescent="0.25">
      <c r="B8" s="122" t="s">
        <v>324</v>
      </c>
      <c r="C8" s="232" t="str">
        <f>'AVD Planning'!C6</f>
        <v>No</v>
      </c>
      <c r="F8" s="124" t="s">
        <v>820</v>
      </c>
    </row>
    <row r="9" spans="2:6" ht="21.95" customHeight="1" x14ac:dyDescent="0.25">
      <c r="B9" s="125" t="s">
        <v>816</v>
      </c>
      <c r="C9" s="126"/>
      <c r="D9" s="126"/>
      <c r="E9" s="126"/>
      <c r="F9" s="127" t="s">
        <v>821</v>
      </c>
    </row>
    <row r="10" spans="2:6" x14ac:dyDescent="0.25">
      <c r="B10" s="122" t="s">
        <v>326</v>
      </c>
      <c r="C10" s="233">
        <f>'AVD Planning'!C9</f>
        <v>32</v>
      </c>
      <c r="D10" s="129" t="s">
        <v>125</v>
      </c>
    </row>
    <row r="11" spans="2:6" x14ac:dyDescent="0.25">
      <c r="B11" s="122" t="s">
        <v>328</v>
      </c>
      <c r="C11" s="234">
        <f>'AVD Planning'!C10</f>
        <v>127</v>
      </c>
      <c r="D11" s="129" t="s">
        <v>126</v>
      </c>
    </row>
    <row r="12" spans="2:6" x14ac:dyDescent="0.25">
      <c r="B12" s="122" t="s">
        <v>330</v>
      </c>
      <c r="C12" s="234">
        <f>'AVD Planning'!C11</f>
        <v>50</v>
      </c>
      <c r="D12" s="129" t="s">
        <v>126</v>
      </c>
    </row>
    <row r="13" spans="2:6" x14ac:dyDescent="0.25">
      <c r="B13" s="122" t="s">
        <v>332</v>
      </c>
      <c r="C13" s="232" t="str">
        <f>'AVD Planning'!C12</f>
        <v>Two-Way Mirror</v>
      </c>
      <c r="D13" s="124" t="str">
        <f>'AVD Planning'!D12</f>
        <v>50% eff.</v>
      </c>
    </row>
    <row r="14" spans="2:6" x14ac:dyDescent="0.25">
      <c r="B14" s="130" t="s">
        <v>333</v>
      </c>
      <c r="C14" s="131">
        <f>'AVD Planning'!C13</f>
        <v>0</v>
      </c>
      <c r="D14" s="132" t="s">
        <v>87</v>
      </c>
    </row>
    <row r="15" spans="2:6" x14ac:dyDescent="0.25">
      <c r="B15" s="133" t="s">
        <v>334</v>
      </c>
      <c r="C15" s="134">
        <f>'AVD Planning'!C14</f>
        <v>0</v>
      </c>
      <c r="D15" s="135" t="s">
        <v>87</v>
      </c>
    </row>
    <row r="16" spans="2:6" ht="21.95" customHeight="1" x14ac:dyDescent="0.25">
      <c r="B16" s="136" t="s">
        <v>822</v>
      </c>
      <c r="C16" s="137"/>
      <c r="D16" s="137"/>
      <c r="E16" s="137"/>
      <c r="F16" s="137"/>
    </row>
    <row r="17" spans="1:6" ht="21.95" customHeight="1" x14ac:dyDescent="0.25">
      <c r="B17" s="122" t="s">
        <v>658</v>
      </c>
      <c r="C17" s="232" t="str">
        <f>'AVD Planning'!C17</f>
        <v>S2D Volume (local)</v>
      </c>
    </row>
    <row r="18" spans="1:6" x14ac:dyDescent="0.25">
      <c r="B18" s="122" t="s">
        <v>335</v>
      </c>
      <c r="C18" s="233">
        <f>'AVD Planning'!C18</f>
        <v>1300</v>
      </c>
      <c r="D18" s="129" t="s">
        <v>128</v>
      </c>
    </row>
    <row r="19" spans="1:6" x14ac:dyDescent="0.25">
      <c r="B19" s="122" t="s">
        <v>762</v>
      </c>
      <c r="C19" s="233">
        <f>'AVD Planning'!C19</f>
        <v>300</v>
      </c>
      <c r="D19" s="129" t="s">
        <v>128</v>
      </c>
    </row>
    <row r="20" spans="1:6" x14ac:dyDescent="0.25">
      <c r="B20" s="122" t="s">
        <v>817</v>
      </c>
      <c r="C20" s="234">
        <f>'AVD Planning'!C20</f>
        <v>5</v>
      </c>
      <c r="D20" s="129" t="s">
        <v>126</v>
      </c>
    </row>
    <row r="21" spans="1:6" x14ac:dyDescent="0.25">
      <c r="B21" s="122" t="s">
        <v>747</v>
      </c>
      <c r="C21" s="235">
        <f>'AVD Planning'!C21</f>
        <v>0.3</v>
      </c>
      <c r="D21" s="129" t="s">
        <v>129</v>
      </c>
    </row>
    <row r="22" spans="1:6" x14ac:dyDescent="0.25">
      <c r="B22" s="122" t="s">
        <v>340</v>
      </c>
      <c r="C22" s="232" t="str">
        <f>'AVD Planning'!C22</f>
        <v>Three-Way Mirror</v>
      </c>
      <c r="D22" s="124" t="str">
        <f>'AVD Planning'!D22</f>
        <v>33% eff.</v>
      </c>
    </row>
    <row r="23" spans="1:6" x14ac:dyDescent="0.25">
      <c r="B23" s="130" t="s">
        <v>341</v>
      </c>
      <c r="C23" s="131">
        <f>'AVD Planning'!C23</f>
        <v>0</v>
      </c>
      <c r="D23" s="132" t="s">
        <v>87</v>
      </c>
    </row>
    <row r="24" spans="1:6" x14ac:dyDescent="0.25">
      <c r="B24" s="133" t="s">
        <v>342</v>
      </c>
      <c r="C24" s="134">
        <f>'AVD Planning'!C24</f>
        <v>0</v>
      </c>
      <c r="D24" s="135" t="s">
        <v>87</v>
      </c>
    </row>
    <row r="25" spans="1:6" ht="21.95" customHeight="1" x14ac:dyDescent="0.25">
      <c r="B25" s="138" t="s">
        <v>343</v>
      </c>
      <c r="C25" s="139">
        <f>'AVD Planning'!C25</f>
        <v>0</v>
      </c>
      <c r="D25" s="130" t="s">
        <v>87</v>
      </c>
    </row>
    <row r="26" spans="1:6" ht="21.95" customHeight="1" x14ac:dyDescent="0.25">
      <c r="A26" s="140"/>
      <c r="B26" s="136" t="s">
        <v>818</v>
      </c>
      <c r="C26" s="141"/>
      <c r="D26" s="137"/>
      <c r="E26" s="137"/>
      <c r="F26" s="137"/>
    </row>
    <row r="27" spans="1:6" x14ac:dyDescent="0.25">
      <c r="A27" s="140"/>
      <c r="B27" s="122" t="s">
        <v>662</v>
      </c>
      <c r="C27" s="236">
        <f>'AVD Planning'!C28</f>
        <v>8</v>
      </c>
      <c r="D27" s="129" t="s">
        <v>484</v>
      </c>
    </row>
    <row r="28" spans="1:6" x14ac:dyDescent="0.25">
      <c r="A28" s="140"/>
      <c r="B28" s="122" t="s">
        <v>663</v>
      </c>
      <c r="C28" s="234">
        <f>'AVD Planning'!C29</f>
        <v>32</v>
      </c>
      <c r="D28" s="129" t="s">
        <v>126</v>
      </c>
    </row>
    <row r="29" spans="1:6" x14ac:dyDescent="0.25">
      <c r="A29" s="140"/>
      <c r="B29" s="122" t="s">
        <v>625</v>
      </c>
      <c r="C29" s="237" t="str">
        <f>'AVD Planning'!C30</f>
        <v>4:1</v>
      </c>
      <c r="D29" s="129" t="s">
        <v>501</v>
      </c>
    </row>
    <row r="30" spans="1:6" x14ac:dyDescent="0.25">
      <c r="A30" s="140"/>
      <c r="B30" s="122" t="s">
        <v>502</v>
      </c>
      <c r="C30" s="236">
        <f>'AVD Planning'!C31</f>
        <v>2</v>
      </c>
      <c r="D30" s="129" t="s">
        <v>484</v>
      </c>
    </row>
    <row r="31" spans="1:6" x14ac:dyDescent="0.25">
      <c r="A31" s="140"/>
      <c r="B31" s="122" t="s">
        <v>504</v>
      </c>
      <c r="C31" s="234">
        <f>'AVD Planning'!C32</f>
        <v>4</v>
      </c>
      <c r="D31" s="129" t="s">
        <v>126</v>
      </c>
    </row>
    <row r="32" spans="1:6" x14ac:dyDescent="0.25">
      <c r="A32" s="140"/>
      <c r="B32" s="130" t="s">
        <v>506</v>
      </c>
      <c r="C32" s="131">
        <f>'AVD Planning'!C33</f>
        <v>0</v>
      </c>
      <c r="D32" s="132" t="s">
        <v>507</v>
      </c>
    </row>
    <row r="33" spans="1:6" x14ac:dyDescent="0.25">
      <c r="A33" s="140"/>
      <c r="B33" s="130" t="s">
        <v>819</v>
      </c>
      <c r="C33" s="131">
        <f>'AVD Planning'!C34</f>
        <v>0</v>
      </c>
      <c r="D33" s="132" t="s">
        <v>125</v>
      </c>
    </row>
    <row r="34" spans="1:6" x14ac:dyDescent="0.25">
      <c r="A34" s="140"/>
      <c r="B34" s="142" t="s">
        <v>511</v>
      </c>
      <c r="C34" s="143" t="str">
        <f>'AVD Planning'!C35</f>
        <v/>
      </c>
    </row>
    <row r="35" spans="1:6" x14ac:dyDescent="0.25">
      <c r="A35" s="140"/>
      <c r="B35" s="130" t="s">
        <v>512</v>
      </c>
      <c r="C35" s="131">
        <f>'AVD Planning'!C36</f>
        <v>0</v>
      </c>
      <c r="D35" s="132" t="s">
        <v>484</v>
      </c>
    </row>
    <row r="36" spans="1:6" x14ac:dyDescent="0.25">
      <c r="A36" s="140"/>
      <c r="B36" s="130" t="s">
        <v>627</v>
      </c>
      <c r="C36" s="131">
        <f>'AVD Planning'!C37</f>
        <v>0</v>
      </c>
      <c r="D36" s="132" t="s">
        <v>126</v>
      </c>
    </row>
    <row r="37" spans="1:6" x14ac:dyDescent="0.25">
      <c r="A37" s="140"/>
      <c r="B37" s="130" t="s">
        <v>628</v>
      </c>
      <c r="C37" s="131">
        <f>'AVD Planning'!C38</f>
        <v>0</v>
      </c>
      <c r="D37" s="132" t="s">
        <v>484</v>
      </c>
    </row>
    <row r="38" spans="1:6" ht="21.95" customHeight="1" x14ac:dyDescent="0.25">
      <c r="A38" s="140"/>
    </row>
    <row r="39" spans="1:6" x14ac:dyDescent="0.25">
      <c r="A39" s="140"/>
    </row>
    <row r="40" spans="1:6" x14ac:dyDescent="0.25">
      <c r="A40" s="140"/>
    </row>
    <row r="43" spans="1:6" x14ac:dyDescent="0.25">
      <c r="B43" s="144" t="s">
        <v>344</v>
      </c>
      <c r="C43" s="145"/>
      <c r="D43" s="58"/>
      <c r="E43" s="117"/>
      <c r="F43" s="146"/>
    </row>
    <row r="44" spans="1:6" x14ac:dyDescent="0.25">
      <c r="B44" s="147" t="s">
        <v>345</v>
      </c>
      <c r="C44" s="16" t="s">
        <v>299</v>
      </c>
      <c r="D44" s="148"/>
      <c r="F44" s="124" t="s">
        <v>325</v>
      </c>
    </row>
    <row r="45" spans="1:6" x14ac:dyDescent="0.25">
      <c r="B45" s="149" t="s">
        <v>346</v>
      </c>
      <c r="C45" s="150"/>
      <c r="D45" s="150"/>
      <c r="E45" s="151"/>
      <c r="F45" s="151"/>
    </row>
    <row r="46" spans="1:6" x14ac:dyDescent="0.25">
      <c r="B46" s="152" t="s">
        <v>347</v>
      </c>
      <c r="C46" s="60">
        <v>1</v>
      </c>
      <c r="D46" s="153" t="s">
        <v>348</v>
      </c>
      <c r="F46" s="124" t="s">
        <v>349</v>
      </c>
    </row>
    <row r="47" spans="1:6" x14ac:dyDescent="0.25">
      <c r="B47" s="152" t="s">
        <v>350</v>
      </c>
      <c r="C47" s="6">
        <v>1</v>
      </c>
      <c r="D47" s="153" t="s">
        <v>303</v>
      </c>
      <c r="F47" s="124" t="s">
        <v>351</v>
      </c>
    </row>
    <row r="48" spans="1:6" x14ac:dyDescent="0.25">
      <c r="B48" s="152" t="s">
        <v>352</v>
      </c>
      <c r="C48" s="6">
        <v>3</v>
      </c>
      <c r="D48" s="153" t="s">
        <v>303</v>
      </c>
      <c r="F48" s="124" t="s">
        <v>353</v>
      </c>
    </row>
    <row r="49" spans="1:6" x14ac:dyDescent="0.25">
      <c r="B49" s="152" t="s">
        <v>354</v>
      </c>
      <c r="C49" s="17">
        <v>200</v>
      </c>
      <c r="D49" s="153" t="s">
        <v>126</v>
      </c>
      <c r="F49" s="124" t="s">
        <v>355</v>
      </c>
    </row>
    <row r="50" spans="1:6" x14ac:dyDescent="0.25">
      <c r="B50" s="154" t="s">
        <v>356</v>
      </c>
      <c r="C50" s="238"/>
      <c r="D50" s="155"/>
      <c r="E50" s="151"/>
      <c r="F50" s="151"/>
    </row>
    <row r="51" spans="1:6" x14ac:dyDescent="0.25">
      <c r="B51" s="152" t="s">
        <v>357</v>
      </c>
      <c r="C51" s="18">
        <v>0</v>
      </c>
      <c r="D51" s="153" t="s">
        <v>87</v>
      </c>
      <c r="F51" s="124" t="s">
        <v>358</v>
      </c>
    </row>
    <row r="52" spans="1:6" x14ac:dyDescent="0.25">
      <c r="B52" s="152" t="s">
        <v>359</v>
      </c>
      <c r="C52" s="18">
        <v>0</v>
      </c>
      <c r="D52" s="153" t="s">
        <v>87</v>
      </c>
      <c r="F52" s="124" t="s">
        <v>360</v>
      </c>
    </row>
    <row r="53" spans="1:6" x14ac:dyDescent="0.25">
      <c r="B53" s="152" t="s">
        <v>361</v>
      </c>
      <c r="C53" s="7" t="s">
        <v>111</v>
      </c>
      <c r="D53" s="156" t="str">
        <f>CONCATENATE(TEXT(IF(C53="Three-Way Mirror",1/3,IF(C53="Two-Way Mirror",0.5,IF(C53="Dual Parity",IF('Hardware Inputs'!C8&gt;=16,0.8,IF('Hardware Inputs'!C8&gt;=9,0.75,IF('Hardware Inputs'!C8&gt;=7,2/3,0.5))),IF(C53="Nested Two-Way Mirror",0.25,1/3)))),"0%")," eff.")</f>
        <v>33% eff.</v>
      </c>
    </row>
    <row r="54" spans="1:6" x14ac:dyDescent="0.25">
      <c r="B54" s="157" t="s">
        <v>362</v>
      </c>
      <c r="C54" s="158">
        <f>IF($C$44="No",0,ROUND(((C47+C48)*C49/1024)+C51+C52,2))</f>
        <v>0</v>
      </c>
      <c r="D54" s="159" t="s">
        <v>87</v>
      </c>
      <c r="F54" s="160" t="str">
        <f>IF(C54&gt;64,"WARNING: Exceeds 64 TB max volume size!","")</f>
        <v/>
      </c>
    </row>
    <row r="55" spans="1:6" ht="15.75" x14ac:dyDescent="0.25">
      <c r="B55" s="161" t="s">
        <v>363</v>
      </c>
      <c r="C55" s="162">
        <f>IF(C54=0,0,ROUND(C54/IF(C53="Three-Way Mirror",1/3,IF(C53="Two-Way Mirror",0.5,IF(C53="Dual Parity",IF('Hardware Inputs'!C8&gt;=16,0.8,IF('Hardware Inputs'!C8&gt;=9,0.75,IF('Hardware Inputs'!C8&gt;=7,2/3,0.5))),IF(C53="Nested Two-Way Mirror",0.25,1/3)))),2))</f>
        <v>0</v>
      </c>
      <c r="D55" s="163" t="s">
        <v>87</v>
      </c>
      <c r="F55" s="124" t="s">
        <v>364</v>
      </c>
    </row>
    <row r="56" spans="1:6" x14ac:dyDescent="0.25">
      <c r="A56" s="140"/>
      <c r="B56" s="164" t="s">
        <v>516</v>
      </c>
      <c r="C56" s="165"/>
      <c r="D56" s="166"/>
      <c r="E56" s="167"/>
      <c r="F56" s="168"/>
    </row>
    <row r="57" spans="1:6" x14ac:dyDescent="0.25">
      <c r="A57" s="140"/>
      <c r="B57" s="169" t="s">
        <v>517</v>
      </c>
      <c r="C57" s="18">
        <v>4</v>
      </c>
      <c r="D57" s="61" t="s">
        <v>484</v>
      </c>
      <c r="E57" s="170"/>
      <c r="F57" s="171" t="s">
        <v>518</v>
      </c>
    </row>
    <row r="58" spans="1:6" x14ac:dyDescent="0.25">
      <c r="A58" s="140"/>
      <c r="B58" s="169" t="s">
        <v>519</v>
      </c>
      <c r="C58" s="17">
        <v>16</v>
      </c>
      <c r="D58" s="61" t="s">
        <v>126</v>
      </c>
      <c r="E58" s="170"/>
      <c r="F58" s="171" t="s">
        <v>520</v>
      </c>
    </row>
    <row r="59" spans="1:6" x14ac:dyDescent="0.25">
      <c r="A59" s="140"/>
      <c r="B59" s="169" t="s">
        <v>521</v>
      </c>
      <c r="C59" s="18">
        <v>8</v>
      </c>
      <c r="D59" s="61" t="s">
        <v>484</v>
      </c>
      <c r="E59" s="170"/>
      <c r="F59" s="171" t="s">
        <v>522</v>
      </c>
    </row>
    <row r="60" spans="1:6" x14ac:dyDescent="0.25">
      <c r="A60" s="140"/>
      <c r="B60" s="169" t="s">
        <v>523</v>
      </c>
      <c r="C60" s="17">
        <v>32</v>
      </c>
      <c r="D60" s="61" t="s">
        <v>126</v>
      </c>
      <c r="E60" s="170"/>
      <c r="F60" s="171" t="s">
        <v>524</v>
      </c>
    </row>
    <row r="61" spans="1:6" x14ac:dyDescent="0.25">
      <c r="A61" s="140"/>
      <c r="B61" s="169" t="s">
        <v>625</v>
      </c>
      <c r="C61" s="19" t="s">
        <v>515</v>
      </c>
      <c r="D61" s="61" t="s">
        <v>501</v>
      </c>
      <c r="E61" s="170"/>
      <c r="F61" s="171" t="s">
        <v>650</v>
      </c>
    </row>
    <row r="62" spans="1:6" x14ac:dyDescent="0.25">
      <c r="A62" s="140"/>
      <c r="B62" s="172" t="s">
        <v>525</v>
      </c>
      <c r="C62" s="158">
        <f>IF(C44="No",0,(C47*C57)+(C48*C59))</f>
        <v>0</v>
      </c>
      <c r="D62" s="69" t="s">
        <v>484</v>
      </c>
      <c r="E62" s="170"/>
      <c r="F62" s="171" t="s">
        <v>526</v>
      </c>
    </row>
    <row r="63" spans="1:6" x14ac:dyDescent="0.25">
      <c r="A63" s="140"/>
      <c r="B63" s="172" t="s">
        <v>651</v>
      </c>
      <c r="C63" s="158">
        <f>IF(C44="No",0,ROUND(((C47*C57)+(C48*C59))/IF(C61="1:1",1,IF(C61="2:1",2,IF(C61="3:1",3,IF(C61="4:1",4,1)))),0))</f>
        <v>0</v>
      </c>
      <c r="D63" s="69" t="s">
        <v>484</v>
      </c>
      <c r="E63" s="170"/>
      <c r="F63" s="171" t="s">
        <v>652</v>
      </c>
    </row>
    <row r="65" spans="1:6" x14ac:dyDescent="0.25">
      <c r="B65" s="116" t="s">
        <v>365</v>
      </c>
      <c r="C65" s="117"/>
      <c r="D65" s="117"/>
      <c r="E65" s="117"/>
      <c r="F65" s="117"/>
    </row>
    <row r="66" spans="1:6" x14ac:dyDescent="0.25">
      <c r="B66" s="173" t="s">
        <v>366</v>
      </c>
      <c r="C66" s="20" t="s">
        <v>299</v>
      </c>
      <c r="D66" s="174"/>
      <c r="F66" s="124" t="s">
        <v>367</v>
      </c>
    </row>
    <row r="67" spans="1:6" x14ac:dyDescent="0.25">
      <c r="B67" s="152" t="s">
        <v>368</v>
      </c>
      <c r="C67" s="6">
        <v>0</v>
      </c>
      <c r="D67" s="153" t="s">
        <v>125</v>
      </c>
      <c r="F67" s="124" t="s">
        <v>369</v>
      </c>
    </row>
    <row r="68" spans="1:6" x14ac:dyDescent="0.25">
      <c r="B68" s="152" t="s">
        <v>370</v>
      </c>
      <c r="C68" s="17">
        <v>200</v>
      </c>
      <c r="D68" s="153" t="s">
        <v>126</v>
      </c>
      <c r="F68" s="124" t="s">
        <v>371</v>
      </c>
    </row>
    <row r="69" spans="1:6" x14ac:dyDescent="0.25">
      <c r="B69" s="152" t="s">
        <v>372</v>
      </c>
      <c r="C69" s="7" t="s">
        <v>111</v>
      </c>
      <c r="D69" s="156" t="str">
        <f>CONCATENATE(TEXT(IF(C69="Three-Way Mirror",1/3,IF(C69="Two-Way Mirror",0.5,IF(C69="Dual Parity",IF('Hardware Inputs'!C8&gt;=16,0.8,IF('Hardware Inputs'!C8&gt;=9,0.75,IF('Hardware Inputs'!C8&gt;=7,2/3,0.5))),IF(C69="Nested Two-Way Mirror",0.25,1/3)))),"0%")," eff.")</f>
        <v>33% eff.</v>
      </c>
    </row>
    <row r="70" spans="1:6" x14ac:dyDescent="0.25">
      <c r="B70" s="157" t="s">
        <v>373</v>
      </c>
      <c r="C70" s="158">
        <f>IF($C$66="No",0,IF(C67=0,0,ROUND(C67*C68/1024,2)))</f>
        <v>0</v>
      </c>
      <c r="D70" s="159" t="s">
        <v>87</v>
      </c>
      <c r="F70" s="160" t="str">
        <f>IF(C70&gt;64,"WARNING: Exceeds 64 TB max volume size!","")</f>
        <v/>
      </c>
    </row>
    <row r="71" spans="1:6" ht="15.75" x14ac:dyDescent="0.25">
      <c r="B71" s="161" t="s">
        <v>374</v>
      </c>
      <c r="C71" s="162">
        <f>IF(C70=0,0,ROUND(C70/IF(C69="Three-Way Mirror",1/3,IF(C69="Two-Way Mirror",0.5,IF(C69="Dual Parity",IF('Hardware Inputs'!C8&gt;=16,0.8,IF('Hardware Inputs'!C8&gt;=9,0.75,IF('Hardware Inputs'!C8&gt;=7,2/3,0.5))),IF(C69="Nested Two-Way Mirror",0.25,1/3)))),2))</f>
        <v>0</v>
      </c>
      <c r="D71" s="163" t="s">
        <v>87</v>
      </c>
      <c r="F71" s="124" t="s">
        <v>127</v>
      </c>
    </row>
    <row r="72" spans="1:6" x14ac:dyDescent="0.25">
      <c r="A72" s="140"/>
      <c r="B72" s="164" t="s">
        <v>527</v>
      </c>
      <c r="C72" s="165"/>
      <c r="D72" s="166"/>
      <c r="E72" s="167"/>
      <c r="F72" s="168"/>
    </row>
    <row r="73" spans="1:6" x14ac:dyDescent="0.25">
      <c r="A73" s="140"/>
      <c r="B73" s="169" t="s">
        <v>528</v>
      </c>
      <c r="C73" s="18">
        <v>4</v>
      </c>
      <c r="D73" s="61" t="s">
        <v>484</v>
      </c>
      <c r="E73" s="170"/>
      <c r="F73" s="171" t="s">
        <v>529</v>
      </c>
    </row>
    <row r="74" spans="1:6" x14ac:dyDescent="0.25">
      <c r="A74" s="140"/>
      <c r="B74" s="169" t="s">
        <v>530</v>
      </c>
      <c r="C74" s="17">
        <v>16</v>
      </c>
      <c r="D74" s="61" t="s">
        <v>126</v>
      </c>
      <c r="E74" s="170"/>
      <c r="F74" s="171" t="s">
        <v>531</v>
      </c>
    </row>
    <row r="75" spans="1:6" x14ac:dyDescent="0.25">
      <c r="A75" s="140"/>
      <c r="B75" s="169" t="s">
        <v>625</v>
      </c>
      <c r="C75" s="19" t="s">
        <v>515</v>
      </c>
      <c r="D75" s="61" t="s">
        <v>501</v>
      </c>
      <c r="E75" s="170"/>
      <c r="F75" s="171" t="s">
        <v>650</v>
      </c>
    </row>
    <row r="76" spans="1:6" x14ac:dyDescent="0.25">
      <c r="A76" s="140"/>
      <c r="B76" s="172" t="s">
        <v>532</v>
      </c>
      <c r="C76" s="158">
        <f>IF(C66="No",0,C67*C73)</f>
        <v>0</v>
      </c>
      <c r="D76" s="69" t="s">
        <v>484</v>
      </c>
      <c r="E76" s="170"/>
      <c r="F76" s="171" t="s">
        <v>533</v>
      </c>
    </row>
    <row r="77" spans="1:6" x14ac:dyDescent="0.25">
      <c r="A77" s="140"/>
      <c r="B77" s="172" t="s">
        <v>653</v>
      </c>
      <c r="C77" s="158">
        <f>IF(C66="No",0,ROUND((C67*C73)/IF(C75="1:1",1,IF(C75="2:1",2,IF(C75="3:1",3,IF(C75="4:1",4,1)))),0))</f>
        <v>0</v>
      </c>
      <c r="D77" s="69" t="s">
        <v>484</v>
      </c>
      <c r="E77" s="170"/>
      <c r="F77" s="171" t="s">
        <v>652</v>
      </c>
    </row>
    <row r="78" spans="1:6" x14ac:dyDescent="0.25">
      <c r="A78" s="140"/>
      <c r="B78" s="175"/>
      <c r="C78" s="176"/>
      <c r="D78" s="175"/>
      <c r="E78" s="140"/>
      <c r="F78" s="177"/>
    </row>
    <row r="79" spans="1:6" x14ac:dyDescent="0.25">
      <c r="A79" s="140"/>
      <c r="B79" s="175"/>
      <c r="C79" s="176"/>
      <c r="D79" s="175"/>
      <c r="E79" s="140"/>
      <c r="F79" s="177"/>
    </row>
    <row r="82" spans="1:6" x14ac:dyDescent="0.25">
      <c r="B82" s="116" t="s">
        <v>375</v>
      </c>
      <c r="C82" s="117"/>
      <c r="D82" s="117"/>
      <c r="E82" s="117"/>
      <c r="F82" s="117"/>
    </row>
    <row r="83" spans="1:6" x14ac:dyDescent="0.25">
      <c r="B83" s="173" t="s">
        <v>376</v>
      </c>
      <c r="C83" s="20" t="s">
        <v>299</v>
      </c>
      <c r="D83" s="174"/>
      <c r="F83" s="124" t="s">
        <v>325</v>
      </c>
    </row>
    <row r="84" spans="1:6" x14ac:dyDescent="0.25">
      <c r="B84" s="152" t="s">
        <v>377</v>
      </c>
      <c r="C84" s="6">
        <v>0</v>
      </c>
      <c r="D84" s="153" t="s">
        <v>125</v>
      </c>
    </row>
    <row r="85" spans="1:6" x14ac:dyDescent="0.25">
      <c r="B85" s="152" t="s">
        <v>370</v>
      </c>
      <c r="C85" s="17">
        <v>120</v>
      </c>
      <c r="D85" s="153" t="s">
        <v>126</v>
      </c>
    </row>
    <row r="86" spans="1:6" x14ac:dyDescent="0.25">
      <c r="B86" s="152" t="s">
        <v>378</v>
      </c>
      <c r="C86" s="7" t="s">
        <v>108</v>
      </c>
      <c r="D86" s="156" t="str">
        <f>CONCATENATE(TEXT(IF(C86="Three-Way Mirror",1/3,IF(C86="Two-Way Mirror",0.5,IF(C86="Dual Parity",IF('Hardware Inputs'!C8&gt;=16,0.8,IF('Hardware Inputs'!C8&gt;=9,0.75,IF('Hardware Inputs'!C8&gt;=7,2/3,0.5))),IF(C86="Nested Two-Way Mirror",0.25,1/3)))),"0%")," eff.")</f>
        <v>50% eff.</v>
      </c>
    </row>
    <row r="87" spans="1:6" x14ac:dyDescent="0.25">
      <c r="B87" s="157" t="s">
        <v>379</v>
      </c>
      <c r="C87" s="158">
        <f>IF($C$83="No",0,IF(C84=0,0,ROUND(C84*C85/1024,2)))</f>
        <v>0</v>
      </c>
      <c r="D87" s="159" t="s">
        <v>87</v>
      </c>
      <c r="F87" s="160" t="str">
        <f>IF(C87&gt;64,"WARNING: Exceeds 64 TB max volume size!","")</f>
        <v/>
      </c>
    </row>
    <row r="88" spans="1:6" ht="36" customHeight="1" x14ac:dyDescent="0.25">
      <c r="B88" s="161" t="s">
        <v>380</v>
      </c>
      <c r="C88" s="162">
        <f>IF(C87=0,0,ROUND(C87/IF(C86="Three-Way Mirror",1/3,IF(C86="Two-Way Mirror",0.5,IF(C86="Dual Parity",IF('Hardware Inputs'!C8&gt;=16,0.8,IF('Hardware Inputs'!C8&gt;=9,0.75,IF('Hardware Inputs'!C8&gt;=7,2/3,0.5))),IF(C86="Nested Two-Way Mirror",0.25,1/3)))),2))</f>
        <v>0</v>
      </c>
      <c r="D88" s="163" t="s">
        <v>87</v>
      </c>
    </row>
    <row r="89" spans="1:6" ht="36" customHeight="1" x14ac:dyDescent="0.25">
      <c r="A89" s="140"/>
      <c r="B89" s="164" t="s">
        <v>534</v>
      </c>
      <c r="C89" s="165"/>
      <c r="D89" s="166"/>
      <c r="E89" s="167"/>
      <c r="F89" s="178"/>
    </row>
    <row r="90" spans="1:6" ht="36" customHeight="1" x14ac:dyDescent="0.25">
      <c r="A90" s="140"/>
      <c r="B90" s="169" t="s">
        <v>528</v>
      </c>
      <c r="C90" s="18">
        <v>2</v>
      </c>
      <c r="D90" s="61" t="s">
        <v>484</v>
      </c>
      <c r="E90" s="170"/>
      <c r="F90" s="171" t="s">
        <v>535</v>
      </c>
    </row>
    <row r="91" spans="1:6" ht="36" customHeight="1" x14ac:dyDescent="0.25">
      <c r="A91" s="140"/>
      <c r="B91" s="169" t="s">
        <v>530</v>
      </c>
      <c r="C91" s="17">
        <v>8</v>
      </c>
      <c r="D91" s="61" t="s">
        <v>126</v>
      </c>
      <c r="E91" s="170"/>
      <c r="F91" s="171" t="s">
        <v>536</v>
      </c>
    </row>
    <row r="92" spans="1:6" ht="36" customHeight="1" x14ac:dyDescent="0.25">
      <c r="A92" s="140"/>
      <c r="B92" s="169" t="s">
        <v>625</v>
      </c>
      <c r="C92" s="19" t="s">
        <v>515</v>
      </c>
      <c r="D92" s="61" t="s">
        <v>501</v>
      </c>
      <c r="E92" s="170"/>
      <c r="F92" s="171" t="s">
        <v>650</v>
      </c>
    </row>
    <row r="93" spans="1:6" ht="36" customHeight="1" x14ac:dyDescent="0.25">
      <c r="A93" s="140"/>
      <c r="B93" s="172" t="s">
        <v>537</v>
      </c>
      <c r="C93" s="158">
        <f>IF(C83="No",0,C84*C90)</f>
        <v>0</v>
      </c>
      <c r="D93" s="69" t="s">
        <v>484</v>
      </c>
      <c r="E93" s="170"/>
      <c r="F93" s="171" t="s">
        <v>533</v>
      </c>
    </row>
    <row r="94" spans="1:6" ht="36" customHeight="1" x14ac:dyDescent="0.25">
      <c r="A94" s="140"/>
      <c r="B94" s="172" t="s">
        <v>654</v>
      </c>
      <c r="C94" s="158">
        <f>IF(C83="No",0,ROUND((C84*C90)/IF(C92="1:1",1,IF(C92="2:1",2,IF(C92="3:1",3,IF(C92="4:1",4,1)))),0))</f>
        <v>0</v>
      </c>
      <c r="D94" s="69" t="s">
        <v>484</v>
      </c>
      <c r="E94" s="170"/>
      <c r="F94" s="171" t="s">
        <v>652</v>
      </c>
    </row>
    <row r="95" spans="1:6" ht="36" customHeight="1" x14ac:dyDescent="0.25">
      <c r="A95" s="140"/>
      <c r="B95" s="175"/>
      <c r="C95" s="176"/>
      <c r="D95" s="175"/>
      <c r="E95" s="140"/>
      <c r="F95" s="140"/>
    </row>
    <row r="96" spans="1:6" ht="36" customHeight="1" x14ac:dyDescent="0.25">
      <c r="A96" s="140"/>
      <c r="B96" s="175"/>
      <c r="C96" s="176"/>
      <c r="D96" s="175"/>
      <c r="E96" s="140"/>
      <c r="F96" s="140"/>
    </row>
    <row r="98" spans="2:6" x14ac:dyDescent="0.25">
      <c r="B98" s="116" t="s">
        <v>381</v>
      </c>
      <c r="C98" s="117"/>
      <c r="D98" s="117"/>
      <c r="E98" s="117"/>
      <c r="F98" s="117"/>
    </row>
    <row r="99" spans="2:6" x14ac:dyDescent="0.25">
      <c r="B99" s="173" t="s">
        <v>382</v>
      </c>
      <c r="C99" s="20" t="s">
        <v>299</v>
      </c>
      <c r="D99" s="174"/>
      <c r="F99" s="124" t="s">
        <v>325</v>
      </c>
    </row>
    <row r="100" spans="2:6" x14ac:dyDescent="0.25">
      <c r="B100" s="152" t="s">
        <v>383</v>
      </c>
      <c r="C100" s="18">
        <v>3</v>
      </c>
      <c r="D100" s="153" t="s">
        <v>87</v>
      </c>
    </row>
    <row r="101" spans="2:6" x14ac:dyDescent="0.25">
      <c r="B101" s="152" t="s">
        <v>384</v>
      </c>
      <c r="C101" s="7" t="s">
        <v>132</v>
      </c>
      <c r="D101" s="156" t="str">
        <f>CONCATENATE(TEXT(IF(C101="Three-Way Mirror",1/3,IF(C101="Two-Way Mirror",0.5,IF(C101="Dual Parity",IF('Hardware Inputs'!C8&gt;=16,0.8,IF('Hardware Inputs'!C8&gt;=9,0.75,IF('Hardware Inputs'!C8&gt;=7,2/3,0.5))),IF(C101="Nested Two-Way Mirror",0.25,1/3)))),"0%")," eff.")</f>
        <v>50% eff.</v>
      </c>
    </row>
    <row r="102" spans="2:6" x14ac:dyDescent="0.25">
      <c r="B102" s="157" t="s">
        <v>385</v>
      </c>
      <c r="C102" s="239">
        <f>IF($C$99="No",0,C100)</f>
        <v>0</v>
      </c>
      <c r="D102" s="159" t="s">
        <v>87</v>
      </c>
    </row>
    <row r="103" spans="2:6" ht="15.75" x14ac:dyDescent="0.25">
      <c r="B103" s="179" t="s">
        <v>386</v>
      </c>
      <c r="C103" s="240">
        <f>IF(C102=0,0,ROUND(C102/IF(C101="Three-Way Mirror",1/3,IF(C101="Two-Way Mirror",0.5,IF(C101="Dual Parity",IF('Hardware Inputs'!C8&gt;=16,0.8,IF('Hardware Inputs'!C8&gt;=9,0.75,IF('Hardware Inputs'!C8&gt;=7,2/3,0.5))),IF(C101="Nested Two-Way Mirror",0.25,1/3)))),2))</f>
        <v>0</v>
      </c>
      <c r="D103" s="157" t="s">
        <v>87</v>
      </c>
    </row>
    <row r="105" spans="2:6" x14ac:dyDescent="0.25">
      <c r="B105" s="116" t="s">
        <v>387</v>
      </c>
      <c r="C105" s="117"/>
      <c r="D105" s="117"/>
      <c r="E105" s="117"/>
      <c r="F105" s="117"/>
    </row>
    <row r="106" spans="2:6" x14ac:dyDescent="0.25">
      <c r="B106" s="180" t="s">
        <v>418</v>
      </c>
      <c r="C106" s="8" t="s">
        <v>299</v>
      </c>
      <c r="D106" s="117"/>
      <c r="E106" s="117"/>
      <c r="F106" s="171" t="s">
        <v>325</v>
      </c>
    </row>
    <row r="107" spans="2:6" x14ac:dyDescent="0.25">
      <c r="B107" s="152" t="s">
        <v>388</v>
      </c>
      <c r="C107" s="18">
        <v>0</v>
      </c>
      <c r="D107" s="153" t="s">
        <v>87</v>
      </c>
      <c r="F107" s="124" t="s">
        <v>389</v>
      </c>
    </row>
    <row r="108" spans="2:6" x14ac:dyDescent="0.25">
      <c r="B108" s="152" t="s">
        <v>390</v>
      </c>
      <c r="C108" s="7" t="s">
        <v>111</v>
      </c>
      <c r="D108" s="156" t="str">
        <f>CONCATENATE(TEXT(IF(C108="Three-Way Mirror",1/3,IF(C108="Two-Way Mirror",0.5,IF(C108="Dual Parity",IF('Hardware Inputs'!C8&gt;=16,0.8,IF('Hardware Inputs'!C8&gt;=9,0.75,IF('Hardware Inputs'!C8&gt;=7,2/3,0.5))),IF(C108="Nested Two-Way Mirror",0.25,1/3)))),"0%")," eff.")</f>
        <v>33% eff.</v>
      </c>
    </row>
    <row r="109" spans="2:6" x14ac:dyDescent="0.25">
      <c r="B109" s="157" t="s">
        <v>391</v>
      </c>
      <c r="C109" s="239">
        <f>IF($C$106="No",0,C107)</f>
        <v>0</v>
      </c>
      <c r="D109" s="159" t="s">
        <v>87</v>
      </c>
    </row>
    <row r="110" spans="2:6" ht="15.75" x14ac:dyDescent="0.25">
      <c r="B110" s="179" t="s">
        <v>392</v>
      </c>
      <c r="C110" s="240">
        <f>IF(C109=0,0,ROUND(C109/IF(C108="Three-Way Mirror",1/3,IF(C108="Two-Way Mirror",0.5,IF(C108="Dual Parity",IF('Hardware Inputs'!C8&gt;=16,0.8,IF('Hardware Inputs'!C8&gt;=9,0.75,IF('Hardware Inputs'!C8&gt;=7,2/3,0.5))),IF(C108="Nested Two-Way Mirror",0.25,1/3)))),2))</f>
        <v>0</v>
      </c>
      <c r="D110" s="157" t="s">
        <v>87</v>
      </c>
    </row>
    <row r="113" spans="2:6" ht="18" x14ac:dyDescent="0.25">
      <c r="B113" s="114" t="s">
        <v>133</v>
      </c>
      <c r="C113" s="115"/>
      <c r="D113" s="115"/>
      <c r="E113" s="115"/>
      <c r="F113" s="115"/>
    </row>
    <row r="114" spans="2:6" ht="15.75" x14ac:dyDescent="0.25">
      <c r="B114" s="118" t="s">
        <v>134</v>
      </c>
      <c r="C114" s="182">
        <f>'Hardware Inputs'!C24</f>
        <v>31.045200000000001</v>
      </c>
      <c r="D114" s="183" t="s">
        <v>87</v>
      </c>
      <c r="F114" s="124" t="s">
        <v>135</v>
      </c>
    </row>
    <row r="116" spans="2:6" x14ac:dyDescent="0.25">
      <c r="B116" s="152" t="s">
        <v>393</v>
      </c>
      <c r="C116" s="158">
        <f>C15</f>
        <v>0</v>
      </c>
      <c r="D116" s="153" t="s">
        <v>87</v>
      </c>
    </row>
    <row r="117" spans="2:6" x14ac:dyDescent="0.25">
      <c r="B117" s="152" t="s">
        <v>394</v>
      </c>
      <c r="C117" s="158">
        <f>C24</f>
        <v>0</v>
      </c>
      <c r="D117" s="153" t="s">
        <v>87</v>
      </c>
    </row>
    <row r="118" spans="2:6" x14ac:dyDescent="0.25">
      <c r="B118" s="152" t="s">
        <v>395</v>
      </c>
      <c r="C118" s="158">
        <f>C55</f>
        <v>0</v>
      </c>
      <c r="D118" s="153" t="s">
        <v>87</v>
      </c>
    </row>
    <row r="119" spans="2:6" x14ac:dyDescent="0.25">
      <c r="B119" s="152" t="s">
        <v>396</v>
      </c>
      <c r="C119" s="158">
        <f>C71</f>
        <v>0</v>
      </c>
      <c r="D119" s="153" t="s">
        <v>87</v>
      </c>
    </row>
    <row r="120" spans="2:6" x14ac:dyDescent="0.25">
      <c r="B120" s="152" t="s">
        <v>397</v>
      </c>
      <c r="C120" s="158">
        <f>C88</f>
        <v>0</v>
      </c>
      <c r="D120" s="153" t="s">
        <v>87</v>
      </c>
    </row>
    <row r="121" spans="2:6" x14ac:dyDescent="0.25">
      <c r="B121" s="152" t="s">
        <v>398</v>
      </c>
      <c r="C121" s="158">
        <f>C103</f>
        <v>0</v>
      </c>
      <c r="D121" s="153" t="s">
        <v>87</v>
      </c>
    </row>
    <row r="122" spans="2:6" x14ac:dyDescent="0.25">
      <c r="B122" s="152" t="s">
        <v>399</v>
      </c>
      <c r="C122" s="158">
        <f>C110</f>
        <v>0</v>
      </c>
      <c r="D122" s="153" t="s">
        <v>87</v>
      </c>
    </row>
    <row r="123" spans="2:6" x14ac:dyDescent="0.25">
      <c r="B123" s="184" t="s">
        <v>848</v>
      </c>
      <c r="C123" s="185">
        <f>SUM('Volume Detail'!F13:'Volume Detail'!F16)</f>
        <v>0</v>
      </c>
      <c r="D123" s="186" t="s">
        <v>87</v>
      </c>
    </row>
    <row r="124" spans="2:6" ht="15.75" x14ac:dyDescent="0.25">
      <c r="B124" s="187" t="s">
        <v>136</v>
      </c>
      <c r="C124" s="188">
        <f>SUM(C116:C123)</f>
        <v>0</v>
      </c>
      <c r="D124" s="189" t="s">
        <v>87</v>
      </c>
      <c r="F124" s="124" t="s">
        <v>137</v>
      </c>
    </row>
    <row r="125" spans="2:6" x14ac:dyDescent="0.25">
      <c r="B125" s="157" t="s">
        <v>138</v>
      </c>
      <c r="C125" s="158">
        <f>C14+C23+C54+C70+C87+C102+C109+SUM('Volume Detail'!D13:'Volume Detail'!D16)</f>
        <v>0</v>
      </c>
      <c r="D125" s="159" t="s">
        <v>87</v>
      </c>
      <c r="F125" s="124" t="s">
        <v>139</v>
      </c>
    </row>
    <row r="126" spans="2:6" x14ac:dyDescent="0.25">
      <c r="B126" s="157" t="s">
        <v>140</v>
      </c>
      <c r="C126" s="190" cm="1">
        <f t="array" ref="C126">(C14&gt;0)+(C23&gt;0)+(C54&gt;0)+(C70&gt;0)+(C87&gt;0)+(C102&gt;0)+(C109&gt;0)+SUMPRODUCT(('Volume Detail'!D13:'Volume Detail'!D16&gt;0)*1)</f>
        <v>0</v>
      </c>
      <c r="D126" s="159" t="s">
        <v>141</v>
      </c>
      <c r="F126" s="124" t="str">
        <f>IF(MOD(C126,'Hardware Inputs'!C8)=0,"Volume count is multiple of node count.","Tip: Microsoft recommends multiple of node count ("&amp;'Hardware Inputs'!C8&amp;").")</f>
        <v>Volume count is multiple of node count.</v>
      </c>
    </row>
    <row r="128" spans="2:6" ht="20.25" x14ac:dyDescent="0.3">
      <c r="B128" s="191" t="s">
        <v>142</v>
      </c>
      <c r="C128" s="119">
        <f>C114-C124</f>
        <v>31.045200000000001</v>
      </c>
      <c r="D128" s="191" t="s">
        <v>87</v>
      </c>
      <c r="F128" s="192" t="str">
        <f>IF(C128&lt;0,"OVER CAPACITY!",IF(C124/C114&gt;0.7,"Caution: Above 70%.","Healthy."))</f>
        <v>Healthy.</v>
      </c>
    </row>
    <row r="129" spans="2:6" x14ac:dyDescent="0.25">
      <c r="B129" s="157" t="s">
        <v>143</v>
      </c>
      <c r="C129" s="193">
        <f>IF(C114=0,0,C124/C114)</f>
        <v>0</v>
      </c>
      <c r="D129" s="194"/>
    </row>
    <row r="131" spans="2:6" ht="18" x14ac:dyDescent="0.25">
      <c r="B131" s="195" t="s">
        <v>538</v>
      </c>
      <c r="C131" s="196"/>
      <c r="D131" s="197"/>
      <c r="E131" s="115"/>
      <c r="F131" s="115"/>
    </row>
    <row r="132" spans="2:6" ht="15.75" x14ac:dyDescent="0.25">
      <c r="B132" s="198" t="s">
        <v>539</v>
      </c>
      <c r="C132" s="79">
        <f>'Hardware Inputs'!C37</f>
        <v>192</v>
      </c>
      <c r="D132" s="199" t="s">
        <v>484</v>
      </c>
      <c r="F132" s="124" t="s">
        <v>540</v>
      </c>
    </row>
    <row r="133" spans="2:6" ht="15.75" x14ac:dyDescent="0.25">
      <c r="B133" s="198" t="s">
        <v>541</v>
      </c>
      <c r="C133" s="79">
        <f>'Hardware Inputs'!C38</f>
        <v>672</v>
      </c>
      <c r="D133" s="199" t="s">
        <v>126</v>
      </c>
      <c r="F133" s="124" t="s">
        <v>542</v>
      </c>
    </row>
    <row r="134" spans="2:6" x14ac:dyDescent="0.25">
      <c r="C134" s="200" t="s">
        <v>917</v>
      </c>
      <c r="D134" s="200" t="s">
        <v>571</v>
      </c>
      <c r="E134" s="200" t="s">
        <v>647</v>
      </c>
    </row>
    <row r="135" spans="2:6" x14ac:dyDescent="0.25">
      <c r="B135" s="169" t="s">
        <v>910</v>
      </c>
      <c r="C135" s="67">
        <f>C35</f>
        <v>0</v>
      </c>
      <c r="D135" s="201">
        <f>C36</f>
        <v>0</v>
      </c>
      <c r="E135" s="67">
        <f>C37</f>
        <v>0</v>
      </c>
      <c r="F135" s="202" t="s">
        <v>911</v>
      </c>
    </row>
    <row r="136" spans="2:6" x14ac:dyDescent="0.25">
      <c r="B136" s="169" t="s">
        <v>912</v>
      </c>
      <c r="C136" s="67">
        <f>C62</f>
        <v>0</v>
      </c>
      <c r="D136" s="201">
        <f>IF(C44="No",0,(C47*C58)+(C48*C60))</f>
        <v>0</v>
      </c>
      <c r="E136" s="67">
        <f>C63</f>
        <v>0</v>
      </c>
      <c r="F136" s="202" t="s">
        <v>911</v>
      </c>
    </row>
    <row r="137" spans="2:6" x14ac:dyDescent="0.25">
      <c r="B137" s="169" t="s">
        <v>913</v>
      </c>
      <c r="C137" s="67">
        <f>C76</f>
        <v>0</v>
      </c>
      <c r="D137" s="201">
        <f>IF(C66="No",0,C67*C74)</f>
        <v>0</v>
      </c>
      <c r="E137" s="67">
        <f>C77</f>
        <v>0</v>
      </c>
      <c r="F137" s="202" t="s">
        <v>911</v>
      </c>
    </row>
    <row r="138" spans="2:6" x14ac:dyDescent="0.25">
      <c r="B138" s="169" t="s">
        <v>914</v>
      </c>
      <c r="C138" s="67">
        <f>C93</f>
        <v>0</v>
      </c>
      <c r="D138" s="201">
        <f>IF(C83="No",0,C84*C91)</f>
        <v>0</v>
      </c>
      <c r="E138" s="67">
        <f>C94</f>
        <v>0</v>
      </c>
      <c r="F138" s="202" t="s">
        <v>911</v>
      </c>
    </row>
    <row r="139" spans="2:6" x14ac:dyDescent="0.25">
      <c r="B139" s="122" t="s">
        <v>915</v>
      </c>
      <c r="C139" s="71">
        <f>'SOFS Planner'!C46</f>
        <v>0</v>
      </c>
      <c r="D139" s="203">
        <f>'SOFS Planner'!C47</f>
        <v>0</v>
      </c>
      <c r="E139" s="71">
        <f>C139</f>
        <v>0</v>
      </c>
      <c r="F139" s="171" t="s">
        <v>916</v>
      </c>
    </row>
    <row r="141" spans="2:6" ht="15.75" x14ac:dyDescent="0.25">
      <c r="B141" s="204" t="s">
        <v>543</v>
      </c>
      <c r="C141" s="205">
        <f>SUM(C135:C139)</f>
        <v>0</v>
      </c>
      <c r="D141" s="206" t="s">
        <v>484</v>
      </c>
      <c r="E141" s="207"/>
      <c r="F141" s="124" t="s">
        <v>544</v>
      </c>
    </row>
    <row r="142" spans="2:6" ht="15.75" x14ac:dyDescent="0.25">
      <c r="B142" s="208" t="s">
        <v>655</v>
      </c>
      <c r="C142" s="209">
        <f>SUM(E135:E138)+C139</f>
        <v>0</v>
      </c>
      <c r="D142" s="210" t="s">
        <v>484</v>
      </c>
      <c r="E142" s="207"/>
      <c r="F142" s="124" t="s">
        <v>656</v>
      </c>
    </row>
    <row r="143" spans="2:6" ht="15.75" x14ac:dyDescent="0.25">
      <c r="B143" s="211" t="s">
        <v>918</v>
      </c>
      <c r="C143" s="212">
        <f>SUM(D135:D139)</f>
        <v>0</v>
      </c>
      <c r="D143" s="213" t="s">
        <v>126</v>
      </c>
      <c r="E143" s="207"/>
      <c r="F143" s="171" t="s">
        <v>919</v>
      </c>
    </row>
    <row r="145" spans="2:6" ht="20.25" x14ac:dyDescent="0.3">
      <c r="B145" s="214" t="s">
        <v>545</v>
      </c>
      <c r="C145" s="215">
        <f>C132-C141</f>
        <v>192</v>
      </c>
      <c r="D145" s="216" t="s">
        <v>484</v>
      </c>
      <c r="F145" s="192" t="str">
        <f>IF(C145&lt;0,"OVER CAPACITY!",IF(C141/C132&gt;0.7,"Caution: Above 70%.","Healthy."))</f>
        <v>Healthy.</v>
      </c>
    </row>
    <row r="146" spans="2:6" ht="20.25" x14ac:dyDescent="0.3">
      <c r="B146" s="214" t="s">
        <v>546</v>
      </c>
      <c r="C146" s="215">
        <f>C133-C143</f>
        <v>672</v>
      </c>
      <c r="D146" s="216" t="s">
        <v>126</v>
      </c>
      <c r="F146" s="192" t="str">
        <f>IF(C146&lt;0,"OVER CAPACITY!",IF(C143/C133&gt;0.7,"Caution: Above 70%.","Healthy."))</f>
        <v>Healthy.</v>
      </c>
    </row>
    <row r="148" spans="2:6" x14ac:dyDescent="0.25">
      <c r="B148" s="217" t="s">
        <v>547</v>
      </c>
      <c r="C148" s="218"/>
      <c r="D148" s="219"/>
      <c r="E148" s="220"/>
      <c r="F148" s="220"/>
    </row>
    <row r="149" spans="2:6" x14ac:dyDescent="0.25">
      <c r="B149" s="221" t="s">
        <v>548</v>
      </c>
      <c r="C149" s="222">
        <f>'Hardware Inputs'!C39</f>
        <v>128</v>
      </c>
      <c r="D149" s="223" t="s">
        <v>484</v>
      </c>
    </row>
    <row r="150" spans="2:6" x14ac:dyDescent="0.25">
      <c r="B150" s="221" t="s">
        <v>549</v>
      </c>
      <c r="C150" s="222">
        <f>'Hardware Inputs'!C40</f>
        <v>448</v>
      </c>
      <c r="D150" s="223" t="s">
        <v>126</v>
      </c>
    </row>
    <row r="151" spans="2:6" x14ac:dyDescent="0.25">
      <c r="B151" s="224" t="s">
        <v>550</v>
      </c>
      <c r="C151" s="225" t="str">
        <f>IF(C141&lt;=C149,"✓ PASS — "&amp;C141&amp;" of "&amp;C149&amp;" vCPU ("&amp;ROUND(C141/C149*100,0)&amp;"%)","✗ FAIL — Need "&amp;C141&amp;" but N+1 only has "&amp;C149&amp;" vCPU")</f>
        <v>✓ PASS — 0 of 128 vCPU (0%)</v>
      </c>
      <c r="D151" s="226"/>
    </row>
    <row r="152" spans="2:6" x14ac:dyDescent="0.25">
      <c r="B152" s="224" t="s">
        <v>551</v>
      </c>
      <c r="C152" s="225" t="str">
        <f>IF(C143&lt;=C150,"✓ PASS — "&amp;C143&amp;" of "&amp;C150&amp;" GB ("&amp;ROUND(C143/C150*100,0)&amp;"%)","✗ FAIL — Need "&amp;C143&amp;" GB but N+1 only has "&amp;C150&amp;" GB")</f>
        <v>✓ PASS — 0 of 448 GB (0%)</v>
      </c>
      <c r="D152" s="226"/>
    </row>
    <row r="154" spans="2:6" x14ac:dyDescent="0.25">
      <c r="B154" s="55" t="s">
        <v>920</v>
      </c>
      <c r="C154" s="56"/>
      <c r="D154" s="56"/>
      <c r="E154" s="56"/>
      <c r="F154" s="56"/>
    </row>
    <row r="155" spans="2:6" x14ac:dyDescent="0.25">
      <c r="B155" s="55" t="s">
        <v>552</v>
      </c>
      <c r="C155" s="227" t="s">
        <v>921</v>
      </c>
      <c r="D155" s="227" t="s">
        <v>922</v>
      </c>
      <c r="E155" s="227" t="s">
        <v>923</v>
      </c>
      <c r="F155" s="227" t="s">
        <v>553</v>
      </c>
    </row>
    <row r="156" spans="2:6" x14ac:dyDescent="0.25">
      <c r="B156" s="59" t="s">
        <v>555</v>
      </c>
      <c r="C156" s="67">
        <f>IF(C8="No",0,ROUND(C35/1,0))</f>
        <v>0</v>
      </c>
      <c r="D156" s="228">
        <f>C156+E136+E137+E138+E139</f>
        <v>0</v>
      </c>
      <c r="E156" s="229" t="str">
        <f>IF(D156&lt;='Hardware Inputs'!C37,"✓ PASS","✗ FAIL")</f>
        <v>✓ PASS</v>
      </c>
      <c r="F156" s="230" t="str">
        <f>IF(D156&lt;='Hardware Inputs'!C39,"✓ PASS","✗ FAIL")</f>
        <v>✓ PASS</v>
      </c>
    </row>
    <row r="157" spans="2:6" x14ac:dyDescent="0.25">
      <c r="B157" s="231" t="s">
        <v>583</v>
      </c>
      <c r="C157" s="67">
        <f>IF(C8="No",0,ROUND(C35/2,0))</f>
        <v>0</v>
      </c>
      <c r="D157" s="67">
        <f>C157+E136+E137+E138+E139</f>
        <v>0</v>
      </c>
      <c r="E157" s="229" t="str">
        <f>IF(D157&lt;='Hardware Inputs'!C37,"✓ PASS","✗ FAIL")</f>
        <v>✓ PASS</v>
      </c>
      <c r="F157" s="230" t="str">
        <f>IF(D157&lt;='Hardware Inputs'!C39,"✓ PASS","✗ FAIL")</f>
        <v>✓ PASS</v>
      </c>
    </row>
    <row r="158" spans="2:6" x14ac:dyDescent="0.25">
      <c r="B158" s="231" t="s">
        <v>584</v>
      </c>
      <c r="C158" s="67">
        <f>IF(C8="No",0,ROUND(C35/3,0))</f>
        <v>0</v>
      </c>
      <c r="D158" s="67">
        <f>C158+E136+E137+E138+E139</f>
        <v>0</v>
      </c>
      <c r="E158" s="229" t="str">
        <f>IF(D158&lt;='Hardware Inputs'!C37,"✓ PASS","✗ FAIL")</f>
        <v>✓ PASS</v>
      </c>
      <c r="F158" s="230" t="str">
        <f>IF(D158&lt;='Hardware Inputs'!C39,"✓ PASS","✗ FAIL")</f>
        <v>✓ PASS</v>
      </c>
    </row>
    <row r="159" spans="2:6" x14ac:dyDescent="0.25">
      <c r="B159" s="231" t="s">
        <v>515</v>
      </c>
      <c r="C159" s="67">
        <f>IF(C8="No",0,ROUND(C35/4,0))</f>
        <v>0</v>
      </c>
      <c r="D159" s="67">
        <f>C159+E136+E137+E138+E139</f>
        <v>0</v>
      </c>
      <c r="E159" s="229" t="str">
        <f>IF(D159&lt;='Hardware Inputs'!C37,"✓ PASS","✗ FAIL")</f>
        <v>✓ PASS</v>
      </c>
      <c r="F159" s="230" t="str">
        <f>IF(D159&lt;='Hardware Inputs'!C39,"✓ PASS","✗ FAIL")</f>
        <v>✓ PASS</v>
      </c>
    </row>
    <row r="161" spans="2:2" x14ac:dyDescent="0.25">
      <c r="B161" s="124" t="s">
        <v>639</v>
      </c>
    </row>
  </sheetData>
  <sheetProtection sheet="1" objects="1" scenarios="1"/>
  <conditionalFormatting sqref="C46:C63">
    <cfRule type="expression" dxfId="38" priority="28">
      <formula>$C$44="No"</formula>
    </cfRule>
  </conditionalFormatting>
  <conditionalFormatting sqref="C67:C77">
    <cfRule type="expression" dxfId="37" priority="29">
      <formula>$C$66="No"</formula>
    </cfRule>
  </conditionalFormatting>
  <conditionalFormatting sqref="C84:C94">
    <cfRule type="expression" dxfId="36" priority="30">
      <formula>$C$83="No"</formula>
    </cfRule>
  </conditionalFormatting>
  <conditionalFormatting sqref="C100:C103">
    <cfRule type="expression" dxfId="35" priority="31">
      <formula>$C$99="No"</formula>
    </cfRule>
  </conditionalFormatting>
  <conditionalFormatting sqref="C107:C110">
    <cfRule type="expression" dxfId="34" priority="32">
      <formula>$C$106="No"</formula>
    </cfRule>
  </conditionalFormatting>
  <conditionalFormatting sqref="C128">
    <cfRule type="cellIs" dxfId="33" priority="1" operator="lessThan">
      <formula>0</formula>
    </cfRule>
  </conditionalFormatting>
  <conditionalFormatting sqref="C129">
    <cfRule type="cellIs" dxfId="32" priority="33" operator="greaterThan">
      <formula>1</formula>
    </cfRule>
    <cfRule type="cellIs" dxfId="31" priority="34" operator="greaterThan">
      <formula>0.7</formula>
    </cfRule>
  </conditionalFormatting>
  <conditionalFormatting sqref="C145:C146">
    <cfRule type="cellIs" dxfId="30" priority="4" operator="lessThan">
      <formula>0</formula>
    </cfRule>
  </conditionalFormatting>
  <conditionalFormatting sqref="D128">
    <cfRule type="expression" dxfId="29" priority="2">
      <formula>$C$128&lt;0</formula>
    </cfRule>
  </conditionalFormatting>
  <conditionalFormatting sqref="E156:F159">
    <cfRule type="containsText" dxfId="24" priority="12" operator="containsText" text="FAIL">
      <formula>NOT(ISERROR(SEARCH("FAIL",E156)))</formula>
    </cfRule>
    <cfRule type="containsText" dxfId="23" priority="13" operator="containsText" text="PASS">
      <formula>NOT(ISERROR(SEARCH("PASS",E156)))</formula>
    </cfRule>
  </conditionalFormatting>
  <conditionalFormatting sqref="F128">
    <cfRule type="expression" dxfId="22" priority="3">
      <formula>$C$128&lt;0</formula>
    </cfRule>
  </conditionalFormatting>
  <conditionalFormatting sqref="F145">
    <cfRule type="expression" dxfId="21" priority="6">
      <formula>$C$145&lt;0</formula>
    </cfRule>
  </conditionalFormatting>
  <conditionalFormatting sqref="F146">
    <cfRule type="expression" dxfId="20" priority="7">
      <formula>$C$146&lt;0</formula>
    </cfRule>
  </conditionalFormatting>
  <dataValidations count="3">
    <dataValidation type="list" allowBlank="1" showInputMessage="1" showErrorMessage="1" sqref="C61 C75 C92" xr:uid="{03DCC45C-2D70-4DEA-BE0C-5CF7F55405C5}">
      <formula1>"1:1,2:1,3:1,4:1"</formula1>
    </dataValidation>
    <dataValidation type="list" allowBlank="1" showInputMessage="1" showErrorMessage="1" sqref="C44 C66 C83 C99 C106" xr:uid="{777E14F5-F857-402E-B75F-6CEF8DC8F7F6}">
      <formula1>"Yes,No"</formula1>
    </dataValidation>
    <dataValidation type="list" allowBlank="1" showInputMessage="1" showErrorMessage="1" sqref="C53 C69 C86 C101 C108" xr:uid="{CDB781C8-0998-416C-8582-63AF10F16C2E}">
      <formula1>"Two-Way Mirror,Three-Way Mirror,Dual Parity,Nested Two-Way Mirror"</formula1>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8" id="{7D7D655F-32DE-4E97-B1A5-0A59DC20FB68}">
            <xm:f>D156&gt;'Hardware Inputs'!C37</xm:f>
            <x14:dxf>
              <font>
                <color rgb="FFC62828"/>
              </font>
              <fill>
                <patternFill patternType="solid">
                  <fgColor indexed="64"/>
                  <bgColor rgb="FFFCE4EC"/>
                </patternFill>
              </fill>
            </x14:dxf>
          </x14:cfRule>
          <xm:sqref>D156</xm:sqref>
        </x14:conditionalFormatting>
        <x14:conditionalFormatting xmlns:xm="http://schemas.microsoft.com/office/excel/2006/main">
          <x14:cfRule type="expression" priority="9" id="{EF9229F0-31E2-401D-A996-9D135F49B5B2}">
            <xm:f>D157&gt;'Hardware Inputs'!C37</xm:f>
            <x14:dxf>
              <font>
                <color rgb="FFC62828"/>
              </font>
              <fill>
                <patternFill patternType="solid">
                  <fgColor indexed="64"/>
                  <bgColor rgb="FFFCE4EC"/>
                </patternFill>
              </fill>
            </x14:dxf>
          </x14:cfRule>
          <xm:sqref>D157</xm:sqref>
        </x14:conditionalFormatting>
        <x14:conditionalFormatting xmlns:xm="http://schemas.microsoft.com/office/excel/2006/main">
          <x14:cfRule type="expression" priority="10" id="{27AE4802-808B-4D28-B674-0A08D1D88CAD}">
            <xm:f>D158&gt;'Hardware Inputs'!C37</xm:f>
            <x14:dxf>
              <font>
                <color rgb="FFC62828"/>
              </font>
              <fill>
                <patternFill patternType="solid">
                  <fgColor indexed="64"/>
                  <bgColor rgb="FFFCE4EC"/>
                </patternFill>
              </fill>
            </x14:dxf>
          </x14:cfRule>
          <xm:sqref>D158</xm:sqref>
        </x14:conditionalFormatting>
        <x14:conditionalFormatting xmlns:xm="http://schemas.microsoft.com/office/excel/2006/main">
          <x14:cfRule type="expression" priority="11" id="{25C6FD97-7C18-42A0-8DEA-AF881E449802}">
            <xm:f>D159&gt;'Hardware Inputs'!C37</xm:f>
            <x14:dxf>
              <font>
                <color rgb="FFC62828"/>
              </font>
              <fill>
                <patternFill patternType="solid">
                  <fgColor indexed="64"/>
                  <bgColor rgb="FFFCE4EC"/>
                </patternFill>
              </fill>
            </x14:dxf>
          </x14:cfRule>
          <xm:sqref>D159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57541-55CC-4ABB-9354-1F482C57692E}">
  <sheetPr>
    <tabColor theme="7"/>
  </sheetPr>
  <dimension ref="B2:F114"/>
  <sheetViews>
    <sheetView workbookViewId="0">
      <selection activeCell="C6" sqref="C6"/>
    </sheetView>
  </sheetViews>
  <sheetFormatPr defaultRowHeight="15" x14ac:dyDescent="0.25"/>
  <cols>
    <col min="1" max="1" width="3.42578125" customWidth="1"/>
    <col min="2" max="2" width="77.28515625" customWidth="1"/>
    <col min="3" max="3" width="51.7109375" bestFit="1" customWidth="1"/>
    <col min="4" max="4" width="37.7109375" bestFit="1" customWidth="1"/>
    <col min="5" max="5" width="18" bestFit="1" customWidth="1"/>
    <col min="6" max="6" width="122.140625" bestFit="1" customWidth="1"/>
  </cols>
  <sheetData>
    <row r="2" spans="2:6" ht="18" x14ac:dyDescent="0.25">
      <c r="B2" s="114" t="s">
        <v>787</v>
      </c>
      <c r="C2" s="115"/>
      <c r="D2" s="115"/>
      <c r="E2" s="115"/>
      <c r="F2" s="115"/>
    </row>
    <row r="3" spans="2:6" x14ac:dyDescent="0.25">
      <c r="B3" s="124" t="s">
        <v>788</v>
      </c>
    </row>
    <row r="5" spans="2:6" x14ac:dyDescent="0.25">
      <c r="B5" s="241" t="s">
        <v>789</v>
      </c>
      <c r="C5" s="137"/>
      <c r="D5" s="137"/>
      <c r="E5" s="137"/>
      <c r="F5" s="137"/>
    </row>
    <row r="6" spans="2:6" x14ac:dyDescent="0.25">
      <c r="B6" s="122" t="s">
        <v>324</v>
      </c>
      <c r="C6" s="8" t="s">
        <v>299</v>
      </c>
      <c r="D6" s="242"/>
      <c r="F6" s="124" t="s">
        <v>790</v>
      </c>
    </row>
    <row r="8" spans="2:6" x14ac:dyDescent="0.25">
      <c r="B8" s="136" t="s">
        <v>623</v>
      </c>
      <c r="C8" s="137"/>
      <c r="D8" s="137"/>
      <c r="E8" s="137"/>
      <c r="F8" s="137"/>
    </row>
    <row r="9" spans="2:6" x14ac:dyDescent="0.25">
      <c r="B9" s="122" t="s">
        <v>326</v>
      </c>
      <c r="C9" s="9">
        <v>32</v>
      </c>
      <c r="D9" s="129" t="s">
        <v>125</v>
      </c>
      <c r="F9" s="124" t="s">
        <v>327</v>
      </c>
    </row>
    <row r="10" spans="2:6" x14ac:dyDescent="0.25">
      <c r="B10" s="122" t="s">
        <v>328</v>
      </c>
      <c r="C10" s="10">
        <v>127</v>
      </c>
      <c r="D10" s="129" t="s">
        <v>126</v>
      </c>
      <c r="F10" s="124" t="s">
        <v>329</v>
      </c>
    </row>
    <row r="11" spans="2:6" x14ac:dyDescent="0.25">
      <c r="B11" s="122" t="s">
        <v>330</v>
      </c>
      <c r="C11" s="10">
        <v>50</v>
      </c>
      <c r="D11" s="129" t="s">
        <v>126</v>
      </c>
      <c r="F11" s="124" t="s">
        <v>331</v>
      </c>
    </row>
    <row r="12" spans="2:6" x14ac:dyDescent="0.25">
      <c r="B12" s="122" t="s">
        <v>332</v>
      </c>
      <c r="C12" s="8" t="s">
        <v>108</v>
      </c>
      <c r="D12" s="124" t="str">
        <f>CONCATENATE(TEXT(IF(C12="Three-Way Mirror",1/3,IF(C12="Two-Way Mirror",0.5,IF(C12="Dual Parity",IF('Hardware Inputs'!C8&gt;=16,0.8,IF('Hardware Inputs'!C8&gt;=9,0.75,IF('Hardware Inputs'!C8&gt;=7,2/3,0.5))),IF(C12="Nested Two-Way Mirror",0.25,1/3)))),"0%")," eff.")</f>
        <v>50% eff.</v>
      </c>
      <c r="F12" s="124" t="str">
        <f>IF(C12=IF('Hardware Inputs'!C8&gt;=3,"Three-Way Mirror","Two-Way Mirror"),"","Note: "&amp;'Hardware Inputs'!C8&amp;"-node cluster default = "&amp;IF('Hardware Inputs'!C8&gt;=3,"Three-Way Mirror","Two-Way Mirror"))</f>
        <v>Note: 3-node cluster default = Three-Way Mirror</v>
      </c>
    </row>
    <row r="13" spans="2:6" x14ac:dyDescent="0.25">
      <c r="B13" s="130" t="s">
        <v>333</v>
      </c>
      <c r="C13" s="131">
        <f>IF($C$6="No",0,IF(C9=0,0,ROUND(C9*(C10+C11)/1024,2)))</f>
        <v>0</v>
      </c>
      <c r="D13" s="132" t="s">
        <v>87</v>
      </c>
      <c r="F13" s="160" t="str">
        <f>IF(C13&gt;64,"WARNING: Exceeds 64 TB max volume size!","")</f>
        <v/>
      </c>
    </row>
    <row r="14" spans="2:6" x14ac:dyDescent="0.25">
      <c r="B14" s="133" t="s">
        <v>334</v>
      </c>
      <c r="C14" s="134">
        <f>IF(C13=0,0,ROUND(C13/IF(C12="Three-Way Mirror",1/3,IF(C12="Two-Way Mirror",0.5,IF(C12="Dual Parity",IF('Hardware Inputs'!C8&gt;=16,0.8,IF('Hardware Inputs'!C8&gt;=9,0.75,IF('Hardware Inputs'!C8&gt;=7,2/3,0.5))),IF(C12="Nested Two-Way Mirror",0.25,1/3)))),2))</f>
        <v>0</v>
      </c>
      <c r="D14" s="135" t="s">
        <v>87</v>
      </c>
      <c r="F14" s="124" t="s">
        <v>127</v>
      </c>
    </row>
    <row r="16" spans="2:6" x14ac:dyDescent="0.25">
      <c r="B16" s="136" t="s">
        <v>624</v>
      </c>
      <c r="C16" s="137"/>
      <c r="D16" s="137"/>
      <c r="E16" s="137"/>
      <c r="F16" s="137"/>
    </row>
    <row r="17" spans="2:6" x14ac:dyDescent="0.25">
      <c r="B17" s="122" t="s">
        <v>658</v>
      </c>
      <c r="C17" s="8" t="s">
        <v>659</v>
      </c>
      <c r="D17" s="245"/>
      <c r="F17" s="124" t="s">
        <v>791</v>
      </c>
    </row>
    <row r="18" spans="2:6" x14ac:dyDescent="0.25">
      <c r="B18" s="122" t="s">
        <v>335</v>
      </c>
      <c r="C18" s="9">
        <v>1300</v>
      </c>
      <c r="D18" s="129" t="s">
        <v>128</v>
      </c>
      <c r="F18" s="124" t="s">
        <v>336</v>
      </c>
    </row>
    <row r="19" spans="2:6" x14ac:dyDescent="0.25">
      <c r="B19" s="122" t="s">
        <v>337</v>
      </c>
      <c r="C19" s="9">
        <v>300</v>
      </c>
      <c r="D19" s="129" t="s">
        <v>128</v>
      </c>
      <c r="F19" s="124" t="s">
        <v>792</v>
      </c>
    </row>
    <row r="20" spans="2:6" x14ac:dyDescent="0.25">
      <c r="B20" s="122" t="s">
        <v>338</v>
      </c>
      <c r="C20" s="10">
        <v>5</v>
      </c>
      <c r="D20" s="129" t="s">
        <v>126</v>
      </c>
      <c r="F20" s="124" t="s">
        <v>793</v>
      </c>
    </row>
    <row r="21" spans="2:6" x14ac:dyDescent="0.25">
      <c r="B21" s="122" t="s">
        <v>339</v>
      </c>
      <c r="C21" s="11">
        <v>0.3</v>
      </c>
      <c r="D21" s="129" t="s">
        <v>129</v>
      </c>
      <c r="F21" s="124" t="s">
        <v>130</v>
      </c>
    </row>
    <row r="22" spans="2:6" x14ac:dyDescent="0.25">
      <c r="B22" s="122" t="s">
        <v>340</v>
      </c>
      <c r="C22" s="8" t="s">
        <v>111</v>
      </c>
      <c r="D22" s="124" t="str">
        <f>IF(C17&lt;&gt;"S2D Volume (local)","n/a",CONCATENATE(TEXT(IF(C22="Three-Way Mirror",1/3,IF(C22="Two-Way Mirror",0.5,IF(C22="Dual Parity",IF('Hardware Inputs'!C8&gt;=16,0.8,IF('Hardware Inputs'!C8&gt;=9,0.75,IF('Hardware Inputs'!C8&gt;=7,2/3,0.5))),IF(C22="Nested Two-Way Mirror",0.25,1/3)))),"0%")," eff."))</f>
        <v>33% eff.</v>
      </c>
    </row>
    <row r="23" spans="2:6" x14ac:dyDescent="0.25">
      <c r="B23" s="130" t="s">
        <v>341</v>
      </c>
      <c r="C23" s="131">
        <f>IF($C$6="No",0,IF(C18=0,0,ROUND((C18*C20*(1+C21))/1024,2)))</f>
        <v>0</v>
      </c>
      <c r="D23" s="132" t="s">
        <v>87</v>
      </c>
      <c r="F23" s="160" t="str">
        <f>IF(C23&gt;64,"WARNING: Exceeds 64 TB max volume size!","")</f>
        <v/>
      </c>
    </row>
    <row r="24" spans="2:6" x14ac:dyDescent="0.25">
      <c r="B24" s="133" t="s">
        <v>342</v>
      </c>
      <c r="C24" s="134">
        <f>IF(OR($C$6="No",C17&lt;&gt;"S2D Volume (local)"),0,IF(C23=0,0,ROUND(C23/IF(C22="Three-Way Mirror",1/3,IF(C22="Two-Way Mirror",0.5,IF(C22="Dual Parity",IF('Hardware Inputs'!C8&gt;=16,0.8,IF('Hardware Inputs'!C8&gt;=9,0.75,IF('Hardware Inputs'!C8&gt;=7,2/3,0.5))),IF(C22="Nested Two-Way Mirror",0.25,1/3)))),2)))</f>
        <v>0</v>
      </c>
      <c r="D24" s="135" t="s">
        <v>87</v>
      </c>
      <c r="F24" s="124" t="s">
        <v>660</v>
      </c>
    </row>
    <row r="25" spans="2:6" ht="15.75" x14ac:dyDescent="0.25">
      <c r="B25" s="138" t="s">
        <v>794</v>
      </c>
      <c r="C25" s="139">
        <f>C14+C24</f>
        <v>0</v>
      </c>
      <c r="D25" s="130" t="s">
        <v>87</v>
      </c>
    </row>
    <row r="27" spans="2:6" x14ac:dyDescent="0.25">
      <c r="B27" s="136" t="s">
        <v>496</v>
      </c>
      <c r="C27" s="137"/>
      <c r="D27" s="137"/>
      <c r="E27" s="137"/>
      <c r="F27" s="137"/>
    </row>
    <row r="28" spans="2:6" x14ac:dyDescent="0.25">
      <c r="B28" s="122" t="s">
        <v>497</v>
      </c>
      <c r="C28" s="12">
        <v>8</v>
      </c>
      <c r="D28" s="129" t="s">
        <v>484</v>
      </c>
      <c r="F28" s="124" t="s">
        <v>498</v>
      </c>
    </row>
    <row r="29" spans="2:6" x14ac:dyDescent="0.25">
      <c r="B29" s="122" t="s">
        <v>499</v>
      </c>
      <c r="C29" s="10">
        <v>32</v>
      </c>
      <c r="D29" s="129" t="s">
        <v>126</v>
      </c>
      <c r="F29" s="124" t="s">
        <v>500</v>
      </c>
    </row>
    <row r="30" spans="2:6" x14ac:dyDescent="0.25">
      <c r="B30" s="122" t="s">
        <v>625</v>
      </c>
      <c r="C30" s="13" t="s">
        <v>515</v>
      </c>
      <c r="D30" s="129" t="s">
        <v>501</v>
      </c>
      <c r="F30" s="124" t="s">
        <v>626</v>
      </c>
    </row>
    <row r="31" spans="2:6" x14ac:dyDescent="0.25">
      <c r="B31" s="122" t="s">
        <v>502</v>
      </c>
      <c r="C31" s="12">
        <v>2</v>
      </c>
      <c r="D31" s="129" t="s">
        <v>484</v>
      </c>
      <c r="F31" s="124" t="s">
        <v>503</v>
      </c>
    </row>
    <row r="32" spans="2:6" x14ac:dyDescent="0.25">
      <c r="B32" s="122" t="s">
        <v>504</v>
      </c>
      <c r="C32" s="10">
        <v>4</v>
      </c>
      <c r="D32" s="129" t="s">
        <v>126</v>
      </c>
      <c r="F32" s="124" t="s">
        <v>505</v>
      </c>
    </row>
    <row r="33" spans="2:6" x14ac:dyDescent="0.25">
      <c r="B33" s="130" t="s">
        <v>506</v>
      </c>
      <c r="C33" s="131">
        <f>IF($C$6="No",0,MIN(INT(C28/C31),INT(C29/C32)))</f>
        <v>0</v>
      </c>
      <c r="D33" s="132" t="s">
        <v>507</v>
      </c>
      <c r="F33" s="124" t="s">
        <v>508</v>
      </c>
    </row>
    <row r="34" spans="2:6" x14ac:dyDescent="0.25">
      <c r="B34" s="130" t="s">
        <v>509</v>
      </c>
      <c r="C34" s="131">
        <f>IF($C$6="No",0,IF(C33=0,0,ROUNDUP(C19/C33,0)))</f>
        <v>0</v>
      </c>
      <c r="D34" s="132" t="s">
        <v>125</v>
      </c>
      <c r="F34" s="124" t="s">
        <v>510</v>
      </c>
    </row>
    <row r="35" spans="2:6" x14ac:dyDescent="0.25">
      <c r="B35" s="142" t="s">
        <v>511</v>
      </c>
      <c r="C35" s="246" t="str">
        <f>IF($C$6="No","",IF(C9&gt;=C34,"✓ PASS — "&amp;C9&amp;" VMs ≥ "&amp;C34&amp;" needed","✗ FAIL — Need "&amp;C34&amp;" VMs but only "&amp;C9&amp;" configured"))</f>
        <v/>
      </c>
    </row>
    <row r="36" spans="2:6" x14ac:dyDescent="0.25">
      <c r="B36" s="130" t="s">
        <v>512</v>
      </c>
      <c r="C36" s="131">
        <f>IF($C$6="No",0,C9*C28)</f>
        <v>0</v>
      </c>
      <c r="D36" s="132" t="s">
        <v>484</v>
      </c>
      <c r="F36" s="124" t="s">
        <v>513</v>
      </c>
    </row>
    <row r="37" spans="2:6" x14ac:dyDescent="0.25">
      <c r="B37" s="130" t="s">
        <v>627</v>
      </c>
      <c r="C37" s="131">
        <f>IF($C$6="No",0,C9*C29)</f>
        <v>0</v>
      </c>
      <c r="D37" s="132" t="s">
        <v>126</v>
      </c>
      <c r="F37" s="124" t="s">
        <v>629</v>
      </c>
    </row>
    <row r="38" spans="2:6" x14ac:dyDescent="0.25">
      <c r="B38" s="130" t="s">
        <v>628</v>
      </c>
      <c r="C38" s="131">
        <f>IF($C$6="No",0,ROUND(C36/IF(C30="1:1",1,IF(C30="2:1",2,IF(C30="3:1",3,IF(C30="4:1",4,1)))),0))</f>
        <v>0</v>
      </c>
      <c r="D38" s="132" t="s">
        <v>484</v>
      </c>
      <c r="F38" s="124" t="s">
        <v>630</v>
      </c>
    </row>
    <row r="40" spans="2:6" x14ac:dyDescent="0.25">
      <c r="B40" s="136" t="s">
        <v>514</v>
      </c>
      <c r="C40" s="137"/>
      <c r="D40" s="137"/>
      <c r="E40" s="137"/>
      <c r="F40" s="137"/>
    </row>
    <row r="41" spans="2:6" x14ac:dyDescent="0.25">
      <c r="B41" s="122" t="s">
        <v>634</v>
      </c>
      <c r="C41" s="247" t="str">
        <f>IF($C$6="No","",IF(C38&lt;='Hardware Inputs'!C37,"✓ PASS — "&amp;C38&amp;" of "&amp;'Hardware Inputs'!C37&amp;" vCPU ("&amp;ROUND(C38/'Hardware Inputs'!C37*100,0)&amp;"%)","✗ FAIL — Need "&amp;C38&amp;" but only "&amp;'Hardware Inputs'!C37&amp;" available"))</f>
        <v/>
      </c>
      <c r="F41" s="124" t="s">
        <v>633</v>
      </c>
    </row>
    <row r="42" spans="2:6" x14ac:dyDescent="0.25">
      <c r="B42" s="122" t="s">
        <v>631</v>
      </c>
      <c r="C42" s="247" t="str">
        <f>IF($C$6="No","",IF(C37&lt;='Hardware Inputs'!C38,"✓ PASS — "&amp;C37&amp;" of "&amp;'Hardware Inputs'!C38&amp;" GB ("&amp;ROUND(C37/'Hardware Inputs'!C38*100,0)&amp;"%)","✗ FAIL — Need "&amp;C37&amp;" GB but only "&amp;'Hardware Inputs'!C38&amp;" GB available"))</f>
        <v/>
      </c>
      <c r="F42" s="124" t="s">
        <v>632</v>
      </c>
    </row>
    <row r="43" spans="2:6" x14ac:dyDescent="0.25">
      <c r="B43" s="142" t="s">
        <v>635</v>
      </c>
      <c r="C43" s="248" t="str">
        <f>IF($C$6="No","",IF(C38&lt;='Hardware Inputs'!C39,"✓ PASS — "&amp;C38&amp;" of "&amp;'Hardware Inputs'!C39&amp;" vCPU ("&amp;ROUND(C38/'Hardware Inputs'!C39*100,0)&amp;"%)","⚠ WARNING — Need "&amp;C38&amp;" but N+1 only has "&amp;'Hardware Inputs'!C39&amp;" vCPU"))</f>
        <v/>
      </c>
      <c r="F43" s="124" t="s">
        <v>636</v>
      </c>
    </row>
    <row r="44" spans="2:6" x14ac:dyDescent="0.25">
      <c r="B44" s="142" t="s">
        <v>637</v>
      </c>
      <c r="C44" s="248" t="str">
        <f>IF($C$6="No","",IF(C37&lt;='Hardware Inputs'!C40,"✓ PASS — "&amp;C37&amp;" of "&amp;'Hardware Inputs'!C40&amp;" GB ("&amp;ROUND(C37/'Hardware Inputs'!C40*100,0)&amp;"%)","⚠ WARNING — Need "&amp;C37&amp;" GB but N+1 only has "&amp;'Hardware Inputs'!C40&amp;" GB"))</f>
        <v/>
      </c>
      <c r="F44" s="124" t="s">
        <v>638</v>
      </c>
    </row>
    <row r="46" spans="2:6" x14ac:dyDescent="0.25">
      <c r="B46" s="241" t="s">
        <v>795</v>
      </c>
      <c r="C46" s="137"/>
      <c r="D46" s="137"/>
      <c r="E46" s="137"/>
      <c r="F46" s="137"/>
    </row>
    <row r="47" spans="2:6" x14ac:dyDescent="0.25">
      <c r="B47" s="124" t="s">
        <v>796</v>
      </c>
    </row>
    <row r="49" spans="2:6" x14ac:dyDescent="0.25">
      <c r="B49" s="249" t="s">
        <v>664</v>
      </c>
      <c r="C49" s="250">
        <f>C28*VALUE(LEFT(C30,FIND(":",C30)-1))</f>
        <v>32</v>
      </c>
      <c r="D49" s="132" t="s">
        <v>484</v>
      </c>
    </row>
    <row r="51" spans="2:6" x14ac:dyDescent="0.25">
      <c r="B51" s="249" t="s">
        <v>665</v>
      </c>
      <c r="C51" s="251" t="s">
        <v>666</v>
      </c>
      <c r="D51" s="252" t="s">
        <v>667</v>
      </c>
      <c r="E51" s="251" t="s">
        <v>668</v>
      </c>
    </row>
    <row r="52" spans="2:6" x14ac:dyDescent="0.25">
      <c r="B52" s="253" t="s">
        <v>669</v>
      </c>
      <c r="C52" s="71">
        <f>INT(C49/C31)</f>
        <v>16</v>
      </c>
      <c r="D52" s="71">
        <f>INT(C29/C32)</f>
        <v>8</v>
      </c>
      <c r="E52" s="254" t="str">
        <f>IF(C52&lt;=D52,"CPU","RAM")</f>
        <v>RAM</v>
      </c>
    </row>
    <row r="54" spans="2:6" x14ac:dyDescent="0.25">
      <c r="B54" s="249" t="s">
        <v>670</v>
      </c>
      <c r="C54" s="41">
        <v>2</v>
      </c>
      <c r="D54" s="41">
        <v>4</v>
      </c>
      <c r="E54" s="41">
        <v>6</v>
      </c>
      <c r="F54" s="41">
        <v>8</v>
      </c>
    </row>
    <row r="55" spans="2:6" x14ac:dyDescent="0.25">
      <c r="B55" s="255" t="s">
        <v>671</v>
      </c>
      <c r="C55" s="256">
        <f>INT($C$49/C54)</f>
        <v>16</v>
      </c>
      <c r="D55" s="256">
        <f>INT($C$49/D54)</f>
        <v>8</v>
      </c>
      <c r="E55" s="256">
        <f>INT($C$49/E54)</f>
        <v>5</v>
      </c>
      <c r="F55" s="256">
        <f>INT($C$49/F54)</f>
        <v>4</v>
      </c>
    </row>
    <row r="56" spans="2:6" x14ac:dyDescent="0.25">
      <c r="B56" s="257" t="s">
        <v>797</v>
      </c>
      <c r="C56" s="256">
        <f>INT($C$29/$C$32)</f>
        <v>8</v>
      </c>
      <c r="D56" s="256">
        <f>$C$56</f>
        <v>8</v>
      </c>
      <c r="E56" s="256">
        <f>$C$56</f>
        <v>8</v>
      </c>
      <c r="F56" s="256">
        <f>$C$56</f>
        <v>8</v>
      </c>
    </row>
    <row r="57" spans="2:6" x14ac:dyDescent="0.25">
      <c r="B57" s="258" t="s">
        <v>672</v>
      </c>
      <c r="C57" s="128">
        <f>MIN(C55,C56)</f>
        <v>8</v>
      </c>
      <c r="D57" s="128">
        <f>MIN(D55,D56)</f>
        <v>8</v>
      </c>
      <c r="E57" s="128">
        <f>MIN(E55,E56)</f>
        <v>5</v>
      </c>
      <c r="F57" s="128">
        <f>MIN(F55,F56)</f>
        <v>4</v>
      </c>
    </row>
    <row r="59" spans="2:6" x14ac:dyDescent="0.25">
      <c r="B59" s="241" t="s">
        <v>798</v>
      </c>
      <c r="C59" s="137"/>
      <c r="D59" s="137"/>
      <c r="E59" s="137"/>
      <c r="F59" s="137"/>
    </row>
    <row r="60" spans="2:6" x14ac:dyDescent="0.25">
      <c r="B60" s="124" t="s">
        <v>673</v>
      </c>
    </row>
    <row r="62" spans="2:6" x14ac:dyDescent="0.25">
      <c r="B62" s="249" t="s">
        <v>674</v>
      </c>
      <c r="C62" s="251" t="s">
        <v>661</v>
      </c>
      <c r="D62" s="251" t="s">
        <v>554</v>
      </c>
    </row>
    <row r="63" spans="2:6" x14ac:dyDescent="0.25">
      <c r="B63" s="255" t="s">
        <v>675</v>
      </c>
      <c r="C63" s="259">
        <f>C18</f>
        <v>1300</v>
      </c>
      <c r="D63" s="124" t="s">
        <v>799</v>
      </c>
    </row>
    <row r="64" spans="2:6" x14ac:dyDescent="0.25">
      <c r="B64" s="257" t="s">
        <v>676</v>
      </c>
      <c r="C64" s="259">
        <f>C19</f>
        <v>300</v>
      </c>
      <c r="D64" s="124" t="s">
        <v>799</v>
      </c>
    </row>
    <row r="65" spans="2:6" x14ac:dyDescent="0.25">
      <c r="B65" s="255" t="s">
        <v>677</v>
      </c>
      <c r="C65" s="260">
        <f>IF(C63&gt;0,C64/C63,0)</f>
        <v>0.23076923076923078</v>
      </c>
      <c r="D65" s="261" t="s">
        <v>678</v>
      </c>
    </row>
    <row r="66" spans="2:6" x14ac:dyDescent="0.25">
      <c r="B66" s="257" t="s">
        <v>679</v>
      </c>
      <c r="C66" s="256">
        <f>C33</f>
        <v>0</v>
      </c>
      <c r="D66" s="124" t="s">
        <v>800</v>
      </c>
    </row>
    <row r="68" spans="2:6" x14ac:dyDescent="0.25">
      <c r="B68" s="253" t="s">
        <v>680</v>
      </c>
      <c r="C68" s="71">
        <f>IF(C66&gt;0,ROUNDUP(C64/C66,0),0)</f>
        <v>0</v>
      </c>
      <c r="D68" s="261" t="s">
        <v>681</v>
      </c>
    </row>
    <row r="69" spans="2:6" x14ac:dyDescent="0.25">
      <c r="B69" s="262" t="s">
        <v>682</v>
      </c>
      <c r="C69" s="263">
        <f>C68+1</f>
        <v>1</v>
      </c>
      <c r="D69" s="264" t="s">
        <v>683</v>
      </c>
    </row>
    <row r="70" spans="2:6" x14ac:dyDescent="0.25">
      <c r="B70" s="257" t="s">
        <v>801</v>
      </c>
      <c r="C70" s="265" t="str">
        <f>IF(C69&lt;=C9,"✅ Yes (≤"&amp;C9&amp;" VMs)","❌ No — need "&amp;C69&amp;" but only "&amp;C9&amp;" planned")</f>
        <v>✅ Yes (≤32 VMs)</v>
      </c>
      <c r="D70" s="124" t="s">
        <v>802</v>
      </c>
    </row>
    <row r="72" spans="2:6" x14ac:dyDescent="0.25">
      <c r="B72" s="241" t="s">
        <v>803</v>
      </c>
      <c r="C72" s="137"/>
      <c r="D72" s="137"/>
      <c r="E72" s="137"/>
      <c r="F72" s="137"/>
    </row>
    <row r="73" spans="2:6" x14ac:dyDescent="0.25">
      <c r="B73" s="124" t="s">
        <v>804</v>
      </c>
    </row>
    <row r="75" spans="2:6" x14ac:dyDescent="0.25">
      <c r="B75" s="249" t="s">
        <v>684</v>
      </c>
      <c r="C75" s="251" t="s">
        <v>685</v>
      </c>
      <c r="D75" s="251" t="s">
        <v>686</v>
      </c>
      <c r="E75" s="251" t="s">
        <v>687</v>
      </c>
      <c r="F75" s="251" t="s">
        <v>688</v>
      </c>
    </row>
    <row r="76" spans="2:6" x14ac:dyDescent="0.25">
      <c r="B76" s="255" t="s">
        <v>689</v>
      </c>
      <c r="C76" s="14">
        <v>2</v>
      </c>
      <c r="D76" s="15">
        <v>0.3</v>
      </c>
      <c r="E76" s="259">
        <f>ROUND(D76*$C$18,0)</f>
        <v>390</v>
      </c>
      <c r="F76" s="266">
        <f>ROUND(E76*C76/1024,2)</f>
        <v>0.76</v>
      </c>
    </row>
    <row r="77" spans="2:6" x14ac:dyDescent="0.25">
      <c r="B77" s="257" t="s">
        <v>690</v>
      </c>
      <c r="C77" s="14">
        <v>5</v>
      </c>
      <c r="D77" s="15">
        <v>0.5</v>
      </c>
      <c r="E77" s="259">
        <f>ROUND(D77*$C$18,0)</f>
        <v>650</v>
      </c>
      <c r="F77" s="266">
        <f>ROUND(E77*C77/1024,2)</f>
        <v>3.17</v>
      </c>
    </row>
    <row r="78" spans="2:6" x14ac:dyDescent="0.25">
      <c r="B78" s="255" t="s">
        <v>691</v>
      </c>
      <c r="C78" s="14">
        <v>15</v>
      </c>
      <c r="D78" s="15">
        <v>0.2</v>
      </c>
      <c r="E78" s="259">
        <f>ROUND(D78*$C$18,0)</f>
        <v>260</v>
      </c>
      <c r="F78" s="266">
        <f>ROUND(E78*C78/1024,2)</f>
        <v>3.81</v>
      </c>
    </row>
    <row r="79" spans="2:6" x14ac:dyDescent="0.25">
      <c r="B79" s="267" t="s">
        <v>692</v>
      </c>
      <c r="D79" s="268">
        <f>SUM(D76:D78)</f>
        <v>1</v>
      </c>
      <c r="E79" s="269">
        <f>SUM(E76:E78)</f>
        <v>1300</v>
      </c>
      <c r="F79" s="42">
        <f>SUM(F76:F78)</f>
        <v>7.74</v>
      </c>
    </row>
    <row r="80" spans="2:6" x14ac:dyDescent="0.25">
      <c r="B80" s="249" t="s">
        <v>693</v>
      </c>
      <c r="C80" s="270">
        <f>IF(E79&gt;0,SUMPRODUCT(C76:C78,E76:E78)/E79,0)</f>
        <v>6.1</v>
      </c>
      <c r="D80" s="124" t="str">
        <f>IF(ABS(C80-C20)&lt;1,"✅ Matches your input (±1 GB)","⚠️ Your input uses "&amp;C20&amp;" GB")</f>
        <v>⚠️ Your input uses 5 GB</v>
      </c>
    </row>
    <row r="82" spans="2:6" x14ac:dyDescent="0.25">
      <c r="B82" s="249" t="s">
        <v>805</v>
      </c>
      <c r="C82" s="271" t="s">
        <v>806</v>
      </c>
      <c r="D82" s="271" t="s">
        <v>807</v>
      </c>
    </row>
    <row r="83" spans="2:6" x14ac:dyDescent="0.25">
      <c r="B83" s="255" t="s">
        <v>694</v>
      </c>
      <c r="C83" s="272">
        <f>F79</f>
        <v>7.74</v>
      </c>
      <c r="D83" s="272">
        <f>C23</f>
        <v>0</v>
      </c>
    </row>
    <row r="85" spans="2:6" x14ac:dyDescent="0.25">
      <c r="B85" s="241" t="s">
        <v>808</v>
      </c>
      <c r="C85" s="137"/>
      <c r="D85" s="137"/>
      <c r="E85" s="137"/>
      <c r="F85" s="137"/>
    </row>
    <row r="86" spans="2:6" x14ac:dyDescent="0.25">
      <c r="B86" s="124" t="s">
        <v>695</v>
      </c>
    </row>
    <row r="88" spans="2:6" x14ac:dyDescent="0.25">
      <c r="B88" s="249" t="s">
        <v>696</v>
      </c>
      <c r="C88" s="251" t="s">
        <v>661</v>
      </c>
      <c r="D88" s="251" t="s">
        <v>554</v>
      </c>
    </row>
    <row r="89" spans="2:6" x14ac:dyDescent="0.25">
      <c r="B89" s="273" t="s">
        <v>697</v>
      </c>
      <c r="C89" s="14">
        <v>3</v>
      </c>
      <c r="D89" s="124" t="s">
        <v>698</v>
      </c>
    </row>
    <row r="90" spans="2:6" x14ac:dyDescent="0.25">
      <c r="B90" s="255" t="s">
        <v>699</v>
      </c>
      <c r="C90" s="259">
        <f>C19</f>
        <v>300</v>
      </c>
    </row>
    <row r="91" spans="2:6" x14ac:dyDescent="0.25">
      <c r="B91" s="267" t="s">
        <v>700</v>
      </c>
      <c r="C91" s="269">
        <f>C89*C90</f>
        <v>900</v>
      </c>
      <c r="D91" s="274" t="str">
        <f>ROUND(C91/1000,1)&amp;" Gbps"</f>
        <v>0.9 Gbps</v>
      </c>
    </row>
    <row r="92" spans="2:6" x14ac:dyDescent="0.25">
      <c r="B92" s="255" t="s">
        <v>701</v>
      </c>
      <c r="C92" s="259">
        <f>IF('Hardware Inputs'!C8&gt;0,ROUND(C91/'Hardware Inputs'!C8,0),0)</f>
        <v>300</v>
      </c>
      <c r="D92" s="124" t="str">
        <f>IF(C92&gt;10000,"⚠️ Exceeds 10 GbE per node",IF(C92&gt;1000,"⚠️ Exceeds 1 GbE per node","✅ Within 1 GbE per node"))</f>
        <v>✅ Within 1 GbE per node</v>
      </c>
    </row>
    <row r="94" spans="2:6" x14ac:dyDescent="0.25">
      <c r="B94" s="241" t="s">
        <v>809</v>
      </c>
      <c r="C94" s="137"/>
      <c r="D94" s="137"/>
      <c r="E94" s="137"/>
      <c r="F94" s="137"/>
    </row>
    <row r="95" spans="2:6" x14ac:dyDescent="0.25">
      <c r="B95" s="124" t="s">
        <v>810</v>
      </c>
    </row>
    <row r="97" spans="2:6" x14ac:dyDescent="0.25">
      <c r="B97" s="249" t="s">
        <v>702</v>
      </c>
      <c r="C97" s="251" t="s">
        <v>703</v>
      </c>
      <c r="D97" s="251" t="s">
        <v>704</v>
      </c>
    </row>
    <row r="98" spans="2:6" x14ac:dyDescent="0.25">
      <c r="B98" s="255" t="s">
        <v>705</v>
      </c>
      <c r="C98" s="256">
        <f>C10</f>
        <v>127</v>
      </c>
      <c r="D98" s="275" t="s">
        <v>706</v>
      </c>
    </row>
    <row r="99" spans="2:6" x14ac:dyDescent="0.25">
      <c r="B99" s="257" t="s">
        <v>707</v>
      </c>
      <c r="C99" s="256">
        <f>C11</f>
        <v>50</v>
      </c>
      <c r="D99" s="275" t="s">
        <v>708</v>
      </c>
    </row>
    <row r="100" spans="2:6" x14ac:dyDescent="0.25">
      <c r="B100" s="249" t="s">
        <v>709</v>
      </c>
      <c r="C100" s="251">
        <f>C98+C99</f>
        <v>177</v>
      </c>
      <c r="D100" s="275" t="s">
        <v>710</v>
      </c>
    </row>
    <row r="102" spans="2:6" x14ac:dyDescent="0.25">
      <c r="B102" s="276" t="s">
        <v>711</v>
      </c>
    </row>
    <row r="104" spans="2:6" x14ac:dyDescent="0.25">
      <c r="B104" s="241" t="s">
        <v>811</v>
      </c>
      <c r="C104" s="137"/>
      <c r="D104" s="137"/>
      <c r="E104" s="137"/>
      <c r="F104" s="137"/>
    </row>
    <row r="105" spans="2:6" x14ac:dyDescent="0.25">
      <c r="B105" s="124" t="s">
        <v>812</v>
      </c>
    </row>
    <row r="107" spans="2:6" x14ac:dyDescent="0.25">
      <c r="B107" s="249" t="s">
        <v>577</v>
      </c>
      <c r="C107" s="251" t="s">
        <v>402</v>
      </c>
      <c r="D107" s="251" t="s">
        <v>712</v>
      </c>
    </row>
    <row r="108" spans="2:6" x14ac:dyDescent="0.25">
      <c r="B108" s="255" t="s">
        <v>713</v>
      </c>
      <c r="C108" s="277" t="str">
        <f>IF(C69&lt;=C9,"✅ PASS","❌ FAIL")</f>
        <v>✅ PASS</v>
      </c>
      <c r="D108" s="278" t="str">
        <f>"Need "&amp;C69&amp;" hosts, have "&amp;C9&amp;" configured"</f>
        <v>Need 1 hosts, have 32 configured</v>
      </c>
    </row>
    <row r="109" spans="2:6" x14ac:dyDescent="0.25">
      <c r="B109" s="257" t="s">
        <v>714</v>
      </c>
      <c r="C109" s="277" t="str">
        <f>IF(D79=1,"✅ PASS","❌ FAIL ("&amp;TEXT(D79,"0%")&amp;")")</f>
        <v>✅ PASS</v>
      </c>
      <c r="D109" s="278" t="str">
        <f>"Task "&amp;TEXT(D76,"0%")&amp;" + Knowledge "&amp;TEXT(D77,"0%")&amp;" + Power "&amp;TEXT(D78,"0%")</f>
        <v>Task 30% + Knowledge 50% + Power 20%</v>
      </c>
    </row>
    <row r="110" spans="2:6" x14ac:dyDescent="0.25">
      <c r="B110" s="255" t="s">
        <v>715</v>
      </c>
      <c r="C110" s="277" t="str">
        <f>IF(C17&lt;&gt;"","✅ "&amp;C17,"❌ Not set")</f>
        <v>✅ S2D Volume (local)</v>
      </c>
      <c r="D110" s="278" t="str">
        <f>IF(C17="S2D Volume (local)","Profiles on cluster storage","Profiles on external storage — no S2D capacity used")</f>
        <v>Profiles on cluster storage</v>
      </c>
    </row>
    <row r="111" spans="2:6" x14ac:dyDescent="0.25">
      <c r="B111" s="257" t="s">
        <v>716</v>
      </c>
      <c r="C111" s="277" t="str">
        <f>IF(C92&lt;=10000,"✅ PASS","❌ FAIL")</f>
        <v>✅ PASS</v>
      </c>
      <c r="D111" s="278" t="str">
        <f>ROUND(C92,0)&amp;" Mbps per node ("&amp;ROUND(C92/1000,1)&amp;" Gbps)"</f>
        <v>300 Mbps per node (0.3 Gbps)</v>
      </c>
    </row>
    <row r="112" spans="2:6" x14ac:dyDescent="0.25">
      <c r="B112" s="255" t="s">
        <v>813</v>
      </c>
      <c r="C112" s="277" t="str">
        <f>IF(ABS(C80-C20)&lt;=2,"✅ PASS","⚠️ CHECK")</f>
        <v>✅ PASS</v>
      </c>
      <c r="D112" s="278" t="str">
        <f>"Weighted avg: "&amp;TEXT(C80,"0.0")&amp;" GB vs input: "&amp;C20&amp;" GB"</f>
        <v>Weighted avg: 6.1 GB vs input: 5 GB</v>
      </c>
    </row>
    <row r="113" spans="2:4" x14ac:dyDescent="0.25">
      <c r="B113" s="257" t="s">
        <v>814</v>
      </c>
      <c r="C113" s="277" t="str">
        <f>IF(C38&lt;='Hardware Inputs'!C37,"✅ PASS","❌ FAIL")</f>
        <v>✅ PASS</v>
      </c>
      <c r="D113" s="278" t="str">
        <f>C38&amp;" of "&amp;'Hardware Inputs'!C37&amp;" vCPU ("&amp;ROUND(C38/'Hardware Inputs'!C37*100,0)&amp;"%)"</f>
        <v>0 of 192 vCPU (0%)</v>
      </c>
    </row>
    <row r="114" spans="2:4" x14ac:dyDescent="0.25">
      <c r="B114" s="255" t="s">
        <v>815</v>
      </c>
      <c r="C114" s="277" t="str">
        <f>IF(C37&lt;='Hardware Inputs'!C38,"✅ PASS","❌ FAIL")</f>
        <v>✅ PASS</v>
      </c>
      <c r="D114" s="278" t="str">
        <f>C37&amp;" of "&amp;'Hardware Inputs'!C38&amp;" GB ("&amp;ROUND(C37/'Hardware Inputs'!C38*100,0)&amp;"%)"</f>
        <v>0 of 672 GB (0%)</v>
      </c>
    </row>
  </sheetData>
  <sheetProtection sheet="1" objects="1" scenarios="1"/>
  <dataValidations count="4">
    <dataValidation type="list" allowBlank="1" showInputMessage="1" showErrorMessage="1" sqref="C6" xr:uid="{5477F583-8D9B-44A5-9FBE-D6D9AC796D1B}">
      <formula1>"Yes,No"</formula1>
    </dataValidation>
    <dataValidation type="list" allowBlank="1" showInputMessage="1" showErrorMessage="1" sqref="C12 C22" xr:uid="{8A84DC61-1729-469A-ABC4-F326DF4D8C41}">
      <formula1>"Two-Way Mirror,Three-Way Mirror,Dual Parity,Nested Two-Way Mirror"</formula1>
    </dataValidation>
    <dataValidation type="list" allowBlank="1" showInputMessage="1" showErrorMessage="1" sqref="C17" xr:uid="{CE1A8A47-1050-4832-8478-A30961D14AEF}">
      <formula1>"S2D Volume (local),SOFS (separate cluster),External/Azure Files/ANF"</formula1>
    </dataValidation>
    <dataValidation type="list" allowBlank="1" showInputMessage="1" showErrorMessage="1" sqref="C30" xr:uid="{306B5D71-9055-4BFF-A5D4-153A4DDD90C6}">
      <formula1>"1:1,2:1,3:1,4:1"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8430-A9D4-49B0-AF96-F70356614E99}">
  <sheetPr>
    <tabColor theme="7"/>
  </sheetPr>
  <dimension ref="A1:F93"/>
  <sheetViews>
    <sheetView workbookViewId="0">
      <selection activeCell="C6" sqref="C6"/>
    </sheetView>
  </sheetViews>
  <sheetFormatPr defaultRowHeight="15" x14ac:dyDescent="0.25"/>
  <cols>
    <col min="1" max="1" width="1" customWidth="1"/>
    <col min="2" max="2" width="53.28515625" customWidth="1"/>
    <col min="3" max="3" width="26.7109375" customWidth="1"/>
    <col min="4" max="4" width="15.28515625" customWidth="1"/>
    <col min="5" max="5" width="2.85546875" customWidth="1"/>
    <col min="6" max="6" width="72.42578125" bestFit="1" customWidth="1"/>
  </cols>
  <sheetData>
    <row r="1" spans="1:6" x14ac:dyDescent="0.25">
      <c r="A1" s="281"/>
      <c r="B1" s="281"/>
      <c r="C1" s="281"/>
      <c r="D1" s="281"/>
      <c r="E1" s="281"/>
      <c r="F1" s="281"/>
    </row>
    <row r="2" spans="1:6" ht="18" x14ac:dyDescent="0.25">
      <c r="A2" s="281"/>
      <c r="B2" s="279" t="s">
        <v>720</v>
      </c>
      <c r="C2" s="280"/>
      <c r="D2" s="280"/>
      <c r="E2" s="281"/>
      <c r="F2" s="280"/>
    </row>
    <row r="3" spans="1:6" x14ac:dyDescent="0.25">
      <c r="A3" s="281"/>
      <c r="B3" s="282" t="s">
        <v>721</v>
      </c>
      <c r="C3" s="281"/>
      <c r="D3" s="281"/>
      <c r="E3" s="281"/>
      <c r="F3" s="281"/>
    </row>
    <row r="4" spans="1:6" x14ac:dyDescent="0.25">
      <c r="A4" s="281"/>
      <c r="B4" s="281"/>
      <c r="C4" s="281"/>
      <c r="D4" s="281"/>
      <c r="E4" s="281"/>
      <c r="F4" s="281"/>
    </row>
    <row r="5" spans="1:6" x14ac:dyDescent="0.25">
      <c r="B5" s="241" t="s">
        <v>927</v>
      </c>
      <c r="C5" s="137"/>
      <c r="D5" s="137"/>
      <c r="E5" s="137"/>
      <c r="F5" s="137"/>
    </row>
    <row r="6" spans="1:6" x14ac:dyDescent="0.25">
      <c r="B6" s="122" t="s">
        <v>928</v>
      </c>
      <c r="C6" s="8" t="s">
        <v>299</v>
      </c>
      <c r="F6" s="171" t="s">
        <v>929</v>
      </c>
    </row>
    <row r="7" spans="1:6" ht="15.75" thickBot="1" x14ac:dyDescent="0.3"/>
    <row r="8" spans="1:6" x14ac:dyDescent="0.25">
      <c r="A8" s="281"/>
      <c r="B8" s="283" t="s">
        <v>722</v>
      </c>
      <c r="C8" s="284"/>
      <c r="D8" s="284"/>
      <c r="E8" s="285"/>
      <c r="F8" s="284"/>
    </row>
    <row r="9" spans="1:6" x14ac:dyDescent="0.25">
      <c r="A9" s="281"/>
      <c r="B9" s="286" t="s">
        <v>723</v>
      </c>
      <c r="C9" s="8">
        <v>3</v>
      </c>
      <c r="D9" s="287" t="s">
        <v>303</v>
      </c>
      <c r="E9" s="281"/>
      <c r="F9" s="124" t="s">
        <v>724</v>
      </c>
    </row>
    <row r="10" spans="1:6" x14ac:dyDescent="0.25">
      <c r="A10" s="281"/>
      <c r="B10" s="108" t="s">
        <v>725</v>
      </c>
      <c r="C10" s="8">
        <v>4</v>
      </c>
      <c r="D10" s="288" t="s">
        <v>82</v>
      </c>
      <c r="E10" s="281"/>
      <c r="F10" s="124" t="s">
        <v>726</v>
      </c>
    </row>
    <row r="11" spans="1:6" ht="15.75" thickBot="1" x14ac:dyDescent="0.3">
      <c r="A11" s="281"/>
      <c r="B11" s="286" t="s">
        <v>727</v>
      </c>
      <c r="C11" s="42">
        <f>IF($C$6="No",0,IF(C30=0,0,ROUNDUP(C30/(C9*C10*C19*C14-1),2)))</f>
        <v>0</v>
      </c>
      <c r="D11" s="287" t="s">
        <v>87</v>
      </c>
      <c r="E11" s="281"/>
      <c r="F11" s="124" t="s">
        <v>865</v>
      </c>
    </row>
    <row r="12" spans="1:6" x14ac:dyDescent="0.25">
      <c r="A12" s="281"/>
      <c r="B12" s="283" t="s">
        <v>731</v>
      </c>
      <c r="C12" s="137"/>
      <c r="D12" s="137"/>
      <c r="F12" s="137"/>
    </row>
    <row r="13" spans="1:6" x14ac:dyDescent="0.25">
      <c r="A13" s="281"/>
      <c r="B13" s="286" t="s">
        <v>728</v>
      </c>
      <c r="C13" s="123" t="str">
        <f>IF($C$6="No","",'AVD Planning'!C22)</f>
        <v/>
      </c>
      <c r="D13" s="289"/>
      <c r="F13" s="124" t="s">
        <v>856</v>
      </c>
    </row>
    <row r="14" spans="1:6" x14ac:dyDescent="0.25">
      <c r="A14" s="281"/>
      <c r="B14" s="108" t="s">
        <v>729</v>
      </c>
      <c r="C14" s="290">
        <v>0.92</v>
      </c>
      <c r="D14" s="242"/>
      <c r="F14" s="124" t="s">
        <v>730</v>
      </c>
    </row>
    <row r="15" spans="1:6" x14ac:dyDescent="0.25">
      <c r="A15" s="281"/>
      <c r="B15" s="122" t="s">
        <v>857</v>
      </c>
      <c r="C15" s="13" t="s">
        <v>858</v>
      </c>
      <c r="D15" s="289"/>
      <c r="F15" s="124" t="s">
        <v>864</v>
      </c>
    </row>
    <row r="16" spans="1:6" x14ac:dyDescent="0.25">
      <c r="A16" s="281"/>
      <c r="B16" s="291" t="s">
        <v>859</v>
      </c>
      <c r="C16" s="313" t="s">
        <v>108</v>
      </c>
      <c r="D16" s="292"/>
      <c r="F16" s="293" t="s">
        <v>860</v>
      </c>
    </row>
    <row r="17" spans="1:6" x14ac:dyDescent="0.25">
      <c r="A17" s="281"/>
      <c r="B17" s="242"/>
      <c r="C17" s="242"/>
      <c r="D17" s="242"/>
      <c r="F17" s="242"/>
    </row>
    <row r="18" spans="1:6" x14ac:dyDescent="0.25">
      <c r="A18" s="281"/>
      <c r="B18" s="286" t="s">
        <v>732</v>
      </c>
      <c r="C18" s="42">
        <f>IF($C$6="No",0,C9*C10*C11)</f>
        <v>0</v>
      </c>
      <c r="D18" s="287" t="s">
        <v>87</v>
      </c>
      <c r="F18" s="124" t="s">
        <v>733</v>
      </c>
    </row>
    <row r="19" spans="1:6" x14ac:dyDescent="0.25">
      <c r="A19" s="281"/>
      <c r="B19" s="108" t="s">
        <v>734</v>
      </c>
      <c r="C19" s="268">
        <f>IF($C$6="No",0,IF(C13="Three-Way Mirror",1/3,IF(C13="Two-Way Mirror",0.5,IF(C13="Dual Parity",IF(C9&gt;=16,0.8,IF(C9&gt;=9,0.75,IF(C9&gt;=7,2/3,0.5))),IF(C13="Nested Two-Way Mirror",0.25,1/3)))))</f>
        <v>0</v>
      </c>
      <c r="D19" s="242"/>
      <c r="F19" s="124" t="s">
        <v>735</v>
      </c>
    </row>
    <row r="20" spans="1:6" x14ac:dyDescent="0.25">
      <c r="A20" s="281"/>
      <c r="B20" s="286" t="s">
        <v>736</v>
      </c>
      <c r="C20" s="42">
        <f>IF($C$6="No",0,ROUND(C18*C19*C14,2))</f>
        <v>0</v>
      </c>
      <c r="D20" s="287" t="s">
        <v>87</v>
      </c>
      <c r="F20" s="124" t="s">
        <v>737</v>
      </c>
    </row>
    <row r="21" spans="1:6" x14ac:dyDescent="0.25">
      <c r="A21" s="281"/>
      <c r="B21" s="108" t="s">
        <v>738</v>
      </c>
      <c r="C21" s="294">
        <f>IF($C$6="No",0,C11)</f>
        <v>0</v>
      </c>
      <c r="D21" s="288" t="s">
        <v>87</v>
      </c>
      <c r="F21" s="124" t="s">
        <v>739</v>
      </c>
    </row>
    <row r="22" spans="1:6" x14ac:dyDescent="0.25">
      <c r="A22" s="281"/>
      <c r="B22" s="295" t="s">
        <v>740</v>
      </c>
      <c r="C22" s="296">
        <f>IF($C$6="No",0,MAX(0,ROUND(C20-C21,2)))</f>
        <v>0</v>
      </c>
      <c r="D22" s="297" t="s">
        <v>87</v>
      </c>
      <c r="F22" s="124" t="s">
        <v>741</v>
      </c>
    </row>
    <row r="23" spans="1:6" ht="15.75" thickBot="1" x14ac:dyDescent="0.3">
      <c r="A23" s="281"/>
      <c r="B23" s="281"/>
      <c r="C23" s="281"/>
      <c r="D23" s="281"/>
      <c r="E23" s="281"/>
      <c r="F23" s="281"/>
    </row>
    <row r="24" spans="1:6" x14ac:dyDescent="0.25">
      <c r="A24" s="281"/>
      <c r="B24" s="283" t="s">
        <v>742</v>
      </c>
      <c r="C24" s="284"/>
      <c r="D24" s="284"/>
      <c r="E24" s="285"/>
      <c r="F24" s="284"/>
    </row>
    <row r="25" spans="1:6" x14ac:dyDescent="0.25">
      <c r="A25" s="281"/>
      <c r="B25" s="286" t="s">
        <v>743</v>
      </c>
      <c r="C25" s="251" t="str">
        <f>IF($C$6="No","",'Workload Planner'!C17)</f>
        <v/>
      </c>
      <c r="D25" s="298"/>
      <c r="E25" s="281"/>
      <c r="F25" s="124" t="s">
        <v>744</v>
      </c>
    </row>
    <row r="26" spans="1:6" x14ac:dyDescent="0.25">
      <c r="A26" s="281"/>
      <c r="B26" s="108" t="s">
        <v>335</v>
      </c>
      <c r="C26" s="269">
        <f>IF($C$6="No",0,'Workload Planner'!C18)</f>
        <v>0</v>
      </c>
      <c r="D26" s="288" t="s">
        <v>128</v>
      </c>
      <c r="E26" s="281"/>
      <c r="F26" s="124" t="s">
        <v>745</v>
      </c>
    </row>
    <row r="27" spans="1:6" x14ac:dyDescent="0.25">
      <c r="A27" s="281"/>
      <c r="B27" s="286" t="s">
        <v>746</v>
      </c>
      <c r="C27" s="270">
        <f>IF($C$6="No",0,'Workload Planner'!C20)</f>
        <v>0</v>
      </c>
      <c r="D27" s="287" t="s">
        <v>126</v>
      </c>
      <c r="E27" s="281"/>
      <c r="F27" s="281"/>
    </row>
    <row r="28" spans="1:6" x14ac:dyDescent="0.25">
      <c r="A28" s="281"/>
      <c r="B28" s="108" t="s">
        <v>747</v>
      </c>
      <c r="C28" s="268">
        <f>IF($C$6="No",0,'Workload Planner'!C21)</f>
        <v>0</v>
      </c>
      <c r="D28" s="299"/>
      <c r="E28" s="281"/>
      <c r="F28" s="281"/>
    </row>
    <row r="29" spans="1:6" x14ac:dyDescent="0.25">
      <c r="A29" s="281"/>
      <c r="B29" s="286" t="s">
        <v>748</v>
      </c>
      <c r="C29" s="42">
        <f>IF($C$6="No",0,ROUND((C26*C27*(1+C28))/1024,2))</f>
        <v>0</v>
      </c>
      <c r="D29" s="287" t="s">
        <v>87</v>
      </c>
      <c r="E29" s="281"/>
      <c r="F29" s="124" t="s">
        <v>749</v>
      </c>
    </row>
    <row r="30" spans="1:6" x14ac:dyDescent="0.25">
      <c r="A30" s="281"/>
      <c r="B30" s="108" t="s">
        <v>750</v>
      </c>
      <c r="C30" s="185">
        <f>IF($C$6="No",0,IF(C19=0,0,ROUND(C29/C19,2)))</f>
        <v>0</v>
      </c>
      <c r="D30" s="288" t="s">
        <v>87</v>
      </c>
      <c r="E30" s="281"/>
      <c r="F30" s="124" t="s">
        <v>751</v>
      </c>
    </row>
    <row r="31" spans="1:6" x14ac:dyDescent="0.25">
      <c r="A31" s="281"/>
      <c r="B31" s="295" t="s">
        <v>752</v>
      </c>
      <c r="C31" s="296">
        <f>IF($C$6="No",0,ROUND(C22-C30,2))</f>
        <v>0</v>
      </c>
      <c r="D31" s="297" t="s">
        <v>87</v>
      </c>
      <c r="E31" s="281"/>
      <c r="F31" s="124" t="s">
        <v>753</v>
      </c>
    </row>
    <row r="32" spans="1:6" x14ac:dyDescent="0.25">
      <c r="A32" s="281"/>
      <c r="B32" s="286" t="s">
        <v>754</v>
      </c>
      <c r="C32" s="300">
        <f>IF($C$6="No",0,IF(C22=0,0,C30/C22))</f>
        <v>0</v>
      </c>
      <c r="D32" s="298"/>
      <c r="E32" s="281"/>
      <c r="F32" s="124" t="s">
        <v>755</v>
      </c>
    </row>
    <row r="33" spans="1:6" ht="15.75" thickBot="1" x14ac:dyDescent="0.3">
      <c r="A33" s="281"/>
      <c r="B33" s="281"/>
      <c r="C33" s="281"/>
      <c r="D33" s="281"/>
      <c r="E33" s="281"/>
      <c r="F33" s="281"/>
    </row>
    <row r="34" spans="1:6" x14ac:dyDescent="0.25">
      <c r="A34" s="281"/>
      <c r="B34" s="283" t="s">
        <v>756</v>
      </c>
      <c r="C34" s="284"/>
      <c r="D34" s="284"/>
      <c r="E34" s="285"/>
      <c r="F34" s="284"/>
    </row>
    <row r="35" spans="1:6" x14ac:dyDescent="0.25">
      <c r="A35" s="281"/>
      <c r="B35" s="286" t="s">
        <v>757</v>
      </c>
      <c r="C35" s="181">
        <v>10</v>
      </c>
      <c r="D35" s="287" t="s">
        <v>758</v>
      </c>
      <c r="E35" s="281"/>
      <c r="F35" s="124" t="s">
        <v>759</v>
      </c>
    </row>
    <row r="36" spans="1:6" x14ac:dyDescent="0.25">
      <c r="A36" s="281"/>
      <c r="B36" s="108" t="s">
        <v>760</v>
      </c>
      <c r="C36" s="181">
        <v>50</v>
      </c>
      <c r="D36" s="288" t="s">
        <v>758</v>
      </c>
      <c r="E36" s="281"/>
      <c r="F36" s="124" t="s">
        <v>761</v>
      </c>
    </row>
    <row r="37" spans="1:6" x14ac:dyDescent="0.25">
      <c r="A37" s="281"/>
      <c r="B37" s="286" t="s">
        <v>762</v>
      </c>
      <c r="C37" s="269">
        <f>IF($C$6="No",0,'Workload Planner'!C19)</f>
        <v>0</v>
      </c>
      <c r="D37" s="287" t="s">
        <v>128</v>
      </c>
      <c r="E37" s="281"/>
      <c r="F37" s="281"/>
    </row>
    <row r="38" spans="1:6" x14ac:dyDescent="0.25">
      <c r="A38" s="281"/>
      <c r="B38" s="108" t="s">
        <v>763</v>
      </c>
      <c r="C38" s="290">
        <v>0.2</v>
      </c>
      <c r="D38" s="299"/>
      <c r="E38" s="281"/>
      <c r="F38" s="124" t="s">
        <v>764</v>
      </c>
    </row>
    <row r="39" spans="1:6" x14ac:dyDescent="0.25">
      <c r="A39" s="281"/>
      <c r="B39" s="286" t="s">
        <v>765</v>
      </c>
      <c r="C39" s="269">
        <f>IF($C$6="No",0,C37*C35*IF(C15="Split",3,1))</f>
        <v>0</v>
      </c>
      <c r="D39" s="287" t="s">
        <v>758</v>
      </c>
      <c r="E39" s="281"/>
      <c r="F39" s="281"/>
    </row>
    <row r="40" spans="1:6" x14ac:dyDescent="0.25">
      <c r="A40" s="281"/>
      <c r="B40" s="133" t="s">
        <v>766</v>
      </c>
      <c r="C40" s="301">
        <f>IF($C$6="No",0,ROUND(((C37*(1-C38)*C35)+(C37*C38*C36))*IF(C15="Split",3,1),0))</f>
        <v>0</v>
      </c>
      <c r="D40" s="302" t="s">
        <v>758</v>
      </c>
      <c r="E40" s="281"/>
      <c r="F40" s="124" t="s">
        <v>767</v>
      </c>
    </row>
    <row r="41" spans="1:6" x14ac:dyDescent="0.25">
      <c r="A41" s="281"/>
      <c r="B41" s="281"/>
      <c r="C41" s="281"/>
      <c r="D41" s="281"/>
      <c r="E41" s="281"/>
      <c r="F41" s="281"/>
    </row>
    <row r="42" spans="1:6" x14ac:dyDescent="0.25">
      <c r="A42" s="281"/>
      <c r="B42" s="249" t="s">
        <v>884</v>
      </c>
      <c r="C42" s="303"/>
      <c r="D42" s="303"/>
      <c r="E42" s="281"/>
      <c r="F42" s="303"/>
    </row>
    <row r="43" spans="1:6" x14ac:dyDescent="0.25">
      <c r="A43" s="281"/>
      <c r="B43" s="122" t="s">
        <v>885</v>
      </c>
      <c r="C43" s="243">
        <v>8</v>
      </c>
      <c r="D43" s="281" t="s">
        <v>484</v>
      </c>
      <c r="E43" s="281"/>
      <c r="F43" s="124" t="s">
        <v>886</v>
      </c>
    </row>
    <row r="44" spans="1:6" x14ac:dyDescent="0.25">
      <c r="A44" s="281"/>
      <c r="B44" s="122" t="s">
        <v>887</v>
      </c>
      <c r="C44" s="244">
        <v>16</v>
      </c>
      <c r="D44" s="281" t="s">
        <v>126</v>
      </c>
      <c r="E44" s="281"/>
      <c r="F44" s="124" t="s">
        <v>888</v>
      </c>
    </row>
    <row r="45" spans="1:6" x14ac:dyDescent="0.25">
      <c r="A45" s="281"/>
      <c r="B45" s="130" t="s">
        <v>889</v>
      </c>
      <c r="C45" s="71">
        <f>IF($C$6="No",0,C9)</f>
        <v>0</v>
      </c>
      <c r="D45" s="303" t="s">
        <v>125</v>
      </c>
      <c r="E45" s="281"/>
      <c r="F45" s="124" t="s">
        <v>890</v>
      </c>
    </row>
    <row r="46" spans="1:6" x14ac:dyDescent="0.25">
      <c r="A46" s="281"/>
      <c r="B46" s="130" t="s">
        <v>891</v>
      </c>
      <c r="C46" s="71">
        <f>IF($C$6="No",0,C45*C43)</f>
        <v>0</v>
      </c>
      <c r="D46" s="303" t="s">
        <v>484</v>
      </c>
      <c r="E46" s="281"/>
      <c r="F46" s="124" t="s">
        <v>892</v>
      </c>
    </row>
    <row r="47" spans="1:6" x14ac:dyDescent="0.25">
      <c r="A47" s="281"/>
      <c r="B47" s="130" t="s">
        <v>893</v>
      </c>
      <c r="C47" s="71">
        <f>IF($C$6="No",0,C45*C44)</f>
        <v>0</v>
      </c>
      <c r="D47" s="303" t="s">
        <v>126</v>
      </c>
      <c r="E47" s="281"/>
      <c r="F47" s="124" t="s">
        <v>894</v>
      </c>
    </row>
    <row r="48" spans="1:6" x14ac:dyDescent="0.25">
      <c r="A48" s="281"/>
      <c r="B48" s="281"/>
      <c r="C48" s="281"/>
      <c r="D48" s="281"/>
      <c r="E48" s="281"/>
      <c r="F48" s="281"/>
    </row>
    <row r="49" spans="1:6" ht="15.75" thickBot="1" x14ac:dyDescent="0.3">
      <c r="A49" s="281"/>
      <c r="B49" s="281"/>
      <c r="C49" s="281"/>
      <c r="D49" s="281"/>
      <c r="E49" s="281"/>
      <c r="F49" s="281"/>
    </row>
    <row r="50" spans="1:6" x14ac:dyDescent="0.25">
      <c r="A50" s="281"/>
      <c r="B50" s="283" t="s">
        <v>768</v>
      </c>
      <c r="C50" s="284"/>
      <c r="D50" s="284"/>
      <c r="E50" s="285"/>
      <c r="F50" s="284"/>
    </row>
    <row r="51" spans="1:6" x14ac:dyDescent="0.25">
      <c r="A51" s="281"/>
      <c r="B51" s="281" t="s">
        <v>769</v>
      </c>
      <c r="C51" s="304" t="str">
        <f>IF($C$6="No","N/A",IF(C31&gt;=0,"PASS","FAIL"))</f>
        <v>N/A</v>
      </c>
      <c r="D51" s="281"/>
      <c r="E51" s="281"/>
      <c r="F51" s="124" t="s">
        <v>770</v>
      </c>
    </row>
    <row r="52" spans="1:6" x14ac:dyDescent="0.25">
      <c r="A52" s="281"/>
      <c r="B52" s="305" t="s">
        <v>771</v>
      </c>
      <c r="C52" s="306" t="str">
        <f>IF($C$6="No","N/A",IF(C32&lt;=0.8,"PASS","FAIL"))</f>
        <v>N/A</v>
      </c>
      <c r="D52" s="305"/>
      <c r="E52" s="281"/>
      <c r="F52" s="124" t="s">
        <v>772</v>
      </c>
    </row>
    <row r="53" spans="1:6" x14ac:dyDescent="0.25">
      <c r="A53" s="281"/>
      <c r="B53" s="305" t="s">
        <v>773</v>
      </c>
      <c r="C53" s="306" t="str">
        <f>IF($C$6="No","N/A",IF(OR(AND(C13="Two-Way Mirror",C9&gt;=2),AND(C13="Three-Way Mirror",C9&gt;=3),AND(C13="Dual Parity",C9&gt;=4),AND(C13="Nested Two-Way Mirror",C9&gt;=4)),"PASS","FAIL"))</f>
        <v>N/A</v>
      </c>
      <c r="D53" s="305"/>
      <c r="E53" s="281"/>
      <c r="F53" s="124" t="s">
        <v>774</v>
      </c>
    </row>
    <row r="54" spans="1:6" x14ac:dyDescent="0.25">
      <c r="A54" s="281"/>
      <c r="B54" s="307" t="s">
        <v>775</v>
      </c>
      <c r="C54" s="308" t="str">
        <f>IF($C$6="No","N/A","VERIFY")</f>
        <v>N/A</v>
      </c>
      <c r="D54" s="307"/>
      <c r="E54" s="281"/>
      <c r="F54" s="124" t="s">
        <v>776</v>
      </c>
    </row>
    <row r="55" spans="1:6" x14ac:dyDescent="0.25">
      <c r="A55" s="281"/>
      <c r="B55" s="281"/>
      <c r="C55" s="281"/>
      <c r="D55" s="281"/>
      <c r="E55" s="281"/>
      <c r="F55" s="281"/>
    </row>
    <row r="56" spans="1:6" x14ac:dyDescent="0.25">
      <c r="A56" s="281"/>
      <c r="B56" s="241" t="s">
        <v>777</v>
      </c>
      <c r="C56" s="309"/>
      <c r="D56" s="309"/>
      <c r="E56" s="281"/>
      <c r="F56" s="309"/>
    </row>
    <row r="57" spans="1:6" x14ac:dyDescent="0.25">
      <c r="A57" s="281"/>
      <c r="B57" s="310" t="s">
        <v>778</v>
      </c>
      <c r="C57" s="281"/>
      <c r="D57" s="281"/>
      <c r="E57" s="281"/>
      <c r="F57" s="281"/>
    </row>
    <row r="58" spans="1:6" x14ac:dyDescent="0.25">
      <c r="A58" s="281"/>
      <c r="B58" s="311" t="s">
        <v>779</v>
      </c>
      <c r="C58" s="281"/>
      <c r="D58" s="281"/>
      <c r="E58" s="281"/>
      <c r="F58" s="281"/>
    </row>
    <row r="59" spans="1:6" x14ac:dyDescent="0.25">
      <c r="A59" s="281"/>
      <c r="B59" s="312" t="s">
        <v>780</v>
      </c>
      <c r="C59" s="281"/>
      <c r="D59" s="281"/>
      <c r="E59" s="281"/>
      <c r="F59" s="281"/>
    </row>
    <row r="60" spans="1:6" x14ac:dyDescent="0.25">
      <c r="A60" s="281"/>
      <c r="B60" s="312" t="s">
        <v>781</v>
      </c>
      <c r="C60" s="281"/>
      <c r="D60" s="281"/>
      <c r="E60" s="281"/>
      <c r="F60" s="281"/>
    </row>
    <row r="61" spans="1:6" x14ac:dyDescent="0.25">
      <c r="A61" s="281"/>
      <c r="B61" s="312" t="s">
        <v>782</v>
      </c>
      <c r="C61" s="281"/>
      <c r="D61" s="281"/>
      <c r="E61" s="281"/>
      <c r="F61" s="281"/>
    </row>
    <row r="62" spans="1:6" x14ac:dyDescent="0.25">
      <c r="A62" s="281"/>
      <c r="B62" s="281"/>
      <c r="C62" s="281"/>
      <c r="D62" s="281"/>
      <c r="E62" s="281"/>
      <c r="F62" s="281"/>
    </row>
    <row r="63" spans="1:6" x14ac:dyDescent="0.25">
      <c r="A63" s="281"/>
      <c r="B63" s="281"/>
      <c r="C63" s="281"/>
      <c r="D63" s="281"/>
      <c r="E63" s="281"/>
      <c r="F63" s="281"/>
    </row>
    <row r="64" spans="1:6" x14ac:dyDescent="0.25">
      <c r="A64" s="281"/>
      <c r="B64" s="281"/>
      <c r="C64" s="281"/>
      <c r="D64" s="281"/>
      <c r="E64" s="281"/>
      <c r="F64" s="281"/>
    </row>
    <row r="65" spans="1:6" x14ac:dyDescent="0.25">
      <c r="A65" s="281"/>
      <c r="B65" s="281"/>
      <c r="C65" s="281"/>
      <c r="D65" s="281"/>
      <c r="E65" s="281"/>
      <c r="F65" s="281"/>
    </row>
    <row r="66" spans="1:6" x14ac:dyDescent="0.25">
      <c r="A66" s="281"/>
      <c r="B66" s="281"/>
      <c r="C66" s="281"/>
      <c r="D66" s="281"/>
      <c r="E66" s="281"/>
      <c r="F66" s="281"/>
    </row>
    <row r="67" spans="1:6" x14ac:dyDescent="0.25">
      <c r="A67" s="281"/>
      <c r="B67" s="281"/>
      <c r="C67" s="281"/>
      <c r="D67" s="281"/>
      <c r="E67" s="281"/>
      <c r="F67" s="281"/>
    </row>
    <row r="68" spans="1:6" x14ac:dyDescent="0.25">
      <c r="A68" s="281"/>
      <c r="B68" s="281"/>
      <c r="C68" s="281"/>
      <c r="D68" s="281"/>
      <c r="E68" s="281"/>
      <c r="F68" s="281"/>
    </row>
    <row r="69" spans="1:6" x14ac:dyDescent="0.25">
      <c r="A69" s="281"/>
      <c r="B69" s="281"/>
      <c r="C69" s="281"/>
      <c r="D69" s="281"/>
      <c r="E69" s="281"/>
      <c r="F69" s="281"/>
    </row>
    <row r="70" spans="1:6" x14ac:dyDescent="0.25">
      <c r="A70" s="281"/>
      <c r="B70" s="281"/>
      <c r="C70" s="281"/>
      <c r="D70" s="281"/>
      <c r="E70" s="281"/>
      <c r="F70" s="281"/>
    </row>
    <row r="71" spans="1:6" x14ac:dyDescent="0.25">
      <c r="A71" s="281"/>
      <c r="B71" s="281"/>
      <c r="C71" s="281"/>
      <c r="D71" s="281"/>
      <c r="E71" s="281"/>
      <c r="F71" s="281"/>
    </row>
    <row r="72" spans="1:6" x14ac:dyDescent="0.25">
      <c r="A72" s="281"/>
      <c r="B72" s="281"/>
      <c r="C72" s="281"/>
      <c r="D72" s="281"/>
      <c r="E72" s="281"/>
      <c r="F72" s="281"/>
    </row>
    <row r="73" spans="1:6" x14ac:dyDescent="0.25">
      <c r="A73" s="281"/>
      <c r="B73" s="281"/>
      <c r="C73" s="281"/>
      <c r="D73" s="281"/>
      <c r="E73" s="281"/>
      <c r="F73" s="281"/>
    </row>
    <row r="74" spans="1:6" x14ac:dyDescent="0.25">
      <c r="A74" s="281"/>
      <c r="B74" s="281"/>
      <c r="C74" s="281"/>
      <c r="D74" s="281"/>
      <c r="E74" s="281"/>
      <c r="F74" s="281"/>
    </row>
    <row r="75" spans="1:6" x14ac:dyDescent="0.25">
      <c r="A75" s="281"/>
      <c r="B75" s="281"/>
      <c r="C75" s="281"/>
      <c r="D75" s="281"/>
      <c r="E75" s="281"/>
      <c r="F75" s="281"/>
    </row>
    <row r="76" spans="1:6" x14ac:dyDescent="0.25">
      <c r="A76" s="281"/>
      <c r="B76" s="281"/>
      <c r="C76" s="281"/>
      <c r="D76" s="281"/>
      <c r="E76" s="281"/>
      <c r="F76" s="281"/>
    </row>
    <row r="77" spans="1:6" x14ac:dyDescent="0.25">
      <c r="A77" s="281"/>
      <c r="B77" s="281"/>
      <c r="C77" s="281"/>
      <c r="D77" s="281"/>
      <c r="E77" s="281"/>
      <c r="F77" s="281"/>
    </row>
    <row r="78" spans="1:6" x14ac:dyDescent="0.25">
      <c r="A78" s="281"/>
      <c r="B78" s="281"/>
      <c r="C78" s="281"/>
      <c r="D78" s="281"/>
      <c r="E78" s="281"/>
      <c r="F78" s="281"/>
    </row>
    <row r="79" spans="1:6" x14ac:dyDescent="0.25">
      <c r="A79" s="281"/>
      <c r="B79" s="281"/>
      <c r="C79" s="281"/>
      <c r="D79" s="281"/>
      <c r="E79" s="281"/>
      <c r="F79" s="281"/>
    </row>
    <row r="80" spans="1:6" x14ac:dyDescent="0.25">
      <c r="A80" s="281"/>
      <c r="B80" s="281"/>
      <c r="C80" s="281"/>
      <c r="D80" s="281"/>
      <c r="E80" s="281"/>
      <c r="F80" s="281"/>
    </row>
    <row r="81" spans="1:6" x14ac:dyDescent="0.25">
      <c r="A81" s="281"/>
      <c r="B81" s="281"/>
      <c r="C81" s="281"/>
      <c r="D81" s="281"/>
      <c r="E81" s="281"/>
      <c r="F81" s="281"/>
    </row>
    <row r="82" spans="1:6" x14ac:dyDescent="0.25">
      <c r="A82" s="281"/>
      <c r="B82" s="281"/>
      <c r="C82" s="281"/>
      <c r="D82" s="281"/>
      <c r="E82" s="281"/>
      <c r="F82" s="281"/>
    </row>
    <row r="83" spans="1:6" x14ac:dyDescent="0.25">
      <c r="A83" s="281"/>
      <c r="B83" s="281"/>
      <c r="C83" s="281"/>
      <c r="D83" s="281"/>
      <c r="E83" s="281"/>
      <c r="F83" s="281"/>
    </row>
    <row r="84" spans="1:6" x14ac:dyDescent="0.25">
      <c r="A84" s="281"/>
      <c r="B84" s="281"/>
      <c r="C84" s="281"/>
      <c r="D84" s="281"/>
      <c r="E84" s="281"/>
      <c r="F84" s="281"/>
    </row>
    <row r="85" spans="1:6" x14ac:dyDescent="0.25">
      <c r="A85" s="281"/>
      <c r="B85" s="281"/>
      <c r="C85" s="281"/>
      <c r="D85" s="281"/>
      <c r="E85" s="281"/>
      <c r="F85" s="281"/>
    </row>
    <row r="86" spans="1:6" x14ac:dyDescent="0.25">
      <c r="A86" s="281"/>
      <c r="B86" s="281"/>
      <c r="C86" s="281"/>
      <c r="D86" s="281"/>
      <c r="E86" s="281"/>
      <c r="F86" s="281"/>
    </row>
    <row r="87" spans="1:6" x14ac:dyDescent="0.25">
      <c r="A87" s="281"/>
      <c r="B87" s="281"/>
      <c r="C87" s="281"/>
      <c r="D87" s="281"/>
      <c r="E87" s="281"/>
      <c r="F87" s="281"/>
    </row>
    <row r="88" spans="1:6" x14ac:dyDescent="0.25">
      <c r="A88" s="281"/>
      <c r="B88" s="281"/>
      <c r="C88" s="281"/>
      <c r="D88" s="281"/>
      <c r="E88" s="281"/>
      <c r="F88" s="281"/>
    </row>
    <row r="89" spans="1:6" x14ac:dyDescent="0.25">
      <c r="A89" s="281"/>
      <c r="B89" s="281"/>
      <c r="C89" s="281"/>
      <c r="D89" s="281"/>
      <c r="E89" s="281"/>
      <c r="F89" s="281"/>
    </row>
    <row r="90" spans="1:6" x14ac:dyDescent="0.25">
      <c r="A90" s="281"/>
      <c r="B90" s="281"/>
      <c r="C90" s="281"/>
      <c r="D90" s="281"/>
      <c r="E90" s="281"/>
      <c r="F90" s="281"/>
    </row>
    <row r="91" spans="1:6" x14ac:dyDescent="0.25">
      <c r="A91" s="281"/>
      <c r="B91" s="281"/>
      <c r="C91" s="281"/>
      <c r="D91" s="281"/>
      <c r="E91" s="281"/>
      <c r="F91" s="281"/>
    </row>
    <row r="92" spans="1:6" x14ac:dyDescent="0.25">
      <c r="A92" s="281"/>
      <c r="B92" s="281"/>
      <c r="C92" s="281"/>
      <c r="D92" s="281"/>
      <c r="E92" s="281"/>
      <c r="F92" s="281"/>
    </row>
    <row r="93" spans="1:6" x14ac:dyDescent="0.25">
      <c r="A93" s="281"/>
      <c r="B93" s="281"/>
      <c r="C93" s="281"/>
      <c r="D93" s="281"/>
      <c r="E93" s="281"/>
      <c r="F93" s="281"/>
    </row>
  </sheetData>
  <sheetProtection sheet="1" objects="1" scenarios="1"/>
  <conditionalFormatting sqref="C51:C53">
    <cfRule type="containsText" dxfId="19" priority="1" operator="containsText" text="PASS">
      <formula>NOT(ISERROR(SEARCH("PASS",C51)))</formula>
    </cfRule>
    <cfRule type="containsText" dxfId="18" priority="2" operator="containsText" text="FAIL">
      <formula>NOT(ISERROR(SEARCH("FAIL",C51)))</formula>
    </cfRule>
  </conditionalFormatting>
  <dataValidations count="5">
    <dataValidation type="list" allowBlank="1" showInputMessage="1" showErrorMessage="1" errorTitle="Invalid Node Count" error="SOFS cluster supports 2 or 3 nodes only." sqref="C9" xr:uid="{5C6D4986-714E-4B08-9607-A5300045A97D}">
      <formula1>"2,3"</formula1>
    </dataValidation>
    <dataValidation type="list" allowBlank="1" showInputMessage="1" showErrorMessage="1" errorTitle="Invalid Drive Count" error="Minimum 4 drives per node. Maximum 8." sqref="C10" xr:uid="{CDCA95A2-80E6-47AD-AE1E-E51068F28261}">
      <formula1>"4,5,6,7,8"</formula1>
    </dataValidation>
    <dataValidation type="list" allowBlank="1" showInputMessage="1" showErrorMessage="1" errorTitle="Invalid Container Type" error="Single = 1 VHD per user. Split = 3 VHDs per user." sqref="C15" xr:uid="{5FA9E372-0B58-43EB-A6C4-7431EAC0DF55}">
      <formula1>"Single,Split"</formula1>
    </dataValidation>
    <dataValidation type="list" allowBlank="1" showInputMessage="1" showErrorMessage="1" errorTitle="Invalid Resiliency" error="Choose Two-Way Mirror or Three-Way Mirror for SOFS VM volumes on main cluster." sqref="C16" xr:uid="{74EE4F6B-714A-4C30-ADAA-D4C8FBC75EC3}">
      <formula1>"Two-Way Mirror,Three-Way Mirror"</formula1>
    </dataValidation>
    <dataValidation type="list" allowBlank="1" showInputMessage="1" showErrorMessage="1" sqref="C6" xr:uid="{EC31F1BB-7C2E-4EE2-A20F-936606E1DE74}">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C27B0"/>
  </sheetPr>
  <dimension ref="B2:I29"/>
  <sheetViews>
    <sheetView zoomScaleNormal="100" workbookViewId="0">
      <selection activeCell="C19" sqref="C19"/>
    </sheetView>
  </sheetViews>
  <sheetFormatPr defaultColWidth="8.7109375" defaultRowHeight="15" x14ac:dyDescent="0.25"/>
  <cols>
    <col min="1" max="1" width="2.85546875" customWidth="1"/>
    <col min="2" max="2" width="54.7109375" customWidth="1"/>
    <col min="3" max="3" width="22.85546875" customWidth="1"/>
    <col min="4" max="5" width="17.140625" customWidth="1"/>
    <col min="6" max="6" width="19" customWidth="1"/>
    <col min="7" max="7" width="11.42578125" customWidth="1"/>
    <col min="8" max="8" width="13.28515625" customWidth="1"/>
    <col min="9" max="9" width="19" customWidth="1"/>
  </cols>
  <sheetData>
    <row r="2" spans="2:9" ht="18" x14ac:dyDescent="0.25">
      <c r="B2" s="40" t="s">
        <v>405</v>
      </c>
      <c r="C2" s="115"/>
      <c r="D2" s="115"/>
      <c r="E2" s="115"/>
      <c r="F2" s="115"/>
      <c r="G2" s="115"/>
      <c r="H2" s="115"/>
      <c r="I2" s="115"/>
    </row>
    <row r="3" spans="2:9" x14ac:dyDescent="0.25">
      <c r="B3" s="314" t="s">
        <v>406</v>
      </c>
      <c r="C3" s="117"/>
      <c r="D3" s="117"/>
      <c r="E3" s="117"/>
      <c r="F3" s="117"/>
      <c r="G3" s="117"/>
      <c r="H3" s="117"/>
      <c r="I3" s="117"/>
    </row>
    <row r="5" spans="2:9" s="1" customFormat="1" ht="35.1" customHeight="1" x14ac:dyDescent="0.25">
      <c r="B5" s="315" t="s">
        <v>407</v>
      </c>
      <c r="C5" s="315" t="s">
        <v>272</v>
      </c>
      <c r="D5" s="315" t="s">
        <v>408</v>
      </c>
      <c r="E5" s="315" t="s">
        <v>409</v>
      </c>
      <c r="F5" s="315" t="s">
        <v>410</v>
      </c>
      <c r="G5" s="315" t="s">
        <v>273</v>
      </c>
      <c r="H5" s="315" t="s">
        <v>105</v>
      </c>
      <c r="I5" s="315" t="s">
        <v>402</v>
      </c>
    </row>
    <row r="6" spans="2:9" x14ac:dyDescent="0.25">
      <c r="B6" s="316" t="s">
        <v>411</v>
      </c>
      <c r="C6" s="317" t="str">
        <f>'Workload Planner'!C13</f>
        <v>Two-Way Mirror</v>
      </c>
      <c r="D6" s="318">
        <f>'Workload Planner'!C14</f>
        <v>0</v>
      </c>
      <c r="E6" s="319">
        <f t="shared" ref="E6:E12" si="0">IF(D6=0,0,ROUND(D6*(1000/1024)^3,2))</f>
        <v>0</v>
      </c>
      <c r="F6" s="320">
        <f>'Workload Planner'!C15</f>
        <v>0</v>
      </c>
      <c r="G6" s="317" t="str">
        <f t="shared" ref="G6:G12" si="1">IF(C6="Two-Way Mirror","2x",IF(C6="Three-Way Mirror","3x","parity"))</f>
        <v>2x</v>
      </c>
      <c r="H6" s="321">
        <f>IF(C6="Three-Way Mirror",1/3,IF(C6="Two-Way Mirror",0.5,IF(C6="Dual Parity",IF('Hardware Inputs'!C8&gt;=16,0.8,IF('Hardware Inputs'!C8&gt;=9,0.75,IF('Hardware Inputs'!C8&gt;=7,2/3,0.5))),IF(C6="Nested Two-Way Mirror",0.25,1/3))))</f>
        <v>0.5</v>
      </c>
      <c r="I6" s="322" t="str">
        <f t="shared" ref="I6:I12" si="2">IF(D6=0,"— Disabled",IF(D6&gt;64,"FAIL: &gt;64 TB","PASS"))</f>
        <v>— Disabled</v>
      </c>
    </row>
    <row r="7" spans="2:9" x14ac:dyDescent="0.25">
      <c r="B7" s="323" t="s">
        <v>412</v>
      </c>
      <c r="C7" s="317" t="str">
        <f>'Workload Planner'!C22</f>
        <v>Three-Way Mirror</v>
      </c>
      <c r="D7" s="318">
        <f>'Workload Planner'!C23</f>
        <v>0</v>
      </c>
      <c r="E7" s="319">
        <f t="shared" si="0"/>
        <v>0</v>
      </c>
      <c r="F7" s="320">
        <f>'Workload Planner'!C24</f>
        <v>0</v>
      </c>
      <c r="G7" s="317" t="str">
        <f t="shared" si="1"/>
        <v>3x</v>
      </c>
      <c r="H7" s="321">
        <f>IF(C7="Three-Way Mirror",1/3,IF(C7="Two-Way Mirror",0.5,IF(C7="Dual Parity",IF('Hardware Inputs'!C8&gt;=16,0.8,IF('Hardware Inputs'!C8&gt;=9,0.75,IF('Hardware Inputs'!C8&gt;=7,2/3,0.5))),IF(C7="Nested Two-Way Mirror",0.25,1/3))))</f>
        <v>0.33333333333333331</v>
      </c>
      <c r="I7" s="322" t="str">
        <f t="shared" si="2"/>
        <v>— Disabled</v>
      </c>
    </row>
    <row r="8" spans="2:9" x14ac:dyDescent="0.25">
      <c r="B8" s="316" t="s">
        <v>413</v>
      </c>
      <c r="C8" s="317" t="str">
        <f>'Workload Planner'!C53</f>
        <v>Three-Way Mirror</v>
      </c>
      <c r="D8" s="318">
        <f>'Workload Planner'!C54</f>
        <v>0</v>
      </c>
      <c r="E8" s="319">
        <f t="shared" si="0"/>
        <v>0</v>
      </c>
      <c r="F8" s="320">
        <f>'Workload Planner'!C55</f>
        <v>0</v>
      </c>
      <c r="G8" s="317" t="str">
        <f t="shared" si="1"/>
        <v>3x</v>
      </c>
      <c r="H8" s="321">
        <f>IF(C8="Three-Way Mirror",1/3,IF(C8="Two-Way Mirror",0.5,IF(C8="Dual Parity",IF('Hardware Inputs'!C8&gt;=16,0.8,IF('Hardware Inputs'!C8&gt;=9,0.75,IF('Hardware Inputs'!C8&gt;=7,2/3,0.5))),IF(C8="Nested Two-Way Mirror",0.25,1/3))))</f>
        <v>0.33333333333333331</v>
      </c>
      <c r="I8" s="322" t="str">
        <f t="shared" si="2"/>
        <v>— Disabled</v>
      </c>
    </row>
    <row r="9" spans="2:9" x14ac:dyDescent="0.25">
      <c r="B9" s="323" t="s">
        <v>414</v>
      </c>
      <c r="C9" s="317" t="str">
        <f>'Workload Planner'!C69</f>
        <v>Three-Way Mirror</v>
      </c>
      <c r="D9" s="318">
        <f>'Workload Planner'!C70</f>
        <v>0</v>
      </c>
      <c r="E9" s="319">
        <f t="shared" si="0"/>
        <v>0</v>
      </c>
      <c r="F9" s="320">
        <f>'Workload Planner'!C71</f>
        <v>0</v>
      </c>
      <c r="G9" s="317" t="str">
        <f t="shared" si="1"/>
        <v>3x</v>
      </c>
      <c r="H9" s="321">
        <f>IF(C9="Three-Way Mirror",1/3,IF(C9="Two-Way Mirror",0.5,IF(C9="Dual Parity",IF('Hardware Inputs'!C8&gt;=16,0.8,IF('Hardware Inputs'!C8&gt;=9,0.75,IF('Hardware Inputs'!C8&gt;=7,2/3,0.5))),IF(C9="Nested Two-Way Mirror",0.25,1/3))))</f>
        <v>0.33333333333333331</v>
      </c>
      <c r="I9" s="322" t="str">
        <f t="shared" si="2"/>
        <v>— Disabled</v>
      </c>
    </row>
    <row r="10" spans="2:9" x14ac:dyDescent="0.25">
      <c r="B10" s="316" t="s">
        <v>415</v>
      </c>
      <c r="C10" s="317" t="str">
        <f>'Workload Planner'!C86</f>
        <v>Two-Way Mirror</v>
      </c>
      <c r="D10" s="318">
        <f>'Workload Planner'!C87</f>
        <v>0</v>
      </c>
      <c r="E10" s="319">
        <f t="shared" si="0"/>
        <v>0</v>
      </c>
      <c r="F10" s="320">
        <f>'Workload Planner'!C88</f>
        <v>0</v>
      </c>
      <c r="G10" s="317" t="str">
        <f t="shared" si="1"/>
        <v>2x</v>
      </c>
      <c r="H10" s="321">
        <f>IF(C10="Three-Way Mirror",1/3,IF(C10="Two-Way Mirror",0.5,IF(C10="Dual Parity",IF('Hardware Inputs'!C8&gt;=16,0.8,IF('Hardware Inputs'!C8&gt;=9,0.75,IF('Hardware Inputs'!C8&gt;=7,2/3,0.5))),IF(C10="Nested Two-Way Mirror",0.25,1/3))))</f>
        <v>0.5</v>
      </c>
      <c r="I10" s="322" t="str">
        <f t="shared" si="2"/>
        <v>— Disabled</v>
      </c>
    </row>
    <row r="11" spans="2:9" x14ac:dyDescent="0.25">
      <c r="B11" s="323" t="s">
        <v>416</v>
      </c>
      <c r="C11" s="317" t="str">
        <f>'Workload Planner'!C101</f>
        <v>Dual Parity</v>
      </c>
      <c r="D11" s="318">
        <f>'Workload Planner'!C102</f>
        <v>0</v>
      </c>
      <c r="E11" s="319">
        <f t="shared" si="0"/>
        <v>0</v>
      </c>
      <c r="F11" s="320">
        <f>'Workload Planner'!C103</f>
        <v>0</v>
      </c>
      <c r="G11" s="317" t="str">
        <f t="shared" si="1"/>
        <v>parity</v>
      </c>
      <c r="H11" s="321">
        <f>IF(C11="Three-Way Mirror",1/3,IF(C11="Two-Way Mirror",0.5,IF(C11="Dual Parity",IF('Hardware Inputs'!C8&gt;=16,0.8,IF('Hardware Inputs'!C8&gt;=9,0.75,IF('Hardware Inputs'!C8&gt;=7,2/3,0.5))),IF(C11="Nested Two-Way Mirror",0.25,1/3))))</f>
        <v>0.5</v>
      </c>
      <c r="I11" s="322" t="str">
        <f t="shared" si="2"/>
        <v>— Disabled</v>
      </c>
    </row>
    <row r="12" spans="2:9" x14ac:dyDescent="0.25">
      <c r="B12" s="316" t="s">
        <v>274</v>
      </c>
      <c r="C12" s="317" t="str">
        <f>'Workload Planner'!C108</f>
        <v>Three-Way Mirror</v>
      </c>
      <c r="D12" s="318">
        <f>'Workload Planner'!C109</f>
        <v>0</v>
      </c>
      <c r="E12" s="319">
        <f t="shared" si="0"/>
        <v>0</v>
      </c>
      <c r="F12" s="320">
        <f>'Workload Planner'!C110</f>
        <v>0</v>
      </c>
      <c r="G12" s="317" t="str">
        <f t="shared" si="1"/>
        <v>3x</v>
      </c>
      <c r="H12" s="321">
        <f>IF(C12="Three-Way Mirror",1/3,IF(C12="Two-Way Mirror",0.5,IF(C12="Dual Parity",IF('Hardware Inputs'!C8&gt;=16,0.8,IF('Hardware Inputs'!C8&gt;=9,0.75,IF('Hardware Inputs'!C8&gt;=7,2/3,0.5))),IF(C12="Nested Two-Way Mirror",0.25,1/3))))</f>
        <v>0.33333333333333331</v>
      </c>
      <c r="I12" s="322" t="str">
        <f t="shared" si="2"/>
        <v>— Disabled</v>
      </c>
    </row>
    <row r="13" spans="2:9" x14ac:dyDescent="0.25">
      <c r="B13" s="324" t="str">
        <f>IF('SOFS Planner'!$C$6="No","","SOFS-Node1-Vol")</f>
        <v/>
      </c>
      <c r="C13" s="325" t="str">
        <f>'SOFS Planner'!C16</f>
        <v>Two-Way Mirror</v>
      </c>
      <c r="D13" s="326">
        <f>IF('SOFS Planner'!$C$6="No",0,IF('SOFS Planner'!C9&gt;=1,ROUND('SOFS Planner'!C30/'SOFS Planner'!C9,2),0))</f>
        <v>0</v>
      </c>
      <c r="E13" s="327">
        <f>IF(D13=0,0,ROUND(D13*(1000/1024)^3,2))</f>
        <v>0</v>
      </c>
      <c r="F13" s="327">
        <f>IF(D13=0,0,ROUND(D13/IF(C13="Three-Way Mirror",1/3,IF(C13="Two-Way Mirror",0.5,IF(C13="Dual Parity",IF('Hardware Inputs'!C8&gt;=16,0.8,IF('Hardware Inputs'!C8&gt;=9,0.75,IF('Hardware Inputs'!C8&gt;=7,2/3,0.5))),IF(C13="Nested Two-Way Mirror",0.25,1/3)))),2))</f>
        <v>0</v>
      </c>
      <c r="G13" s="325" t="str">
        <f>IF(D13=0,"",IF(C13="Two-Way Mirror","2x",IF(C13="Three-Way Mirror","3x","parity")))</f>
        <v/>
      </c>
      <c r="H13" s="321"/>
      <c r="I13" s="322" t="str">
        <f>IF(D13=0,"— Disabled",IF(D13&gt;64,"FAIL: &gt;64 TB","PASS"))</f>
        <v>— Disabled</v>
      </c>
    </row>
    <row r="14" spans="2:9" x14ac:dyDescent="0.25">
      <c r="B14" s="324" t="str">
        <f>IF('SOFS Planner'!$C$6="No","",IF('SOFS Planner'!C9&gt;=2,"SOFS-Node2-Vol",""))</f>
        <v/>
      </c>
      <c r="C14" s="325" t="str">
        <f>IF(B14&lt;&gt;"",C13,"")</f>
        <v/>
      </c>
      <c r="D14" s="326">
        <f>IF(B14&lt;&gt;"",D13,0)</f>
        <v>0</v>
      </c>
      <c r="E14" s="327">
        <f>IF(D14=0,0,ROUND(D14*(1000/1024)^3,2))</f>
        <v>0</v>
      </c>
      <c r="F14" s="327">
        <f>IF(D14=0,0,F13)</f>
        <v>0</v>
      </c>
      <c r="G14" s="325" t="str">
        <f>IF(D14=0,"",G13)</f>
        <v/>
      </c>
      <c r="H14" s="321"/>
      <c r="I14" s="322" t="str">
        <f>IF(D14=0,"— Disabled",IF(D14&gt;64,"FAIL: &gt;64 TB","PASS"))</f>
        <v>— Disabled</v>
      </c>
    </row>
    <row r="15" spans="2:9" x14ac:dyDescent="0.25">
      <c r="B15" s="324" t="str">
        <f>IF('SOFS Planner'!$C$6="No","",IF('SOFS Planner'!C9&gt;=3,"SOFS-Node3-Vol",""))</f>
        <v/>
      </c>
      <c r="C15" s="325" t="str">
        <f>IF(B15&lt;&gt;"",C13,"")</f>
        <v/>
      </c>
      <c r="D15" s="326">
        <f>IF(B15&lt;&gt;"",D13,0)</f>
        <v>0</v>
      </c>
      <c r="E15" s="327">
        <f>IF(D15=0,0,ROUND(D15*(1000/1024)^3,2))</f>
        <v>0</v>
      </c>
      <c r="F15" s="327">
        <f>IF(D15=0,0,F13)</f>
        <v>0</v>
      </c>
      <c r="G15" s="325" t="str">
        <f>IF(D15=0,"",G13)</f>
        <v/>
      </c>
      <c r="H15" s="321"/>
      <c r="I15" s="322" t="str">
        <f>IF(D15=0,"— Disabled",IF(D15&gt;64,"FAIL: &gt;64 TB","PASS"))</f>
        <v>— Disabled</v>
      </c>
    </row>
    <row r="16" spans="2:9" x14ac:dyDescent="0.25">
      <c r="B16" s="324" t="str">
        <f>IF('SOFS Planner'!$C$6="No","",IF('SOFS Planner'!C9&gt;=4,"SOFS-Node4-Vol",""))</f>
        <v/>
      </c>
      <c r="C16" s="325" t="str">
        <f>IF(B16&lt;&gt;"",C13,"")</f>
        <v/>
      </c>
      <c r="D16" s="326">
        <f>IF(B16&lt;&gt;"",D13,0)</f>
        <v>0</v>
      </c>
      <c r="E16" s="327">
        <f>IF(D16=0,0,ROUND(D16*(1000/1024)^3,2))</f>
        <v>0</v>
      </c>
      <c r="F16" s="327">
        <f>IF(D16=0,0,F13)</f>
        <v>0</v>
      </c>
      <c r="G16" s="325" t="str">
        <f>IF(D16=0,"",G13)</f>
        <v/>
      </c>
      <c r="H16" s="321"/>
      <c r="I16" s="322" t="str">
        <f>IF(D16=0,"— Disabled",IF(D16&gt;64,"FAIL: &gt;64 TB","PASS"))</f>
        <v>— Disabled</v>
      </c>
    </row>
    <row r="17" spans="2:9" x14ac:dyDescent="0.25">
      <c r="B17" s="316"/>
      <c r="C17" s="317"/>
      <c r="D17" s="318"/>
      <c r="E17" s="319"/>
      <c r="F17" s="320"/>
      <c r="G17" s="317"/>
      <c r="H17" s="321"/>
      <c r="I17" s="322"/>
    </row>
    <row r="18" spans="2:9" x14ac:dyDescent="0.25">
      <c r="B18" s="316"/>
      <c r="C18" s="317"/>
      <c r="D18" s="318"/>
      <c r="E18" s="319"/>
      <c r="F18" s="320"/>
      <c r="G18" s="317"/>
      <c r="H18" s="321"/>
      <c r="I18" s="322"/>
    </row>
    <row r="19" spans="2:9" x14ac:dyDescent="0.25">
      <c r="B19" s="316"/>
      <c r="C19" s="317"/>
      <c r="D19" s="318"/>
      <c r="E19" s="319"/>
      <c r="F19" s="320"/>
      <c r="G19" s="317"/>
      <c r="H19" s="321"/>
      <c r="I19" s="322"/>
    </row>
    <row r="20" spans="2:9" x14ac:dyDescent="0.25">
      <c r="B20" s="316"/>
      <c r="C20" s="317"/>
      <c r="D20" s="318"/>
      <c r="E20" s="319"/>
      <c r="F20" s="320"/>
      <c r="G20" s="317"/>
      <c r="H20" s="321"/>
      <c r="I20" s="322"/>
    </row>
    <row r="21" spans="2:9" x14ac:dyDescent="0.25">
      <c r="B21" s="316"/>
      <c r="C21" s="317"/>
      <c r="D21" s="318"/>
      <c r="E21" s="319"/>
      <c r="F21" s="320"/>
      <c r="G21" s="317"/>
      <c r="H21" s="321"/>
      <c r="I21" s="322"/>
    </row>
    <row r="22" spans="2:9" x14ac:dyDescent="0.25">
      <c r="B22" s="194"/>
      <c r="C22" s="194"/>
      <c r="D22" s="194"/>
      <c r="E22" s="194"/>
      <c r="F22" s="194"/>
      <c r="G22" s="194"/>
      <c r="H22" s="194"/>
      <c r="I22" s="194"/>
    </row>
    <row r="23" spans="2:9" ht="30" customHeight="1" x14ac:dyDescent="0.25">
      <c r="B23" s="328" t="s">
        <v>275</v>
      </c>
      <c r="C23" s="196"/>
      <c r="D23" s="329">
        <f>SUM(D6:D16)</f>
        <v>0</v>
      </c>
      <c r="E23" s="329">
        <f>SUM(E6:E16)</f>
        <v>0</v>
      </c>
      <c r="F23" s="329">
        <f>SUM(F6:F16)</f>
        <v>0</v>
      </c>
      <c r="G23" s="196"/>
      <c r="H23" s="196"/>
      <c r="I23" s="330" t="str">
        <f>COUNTIF(I6:I16,"PASS")&amp;" of "&amp;COUNTIF(I6:I16,"&lt;&gt;"&amp;"— Disabled")&amp;" PASS"</f>
        <v>0 of 0 PASS</v>
      </c>
    </row>
    <row r="25" spans="2:9" x14ac:dyDescent="0.25">
      <c r="B25" s="331" t="s">
        <v>276</v>
      </c>
      <c r="C25" s="117"/>
      <c r="D25" s="117"/>
      <c r="E25" s="117"/>
      <c r="F25" s="117"/>
      <c r="G25" s="117"/>
      <c r="H25" s="117"/>
      <c r="I25" s="117"/>
    </row>
    <row r="26" spans="2:9" ht="15.75" x14ac:dyDescent="0.25">
      <c r="B26" s="511" t="str">
        <f>IF('Workload Planner'!C128&lt;0,"FAIL: Exceeds pool by "&amp;TEXT(ABS('Workload Planner'!C128),"0.00")&amp;" TB. Remove workloads or add drives.",IF('Workload Planner'!C129&gt;0.7,"WARNING: "&amp;TEXT('Workload Planner'!C129,"0.0%")&amp;" utilized. Above 70% = limited rebuild headroom.","PASS: "&amp;TEXT('Workload Planner'!C129,"0.0%")&amp;" utilized. Healthy headroom for drive failure repair."))</f>
        <v>PASS: 0.0% utilized. Healthy headroom for drive failure repair.</v>
      </c>
      <c r="C26" s="511"/>
      <c r="D26" s="511"/>
      <c r="E26" s="511"/>
      <c r="F26" s="511"/>
      <c r="G26" s="511"/>
      <c r="H26" s="511"/>
      <c r="I26" s="511"/>
    </row>
    <row r="28" spans="2:9" x14ac:dyDescent="0.25">
      <c r="B28" s="501" t="s">
        <v>417</v>
      </c>
      <c r="C28" s="501"/>
      <c r="D28" s="501"/>
      <c r="E28" s="501"/>
      <c r="F28" s="501"/>
      <c r="G28" s="501"/>
      <c r="H28" s="501"/>
      <c r="I28" s="501"/>
    </row>
    <row r="29" spans="2:9" x14ac:dyDescent="0.25">
      <c r="B29" s="501" t="str">
        <f>"Microsoft recommends volume count as a multiple of your node count ("&amp;'Hardware Inputs'!C8&amp;") for balanced data distribution. Consider splitting large Infrastructure or Dev/Test volumes across "&amp;'Hardware Inputs'!C8&amp;" equal volumes where practical. AVD profiles and AKS PVs typically require a single volume."</f>
        <v>Microsoft recommends volume count as a multiple of your node count (3) for balanced data distribution. Consider splitting large Infrastructure or Dev/Test volumes across 3 equal volumes where practical. AVD profiles and AKS PVs typically require a single volume.</v>
      </c>
      <c r="C29" s="501"/>
      <c r="D29" s="501"/>
      <c r="E29" s="501"/>
      <c r="F29" s="501"/>
      <c r="G29" s="501"/>
      <c r="H29" s="501"/>
      <c r="I29" s="501"/>
    </row>
  </sheetData>
  <sheetProtection sheet="1" objects="1" scenarios="1"/>
  <mergeCells count="3">
    <mergeCell ref="B29:I29"/>
    <mergeCell ref="B26:I26"/>
    <mergeCell ref="B28:I2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800"/>
  </sheetPr>
  <dimension ref="B2:E42"/>
  <sheetViews>
    <sheetView zoomScaleNormal="100" workbookViewId="0"/>
  </sheetViews>
  <sheetFormatPr defaultColWidth="8.7109375" defaultRowHeight="15" x14ac:dyDescent="0.25"/>
  <cols>
    <col min="1" max="1" width="3" customWidth="1"/>
    <col min="2" max="2" width="48" customWidth="1"/>
    <col min="3" max="3" width="22.42578125" bestFit="1" customWidth="1"/>
    <col min="4" max="4" width="14" customWidth="1"/>
    <col min="5" max="5" width="60" customWidth="1"/>
  </cols>
  <sheetData>
    <row r="2" spans="2:5" ht="18" x14ac:dyDescent="0.25">
      <c r="B2" s="507" t="s">
        <v>171</v>
      </c>
      <c r="C2" s="507"/>
      <c r="D2" s="507"/>
      <c r="E2" s="507"/>
    </row>
    <row r="4" spans="2:5" x14ac:dyDescent="0.25">
      <c r="B4" s="503" t="s">
        <v>172</v>
      </c>
      <c r="C4" s="503"/>
      <c r="D4" s="503"/>
      <c r="E4" s="503"/>
    </row>
    <row r="5" spans="2:5" x14ac:dyDescent="0.25">
      <c r="B5" s="44" t="s">
        <v>173</v>
      </c>
      <c r="C5" s="46">
        <f>'Hardware Inputs'!C8</f>
        <v>3</v>
      </c>
      <c r="D5" s="47" t="s">
        <v>174</v>
      </c>
      <c r="E5" s="43"/>
    </row>
    <row r="6" spans="2:5" x14ac:dyDescent="0.25">
      <c r="B6" s="44" t="s">
        <v>175</v>
      </c>
      <c r="C6" s="95" t="str">
        <f>'Hardware Inputs'!C9</f>
        <v>All-NVMe (No Cache)</v>
      </c>
      <c r="D6" s="47"/>
      <c r="E6" s="43"/>
    </row>
    <row r="7" spans="2:5" x14ac:dyDescent="0.25">
      <c r="B7" s="44" t="s">
        <v>176</v>
      </c>
      <c r="C7" s="46">
        <f>'Hardware Inputs'!C16</f>
        <v>12</v>
      </c>
      <c r="D7" s="47" t="s">
        <v>82</v>
      </c>
      <c r="E7" s="43"/>
    </row>
    <row r="8" spans="2:5" x14ac:dyDescent="0.25">
      <c r="B8" s="44" t="s">
        <v>177</v>
      </c>
      <c r="C8" s="48">
        <f>'Hardware Inputs'!C11</f>
        <v>3.84</v>
      </c>
      <c r="D8" s="47" t="s">
        <v>178</v>
      </c>
      <c r="E8" s="43"/>
    </row>
    <row r="9" spans="2:5" x14ac:dyDescent="0.25">
      <c r="B9" s="44" t="s">
        <v>179</v>
      </c>
      <c r="C9" s="48">
        <f>'Hardware Inputs'!C18</f>
        <v>46.08</v>
      </c>
      <c r="D9" s="47" t="s">
        <v>87</v>
      </c>
      <c r="E9" s="43"/>
    </row>
    <row r="10" spans="2:5" x14ac:dyDescent="0.25">
      <c r="B10" s="44" t="s">
        <v>180</v>
      </c>
      <c r="C10" s="48">
        <f>'Hardware Inputs'!C20</f>
        <v>42.393599999999999</v>
      </c>
      <c r="D10" s="47" t="s">
        <v>87</v>
      </c>
      <c r="E10" s="43"/>
    </row>
    <row r="11" spans="2:5" x14ac:dyDescent="0.25">
      <c r="B11" s="44" t="s">
        <v>181</v>
      </c>
      <c r="C11" s="48">
        <f>'Hardware Inputs'!C21</f>
        <v>10.5984</v>
      </c>
      <c r="D11" s="47" t="s">
        <v>87</v>
      </c>
      <c r="E11" s="43"/>
    </row>
    <row r="12" spans="2:5" x14ac:dyDescent="0.25">
      <c r="B12" s="44" t="s">
        <v>182</v>
      </c>
      <c r="C12" s="48">
        <f>'Hardware Inputs'!C22</f>
        <v>0.75</v>
      </c>
      <c r="D12" s="47" t="s">
        <v>87</v>
      </c>
      <c r="E12" s="43"/>
    </row>
    <row r="13" spans="2:5" ht="15.75" x14ac:dyDescent="0.25">
      <c r="B13" s="53" t="s">
        <v>183</v>
      </c>
      <c r="C13" s="332">
        <f>'Hardware Inputs'!C24</f>
        <v>31.045200000000001</v>
      </c>
      <c r="D13" s="47" t="s">
        <v>87</v>
      </c>
      <c r="E13" s="43"/>
    </row>
    <row r="14" spans="2:5" x14ac:dyDescent="0.25">
      <c r="B14" s="44" t="s">
        <v>184</v>
      </c>
      <c r="C14" s="48">
        <f>'Hardware Inputs'!C26</f>
        <v>30.32</v>
      </c>
      <c r="D14" s="47" t="s">
        <v>185</v>
      </c>
      <c r="E14" s="43"/>
    </row>
    <row r="15" spans="2:5" x14ac:dyDescent="0.25">
      <c r="B15" s="44" t="s">
        <v>186</v>
      </c>
      <c r="C15" s="48">
        <f>'Workload Planner'!C124</f>
        <v>0</v>
      </c>
      <c r="D15" s="47" t="s">
        <v>87</v>
      </c>
      <c r="E15" s="43"/>
    </row>
    <row r="16" spans="2:5" x14ac:dyDescent="0.25">
      <c r="B16" s="44" t="s">
        <v>187</v>
      </c>
      <c r="C16" s="48">
        <f>'Workload Planner'!C125</f>
        <v>0</v>
      </c>
      <c r="D16" s="47" t="s">
        <v>87</v>
      </c>
      <c r="E16" s="43"/>
    </row>
    <row r="17" spans="2:5" ht="15.75" x14ac:dyDescent="0.25">
      <c r="B17" s="53" t="s">
        <v>188</v>
      </c>
      <c r="C17" s="332">
        <f>'Workload Planner'!C128</f>
        <v>31.045200000000001</v>
      </c>
      <c r="D17" s="47" t="s">
        <v>87</v>
      </c>
      <c r="E17" s="43"/>
    </row>
    <row r="18" spans="2:5" x14ac:dyDescent="0.25">
      <c r="B18" s="44" t="s">
        <v>143</v>
      </c>
      <c r="C18" s="333">
        <f>'Workload Planner'!C129</f>
        <v>0</v>
      </c>
      <c r="D18" s="47"/>
      <c r="E18" s="43"/>
    </row>
    <row r="20" spans="2:5" x14ac:dyDescent="0.25">
      <c r="B20" s="503" t="s">
        <v>189</v>
      </c>
      <c r="C20" s="503"/>
      <c r="D20" s="503"/>
      <c r="E20" s="503"/>
    </row>
    <row r="21" spans="2:5" ht="27.75" customHeight="1" x14ac:dyDescent="0.25">
      <c r="B21" s="112" t="s">
        <v>179</v>
      </c>
      <c r="C21" s="502" t="s">
        <v>190</v>
      </c>
      <c r="D21" s="502"/>
      <c r="E21" s="502"/>
    </row>
    <row r="22" spans="2:5" ht="27.75" customHeight="1" x14ac:dyDescent="0.25">
      <c r="B22" s="112" t="s">
        <v>191</v>
      </c>
      <c r="C22" s="502" t="s">
        <v>192</v>
      </c>
      <c r="D22" s="502"/>
      <c r="E22" s="502"/>
    </row>
    <row r="23" spans="2:5" ht="27.75" customHeight="1" x14ac:dyDescent="0.25">
      <c r="B23" s="112" t="s">
        <v>193</v>
      </c>
      <c r="C23" s="502" t="s">
        <v>194</v>
      </c>
      <c r="D23" s="502"/>
      <c r="E23" s="502"/>
    </row>
    <row r="24" spans="2:5" ht="27.75" customHeight="1" x14ac:dyDescent="0.25">
      <c r="B24" s="112" t="s">
        <v>195</v>
      </c>
      <c r="C24" s="502" t="s">
        <v>196</v>
      </c>
      <c r="D24" s="502"/>
      <c r="E24" s="502"/>
    </row>
    <row r="25" spans="2:5" ht="27.75" customHeight="1" x14ac:dyDescent="0.25">
      <c r="B25" s="112" t="s">
        <v>182</v>
      </c>
      <c r="C25" s="502" t="s">
        <v>197</v>
      </c>
      <c r="D25" s="502"/>
      <c r="E25" s="502"/>
    </row>
    <row r="26" spans="2:5" ht="27.75" customHeight="1" x14ac:dyDescent="0.25">
      <c r="B26" s="112" t="s">
        <v>198</v>
      </c>
      <c r="C26" s="502" t="s">
        <v>199</v>
      </c>
      <c r="D26" s="502"/>
      <c r="E26" s="502"/>
    </row>
    <row r="27" spans="2:5" ht="27.75" customHeight="1" x14ac:dyDescent="0.25">
      <c r="B27" s="112" t="s">
        <v>200</v>
      </c>
      <c r="C27" s="502" t="s">
        <v>201</v>
      </c>
      <c r="D27" s="502"/>
      <c r="E27" s="502"/>
    </row>
    <row r="28" spans="2:5" ht="27.75" customHeight="1" x14ac:dyDescent="0.25">
      <c r="B28" s="112" t="s">
        <v>202</v>
      </c>
      <c r="C28" s="502" t="s">
        <v>203</v>
      </c>
      <c r="D28" s="502"/>
      <c r="E28" s="502"/>
    </row>
    <row r="29" spans="2:5" ht="27.75" customHeight="1" x14ac:dyDescent="0.25">
      <c r="B29" s="112" t="s">
        <v>105</v>
      </c>
      <c r="C29" s="502" t="s">
        <v>204</v>
      </c>
      <c r="D29" s="502"/>
      <c r="E29" s="502"/>
    </row>
    <row r="30" spans="2:5" ht="27.75" customHeight="1" x14ac:dyDescent="0.25">
      <c r="B30" s="112" t="s">
        <v>205</v>
      </c>
      <c r="C30" s="502" t="s">
        <v>206</v>
      </c>
      <c r="D30" s="502"/>
      <c r="E30" s="502"/>
    </row>
    <row r="32" spans="2:5" x14ac:dyDescent="0.25">
      <c r="B32" s="503" t="s">
        <v>207</v>
      </c>
      <c r="C32" s="503"/>
      <c r="D32" s="503"/>
      <c r="E32" s="503"/>
    </row>
    <row r="33" spans="2:5" ht="27.75" customHeight="1" x14ac:dyDescent="0.25">
      <c r="B33" s="334" t="s">
        <v>208</v>
      </c>
      <c r="C33" s="502" t="s">
        <v>209</v>
      </c>
      <c r="D33" s="502"/>
      <c r="E33" s="502"/>
    </row>
    <row r="34" spans="2:5" ht="27.75" customHeight="1" x14ac:dyDescent="0.25">
      <c r="B34" s="334" t="s">
        <v>210</v>
      </c>
      <c r="C34" s="502" t="s">
        <v>211</v>
      </c>
      <c r="D34" s="502"/>
      <c r="E34" s="502"/>
    </row>
    <row r="35" spans="2:5" ht="27.75" customHeight="1" x14ac:dyDescent="0.25">
      <c r="B35" s="334" t="s">
        <v>212</v>
      </c>
      <c r="C35" s="502" t="s">
        <v>213</v>
      </c>
      <c r="D35" s="502"/>
      <c r="E35" s="502"/>
    </row>
    <row r="37" spans="2:5" x14ac:dyDescent="0.25">
      <c r="B37" s="503" t="s">
        <v>214</v>
      </c>
      <c r="C37" s="503"/>
      <c r="D37" s="503"/>
      <c r="E37" s="503"/>
    </row>
    <row r="38" spans="2:5" ht="24.75" customHeight="1" x14ac:dyDescent="0.25">
      <c r="B38" s="112" t="s">
        <v>215</v>
      </c>
      <c r="C38" s="502" t="s">
        <v>216</v>
      </c>
      <c r="D38" s="502"/>
      <c r="E38" s="502"/>
    </row>
    <row r="39" spans="2:5" ht="24.75" customHeight="1" x14ac:dyDescent="0.25">
      <c r="B39" s="112" t="s">
        <v>217</v>
      </c>
      <c r="C39" s="502" t="s">
        <v>218</v>
      </c>
      <c r="D39" s="502"/>
      <c r="E39" s="502"/>
    </row>
    <row r="40" spans="2:5" ht="24.75" customHeight="1" x14ac:dyDescent="0.25">
      <c r="B40" s="112" t="s">
        <v>219</v>
      </c>
      <c r="C40" s="502" t="s">
        <v>220</v>
      </c>
      <c r="D40" s="502"/>
      <c r="E40" s="502"/>
    </row>
    <row r="41" spans="2:5" ht="24.75" customHeight="1" x14ac:dyDescent="0.25">
      <c r="B41" s="112" t="s">
        <v>221</v>
      </c>
      <c r="C41" s="502" t="s">
        <v>222</v>
      </c>
      <c r="D41" s="502"/>
      <c r="E41" s="502"/>
    </row>
    <row r="42" spans="2:5" ht="24.75" customHeight="1" x14ac:dyDescent="0.25">
      <c r="B42" s="112" t="s">
        <v>223</v>
      </c>
      <c r="C42" s="502" t="s">
        <v>224</v>
      </c>
      <c r="D42" s="502"/>
      <c r="E42" s="502"/>
    </row>
  </sheetData>
  <sheetProtection sheet="1" objects="1" scenarios="1"/>
  <mergeCells count="23">
    <mergeCell ref="B2:E2"/>
    <mergeCell ref="B4:E4"/>
    <mergeCell ref="B20:E20"/>
    <mergeCell ref="C21:E21"/>
    <mergeCell ref="C22:E22"/>
    <mergeCell ref="C23:E23"/>
    <mergeCell ref="C24:E24"/>
    <mergeCell ref="C25:E25"/>
    <mergeCell ref="C26:E26"/>
    <mergeCell ref="C27:E27"/>
    <mergeCell ref="C28:E28"/>
    <mergeCell ref="C29:E29"/>
    <mergeCell ref="C30:E30"/>
    <mergeCell ref="B32:E32"/>
    <mergeCell ref="C33:E33"/>
    <mergeCell ref="C40:E40"/>
    <mergeCell ref="C41:E41"/>
    <mergeCell ref="C42:E42"/>
    <mergeCell ref="C34:E34"/>
    <mergeCell ref="C35:E35"/>
    <mergeCell ref="B37:E37"/>
    <mergeCell ref="C38:E38"/>
    <mergeCell ref="C39:E3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D1C0-E23D-4579-8038-B9C1638B8462}">
  <dimension ref="B2:G58"/>
  <sheetViews>
    <sheetView showGridLines="0" topLeftCell="A9" workbookViewId="0">
      <selection activeCell="B2" sqref="B2"/>
    </sheetView>
  </sheetViews>
  <sheetFormatPr defaultRowHeight="15" x14ac:dyDescent="0.25"/>
  <cols>
    <col min="1" max="1" width="2.85546875" customWidth="1"/>
    <col min="2" max="2" width="47.5703125" customWidth="1"/>
    <col min="3" max="3" width="19" customWidth="1"/>
    <col min="4" max="5" width="16.140625" customWidth="1"/>
    <col min="6" max="6" width="34.28515625" customWidth="1"/>
    <col min="7" max="7" width="16.140625" customWidth="1"/>
  </cols>
  <sheetData>
    <row r="2" spans="2:7" ht="18" x14ac:dyDescent="0.25">
      <c r="B2" s="114" t="s">
        <v>585</v>
      </c>
      <c r="C2" s="115"/>
      <c r="D2" s="115"/>
      <c r="E2" s="115"/>
      <c r="F2" s="115"/>
      <c r="G2" s="115"/>
    </row>
    <row r="3" spans="2:7" x14ac:dyDescent="0.25">
      <c r="B3" s="335" t="str">
        <f ca="1">"All values linked to Hardware Inputs and Workload Planner tabs. Last updated: "&amp;TEXT(NOW(),"mm/dd/yyyy hh:mm AM/PM")</f>
        <v>All values linked to Hardware Inputs and Workload Planner tabs. Last updated: 04/01/2026 09:30 AM</v>
      </c>
      <c r="C3" s="242"/>
      <c r="D3" s="242"/>
      <c r="E3" s="242"/>
      <c r="F3" s="242"/>
      <c r="G3" s="242"/>
    </row>
    <row r="4" spans="2:7" x14ac:dyDescent="0.25">
      <c r="B4" s="116" t="s">
        <v>586</v>
      </c>
      <c r="C4" s="117"/>
      <c r="D4" s="117"/>
      <c r="E4" s="117"/>
      <c r="F4" s="117"/>
      <c r="G4" s="117"/>
    </row>
    <row r="5" spans="2:7" x14ac:dyDescent="0.25">
      <c r="B5" s="59" t="s">
        <v>173</v>
      </c>
      <c r="C5" s="67">
        <f>'Hardware Inputs'!C8</f>
        <v>3</v>
      </c>
      <c r="D5" s="336" t="s">
        <v>174</v>
      </c>
    </row>
    <row r="6" spans="2:7" x14ac:dyDescent="0.25">
      <c r="B6" s="59" t="s">
        <v>472</v>
      </c>
      <c r="C6" s="67">
        <f>'Hardware Inputs'!C29</f>
        <v>32</v>
      </c>
      <c r="D6" s="336" t="s">
        <v>473</v>
      </c>
      <c r="F6" s="124" t="str">
        <f>IF('Hardware Inputs'!C30="Yes","Hyperthreading: ON","Hyperthreading: OFF")</f>
        <v>Hyperthreading: ON</v>
      </c>
    </row>
    <row r="7" spans="2:7" x14ac:dyDescent="0.25">
      <c r="B7" s="59" t="s">
        <v>483</v>
      </c>
      <c r="C7" s="67">
        <f>'Hardware Inputs'!C35</f>
        <v>64</v>
      </c>
      <c r="D7" s="336" t="s">
        <v>484</v>
      </c>
      <c r="F7" s="124" t="str">
        <f>"Physical cores × "&amp;IF('Hardware Inputs'!C30="Yes","2 (HT)","1 (no HT)")</f>
        <v>Physical cores × 2 (HT)</v>
      </c>
    </row>
    <row r="8" spans="2:7" x14ac:dyDescent="0.25">
      <c r="B8" s="59" t="s">
        <v>587</v>
      </c>
      <c r="C8" s="67">
        <f>'Hardware Inputs'!C31</f>
        <v>256</v>
      </c>
      <c r="D8" s="336" t="s">
        <v>563</v>
      </c>
      <c r="F8" s="124" t="str">
        <f>'Hardware Inputs'!C32&amp;" GB reserved for host OS / S2D"</f>
        <v>32 GB reserved for host OS / S2D</v>
      </c>
    </row>
    <row r="9" spans="2:7" x14ac:dyDescent="0.25">
      <c r="B9" s="59" t="s">
        <v>588</v>
      </c>
      <c r="C9" s="67">
        <f>'Hardware Inputs'!C36</f>
        <v>224</v>
      </c>
      <c r="D9" s="336" t="s">
        <v>126</v>
      </c>
      <c r="F9" s="124" t="s">
        <v>589</v>
      </c>
    </row>
    <row r="11" spans="2:7" ht="18" x14ac:dyDescent="0.25">
      <c r="B11" s="118" t="s">
        <v>590</v>
      </c>
      <c r="C11" s="337">
        <f>'Hardware Inputs'!C37</f>
        <v>192</v>
      </c>
      <c r="D11" s="338" t="s">
        <v>484</v>
      </c>
      <c r="F11" s="124" t="str">
        <f>C5&amp;" nodes × "&amp;C7&amp;" vCPU"</f>
        <v>3 nodes × 64 vCPU</v>
      </c>
    </row>
    <row r="12" spans="2:7" ht="18" x14ac:dyDescent="0.25">
      <c r="B12" s="118" t="s">
        <v>591</v>
      </c>
      <c r="C12" s="337">
        <f>'Hardware Inputs'!C38</f>
        <v>672</v>
      </c>
      <c r="D12" s="338" t="s">
        <v>126</v>
      </c>
      <c r="F12" s="124" t="str">
        <f>C5&amp;" nodes × "&amp;C9&amp;" GB"</f>
        <v>3 nodes × 224 GB</v>
      </c>
    </row>
    <row r="14" spans="2:7" ht="15.75" x14ac:dyDescent="0.25">
      <c r="B14" s="339" t="s">
        <v>491</v>
      </c>
      <c r="C14" s="340">
        <f>'Hardware Inputs'!C39</f>
        <v>128</v>
      </c>
      <c r="D14" s="341" t="s">
        <v>484</v>
      </c>
      <c r="F14" s="124" t="str">
        <f>"With 1 of "&amp;C5&amp;" nodes in maintenance or failed."</f>
        <v>With 1 of 3 nodes in maintenance or failed.</v>
      </c>
    </row>
    <row r="15" spans="2:7" ht="15.75" x14ac:dyDescent="0.25">
      <c r="B15" s="339" t="s">
        <v>492</v>
      </c>
      <c r="C15" s="340">
        <f>'Hardware Inputs'!C40</f>
        <v>448</v>
      </c>
      <c r="D15" s="341" t="s">
        <v>126</v>
      </c>
      <c r="F15" s="124" t="s">
        <v>592</v>
      </c>
    </row>
    <row r="17" spans="2:7" x14ac:dyDescent="0.25">
      <c r="B17" s="116" t="s">
        <v>593</v>
      </c>
      <c r="C17" s="117"/>
      <c r="D17" s="117"/>
      <c r="E17" s="117"/>
      <c r="F17" s="117"/>
      <c r="G17" s="117"/>
    </row>
    <row r="18" spans="2:7" x14ac:dyDescent="0.25">
      <c r="B18" s="342" t="s">
        <v>431</v>
      </c>
      <c r="C18" s="343" t="s">
        <v>402</v>
      </c>
      <c r="D18" s="343" t="s">
        <v>484</v>
      </c>
      <c r="E18" s="343" t="s">
        <v>571</v>
      </c>
      <c r="F18" s="343" t="s">
        <v>572</v>
      </c>
      <c r="G18" s="343" t="s">
        <v>647</v>
      </c>
    </row>
    <row r="19" spans="2:7" x14ac:dyDescent="0.25">
      <c r="B19" s="344" t="s">
        <v>622</v>
      </c>
      <c r="C19" s="345" t="str">
        <f>IF('Workload Planner'!C8="Yes","Enabled","— Disabled")</f>
        <v>— Disabled</v>
      </c>
      <c r="D19" s="345">
        <f>'Workload Planner'!C35</f>
        <v>0</v>
      </c>
      <c r="E19" s="345">
        <f>'Workload Planner'!C36</f>
        <v>0</v>
      </c>
      <c r="F19" s="345" t="str">
        <f>'Workload Planner'!C29</f>
        <v>4:1</v>
      </c>
      <c r="G19" s="345">
        <f>'Workload Planner'!C37</f>
        <v>0</v>
      </c>
    </row>
    <row r="20" spans="2:7" x14ac:dyDescent="0.25">
      <c r="B20" s="346" t="s">
        <v>434</v>
      </c>
      <c r="C20" s="347" t="str">
        <f>IF('Workload Planner'!C44="Yes","Enabled","— Disabled")</f>
        <v>— Disabled</v>
      </c>
      <c r="D20" s="347">
        <f>'Workload Planner'!C62</f>
        <v>0</v>
      </c>
      <c r="E20" s="347">
        <f>IF('Workload Planner'!C44="No",0,('Workload Planner'!C47*'Workload Planner'!C58)+('Workload Planner'!C48*'Workload Planner'!C60))</f>
        <v>0</v>
      </c>
      <c r="F20" s="347" t="str">
        <f>'Workload Planner'!C61</f>
        <v>4:1</v>
      </c>
      <c r="G20" s="347">
        <f>'Workload Planner'!C63</f>
        <v>0</v>
      </c>
    </row>
    <row r="21" spans="2:7" x14ac:dyDescent="0.25">
      <c r="B21" s="344" t="s">
        <v>435</v>
      </c>
      <c r="C21" s="345" t="str">
        <f>IF('Workload Planner'!C66="Yes","Enabled","— Disabled")</f>
        <v>— Disabled</v>
      </c>
      <c r="D21" s="345">
        <f>'Workload Planner'!C76</f>
        <v>0</v>
      </c>
      <c r="E21" s="345">
        <f>IF('Workload Planner'!C66="No",0,'Workload Planner'!C67*'Workload Planner'!C74)</f>
        <v>0</v>
      </c>
      <c r="F21" s="345" t="str">
        <f>'Workload Planner'!C75</f>
        <v>4:1</v>
      </c>
      <c r="G21" s="345">
        <f>'Workload Planner'!C77</f>
        <v>0</v>
      </c>
    </row>
    <row r="22" spans="2:7" x14ac:dyDescent="0.25">
      <c r="B22" s="348" t="s">
        <v>436</v>
      </c>
      <c r="C22" s="349" t="str">
        <f>IF('Workload Planner'!C83="Yes","Enabled","— Disabled")</f>
        <v>— Disabled</v>
      </c>
      <c r="D22" s="349">
        <f>'Workload Planner'!C93</f>
        <v>0</v>
      </c>
      <c r="E22" s="349">
        <f>IF('Workload Planner'!C83="No",0,'Workload Planner'!C84*'Workload Planner'!C91)</f>
        <v>0</v>
      </c>
      <c r="F22" s="349" t="str">
        <f>'Workload Planner'!C92</f>
        <v>4:1</v>
      </c>
      <c r="G22" s="349">
        <f>'Workload Planner'!C94</f>
        <v>0</v>
      </c>
    </row>
    <row r="23" spans="2:7" ht="15.75" thickBot="1" x14ac:dyDescent="0.3">
      <c r="B23" s="350" t="s">
        <v>895</v>
      </c>
      <c r="C23" s="351" t="s">
        <v>896</v>
      </c>
      <c r="D23" s="352">
        <f>'SOFS Planner'!C46</f>
        <v>0</v>
      </c>
      <c r="E23" s="352">
        <f>'SOFS Planner'!C47</f>
        <v>0</v>
      </c>
      <c r="F23" s="353">
        <v>4.2361111111111113E-2</v>
      </c>
      <c r="G23" s="352">
        <f>D23</f>
        <v>0</v>
      </c>
    </row>
    <row r="24" spans="2:7" x14ac:dyDescent="0.25">
      <c r="B24" s="354" t="s">
        <v>275</v>
      </c>
      <c r="C24" s="355"/>
      <c r="D24" s="356">
        <f>SUM(D19:D23)</f>
        <v>0</v>
      </c>
      <c r="E24" s="356">
        <f>SUM(E19:E23)</f>
        <v>0</v>
      </c>
      <c r="F24" s="355"/>
      <c r="G24" s="356">
        <f>SUM(G19:G23)</f>
        <v>0</v>
      </c>
    </row>
    <row r="26" spans="2:7" x14ac:dyDescent="0.25">
      <c r="B26" s="116" t="s">
        <v>594</v>
      </c>
      <c r="C26" s="117"/>
      <c r="D26" s="117"/>
      <c r="E26" s="117"/>
      <c r="F26" s="117"/>
      <c r="G26" s="117"/>
    </row>
    <row r="27" spans="2:7" ht="23.25" x14ac:dyDescent="0.35">
      <c r="B27" s="357" t="s">
        <v>545</v>
      </c>
      <c r="C27" s="358">
        <f>C11-G24</f>
        <v>192</v>
      </c>
      <c r="D27" s="118" t="s">
        <v>484</v>
      </c>
      <c r="F27" s="192" t="str">
        <f>IF(C27&lt;0,"OVER CAPACITY!",IF(G24/C11&gt;0.7,"Caution: Above 70% utilization.","Healthy."))</f>
        <v>Healthy.</v>
      </c>
    </row>
    <row r="28" spans="2:7" x14ac:dyDescent="0.25">
      <c r="B28" s="78" t="s">
        <v>595</v>
      </c>
      <c r="C28" s="359">
        <f>IF(C11=0,0,G24/C11)</f>
        <v>0</v>
      </c>
      <c r="D28" s="194"/>
      <c r="F28" s="124" t="str">
        <f>G24&amp;" of "&amp;C11&amp;" vCPU consumed (after overcommit)"</f>
        <v>0 of 192 vCPU consumed (after overcommit)</v>
      </c>
    </row>
    <row r="30" spans="2:7" ht="23.25" x14ac:dyDescent="0.35">
      <c r="B30" s="357" t="s">
        <v>546</v>
      </c>
      <c r="C30" s="358">
        <f>C12-E24</f>
        <v>672</v>
      </c>
      <c r="D30" s="118" t="s">
        <v>126</v>
      </c>
      <c r="F30" s="192" t="str">
        <f>IF(C30&lt;0,"OVER CAPACITY!",IF(E24/C12&gt;0.7,"Caution: Above 70% utilization.","Healthy."))</f>
        <v>Healthy.</v>
      </c>
    </row>
    <row r="31" spans="2:7" x14ac:dyDescent="0.25">
      <c r="B31" s="78" t="s">
        <v>596</v>
      </c>
      <c r="C31" s="359">
        <f>IF(C12=0,0,E24/C12)</f>
        <v>0</v>
      </c>
      <c r="D31" s="194"/>
      <c r="F31" s="124" t="str">
        <f>E24&amp;" of "&amp;C12&amp;" GB RAM consumed"</f>
        <v>0 of 672 GB RAM consumed</v>
      </c>
    </row>
    <row r="33" spans="2:7" x14ac:dyDescent="0.25">
      <c r="B33" s="360" t="s">
        <v>597</v>
      </c>
      <c r="C33" s="220"/>
      <c r="D33" s="220"/>
      <c r="E33" s="220"/>
      <c r="F33" s="220"/>
      <c r="G33" s="220"/>
    </row>
    <row r="34" spans="2:7" x14ac:dyDescent="0.25">
      <c r="B34" s="342" t="s">
        <v>577</v>
      </c>
      <c r="C34" s="343" t="s">
        <v>598</v>
      </c>
      <c r="D34" s="343" t="s">
        <v>599</v>
      </c>
      <c r="E34" s="343" t="s">
        <v>600</v>
      </c>
      <c r="F34" s="343" t="s">
        <v>402</v>
      </c>
      <c r="G34" s="343" t="s">
        <v>601</v>
      </c>
    </row>
    <row r="35" spans="2:7" x14ac:dyDescent="0.25">
      <c r="B35" s="344" t="s">
        <v>579</v>
      </c>
      <c r="C35" s="345">
        <f>G24</f>
        <v>0</v>
      </c>
      <c r="D35" s="345">
        <f>C11</f>
        <v>192</v>
      </c>
      <c r="E35" s="361">
        <f>IF(D35=0,0,C35/D35)</f>
        <v>0</v>
      </c>
      <c r="F35" s="362" t="str">
        <f>IF(C35&lt;=D35,"✓ PASS","✗ FAIL")</f>
        <v>✓ PASS</v>
      </c>
      <c r="G35" s="345">
        <f>D35-C35</f>
        <v>192</v>
      </c>
    </row>
    <row r="36" spans="2:7" x14ac:dyDescent="0.25">
      <c r="B36" s="346" t="s">
        <v>644</v>
      </c>
      <c r="C36" s="347">
        <f>E24</f>
        <v>0</v>
      </c>
      <c r="D36" s="347">
        <f>C12</f>
        <v>672</v>
      </c>
      <c r="E36" s="363">
        <f>IF(D36=0,0,C36/D36)</f>
        <v>0</v>
      </c>
      <c r="F36" s="364" t="str">
        <f>IF(C36&lt;=D36,"✓ PASS","✗ FAIL")</f>
        <v>✓ PASS</v>
      </c>
      <c r="G36" s="347">
        <f>D36-C36</f>
        <v>672</v>
      </c>
    </row>
    <row r="37" spans="2:7" x14ac:dyDescent="0.25">
      <c r="B37" s="225" t="s">
        <v>580</v>
      </c>
      <c r="C37" s="365">
        <f>G24</f>
        <v>0</v>
      </c>
      <c r="D37" s="365">
        <f>C14</f>
        <v>128</v>
      </c>
      <c r="E37" s="366">
        <f>IF(D37=0,0,C37/D37)</f>
        <v>0</v>
      </c>
      <c r="F37" s="367" t="str">
        <f>IF(C37&lt;=D37,"✓ PASS","⚠ WARNING")</f>
        <v>✓ PASS</v>
      </c>
      <c r="G37" s="365">
        <f>D37-C37</f>
        <v>128</v>
      </c>
    </row>
    <row r="38" spans="2:7" x14ac:dyDescent="0.25">
      <c r="B38" s="225" t="s">
        <v>646</v>
      </c>
      <c r="C38" s="365">
        <f>E24</f>
        <v>0</v>
      </c>
      <c r="D38" s="365">
        <f>C15</f>
        <v>448</v>
      </c>
      <c r="E38" s="366">
        <f>IF(D38=0,0,C38/D38)</f>
        <v>0</v>
      </c>
      <c r="F38" s="367" t="str">
        <f>IF(C38&lt;=D38,"✓ PASS","⚠ WARNING")</f>
        <v>✓ PASS</v>
      </c>
      <c r="G38" s="365">
        <f>D38-C38</f>
        <v>448</v>
      </c>
    </row>
    <row r="40" spans="2:7" x14ac:dyDescent="0.25">
      <c r="B40" s="116" t="s">
        <v>602</v>
      </c>
      <c r="C40" s="117"/>
      <c r="D40" s="117"/>
      <c r="E40" s="117"/>
      <c r="F40" s="117"/>
      <c r="G40" s="117"/>
    </row>
    <row r="41" spans="2:7" x14ac:dyDescent="0.25">
      <c r="B41" s="59" t="s">
        <v>603</v>
      </c>
      <c r="C41" s="67">
        <f>'Workload Planner'!C27</f>
        <v>8</v>
      </c>
      <c r="D41" s="336" t="s">
        <v>484</v>
      </c>
    </row>
    <row r="42" spans="2:7" x14ac:dyDescent="0.25">
      <c r="B42" s="59" t="s">
        <v>604</v>
      </c>
      <c r="C42" s="67">
        <f>'Workload Planner'!C28</f>
        <v>32</v>
      </c>
      <c r="D42" s="336" t="s">
        <v>126</v>
      </c>
    </row>
    <row r="43" spans="2:7" x14ac:dyDescent="0.25">
      <c r="B43" s="59" t="s">
        <v>605</v>
      </c>
      <c r="C43" s="67">
        <f>'Workload Planner'!C30</f>
        <v>2</v>
      </c>
      <c r="D43" s="336" t="s">
        <v>484</v>
      </c>
      <c r="F43" s="124" t="str">
        <f>IF('Workload Planner'!C30&lt;=1,"Light user",IF('Workload Planner'!C30&lt;=2,"Medium user","Power user"))</f>
        <v>Medium user</v>
      </c>
    </row>
    <row r="44" spans="2:7" x14ac:dyDescent="0.25">
      <c r="B44" s="59" t="s">
        <v>606</v>
      </c>
      <c r="C44" s="67">
        <f>'Workload Planner'!C31</f>
        <v>4</v>
      </c>
      <c r="D44" s="336" t="s">
        <v>126</v>
      </c>
    </row>
    <row r="45" spans="2:7" x14ac:dyDescent="0.25">
      <c r="B45" s="59" t="s">
        <v>506</v>
      </c>
      <c r="C45" s="67">
        <f>'Workload Planner'!C32</f>
        <v>0</v>
      </c>
      <c r="D45" s="336" t="s">
        <v>507</v>
      </c>
      <c r="F45" s="124" t="str">
        <f>IF('Workload Planner'!C8="No","","Bottleneck: "&amp;IF(INT('Workload Planner'!C27/'Workload Planner'!C30)&lt;INT('Workload Planner'!C28/'Workload Planner'!C31),"vCPU",IF(INT('Workload Planner'!C27/'Workload Planner'!C30)&gt;INT('Workload Planner'!C28/'Workload Planner'!C31),"RAM","Both equal")))</f>
        <v/>
      </c>
    </row>
    <row r="47" spans="2:7" ht="15.75" thickBot="1" x14ac:dyDescent="0.3">
      <c r="B47" s="368" t="s">
        <v>607</v>
      </c>
      <c r="C47" s="369">
        <f>'Workload Planner'!C19</f>
        <v>300</v>
      </c>
      <c r="D47" s="370" t="s">
        <v>128</v>
      </c>
    </row>
    <row r="48" spans="2:7" ht="18" x14ac:dyDescent="0.25">
      <c r="B48" s="371" t="s">
        <v>608</v>
      </c>
      <c r="C48" s="372">
        <f>'Workload Planner'!C33</f>
        <v>0</v>
      </c>
      <c r="D48" s="371" t="s">
        <v>125</v>
      </c>
      <c r="F48" s="124" t="str">
        <f>"⌈ "&amp;'Workload Planner'!C19&amp;" users ÷ "&amp;'Workload Planner'!C32&amp;" users/host ⌉"</f>
        <v>⌈ 300 users ÷ 0 users/host ⌉</v>
      </c>
    </row>
    <row r="49" spans="2:7" ht="18" x14ac:dyDescent="0.25">
      <c r="B49" s="373" t="s">
        <v>609</v>
      </c>
      <c r="C49" s="374">
        <f>'Workload Planner'!C10</f>
        <v>32</v>
      </c>
      <c r="D49" s="375" t="s">
        <v>125</v>
      </c>
      <c r="F49" s="245" t="str">
        <f>'Workload Planner'!C34</f>
        <v/>
      </c>
    </row>
    <row r="51" spans="2:7" x14ac:dyDescent="0.25">
      <c r="B51" s="116" t="s">
        <v>920</v>
      </c>
      <c r="C51" s="117"/>
      <c r="D51" s="117"/>
      <c r="E51" s="117"/>
      <c r="F51" s="117"/>
      <c r="G51" s="117"/>
    </row>
    <row r="52" spans="2:7" x14ac:dyDescent="0.25">
      <c r="B52" s="343" t="s">
        <v>552</v>
      </c>
      <c r="C52" s="343" t="s">
        <v>921</v>
      </c>
      <c r="D52" s="343" t="s">
        <v>922</v>
      </c>
      <c r="E52" s="343" t="s">
        <v>923</v>
      </c>
      <c r="F52" s="343" t="s">
        <v>553</v>
      </c>
      <c r="G52" s="376" t="s">
        <v>610</v>
      </c>
    </row>
    <row r="53" spans="2:7" x14ac:dyDescent="0.25">
      <c r="B53" s="377" t="s">
        <v>555</v>
      </c>
      <c r="C53" s="378">
        <f>'Workload Planner'!C156</f>
        <v>0</v>
      </c>
      <c r="D53" s="362">
        <f>'Workload Planner'!D156</f>
        <v>0</v>
      </c>
      <c r="E53" s="362" t="str">
        <f>'Workload Planner'!E156</f>
        <v>✓ PASS</v>
      </c>
      <c r="F53" s="379" t="str">
        <f>'Workload Planner'!F156</f>
        <v>✓ PASS</v>
      </c>
      <c r="G53" s="171" t="s">
        <v>640</v>
      </c>
    </row>
    <row r="54" spans="2:7" x14ac:dyDescent="0.25">
      <c r="B54" s="380" t="s">
        <v>583</v>
      </c>
      <c r="C54" s="381">
        <f>'Workload Planner'!C157</f>
        <v>0</v>
      </c>
      <c r="D54" s="364">
        <f>'Workload Planner'!D157</f>
        <v>0</v>
      </c>
      <c r="E54" s="364" t="str">
        <f>'Workload Planner'!E157</f>
        <v>✓ PASS</v>
      </c>
      <c r="F54" s="156" t="str">
        <f>'Workload Planner'!F157</f>
        <v>✓ PASS</v>
      </c>
      <c r="G54" s="171" t="s">
        <v>641</v>
      </c>
    </row>
    <row r="55" spans="2:7" x14ac:dyDescent="0.25">
      <c r="B55" s="377" t="s">
        <v>584</v>
      </c>
      <c r="C55" s="378">
        <f>'Workload Planner'!C158</f>
        <v>0</v>
      </c>
      <c r="D55" s="362">
        <f>'Workload Planner'!D158</f>
        <v>0</v>
      </c>
      <c r="E55" s="362" t="str">
        <f>'Workload Planner'!E158</f>
        <v>✓ PASS</v>
      </c>
      <c r="F55" s="379" t="str">
        <f>'Workload Planner'!F158</f>
        <v>✓ PASS</v>
      </c>
      <c r="G55" s="171" t="s">
        <v>556</v>
      </c>
    </row>
    <row r="56" spans="2:7" x14ac:dyDescent="0.25">
      <c r="B56" s="380" t="s">
        <v>515</v>
      </c>
      <c r="C56" s="381">
        <f>'Workload Planner'!C159</f>
        <v>0</v>
      </c>
      <c r="D56" s="364">
        <f>'Workload Planner'!D159</f>
        <v>0</v>
      </c>
      <c r="E56" s="364" t="str">
        <f>'Workload Planner'!E159</f>
        <v>✓ PASS</v>
      </c>
      <c r="F56" s="156" t="str">
        <f>'Workload Planner'!F159</f>
        <v>✓ PASS</v>
      </c>
      <c r="G56" s="171" t="s">
        <v>642</v>
      </c>
    </row>
    <row r="58" spans="2:7" x14ac:dyDescent="0.25">
      <c r="B58" s="124" t="s">
        <v>643</v>
      </c>
    </row>
  </sheetData>
  <sheetProtection sheet="1" objects="1" scenarios="1"/>
  <conditionalFormatting sqref="D53:E56">
    <cfRule type="containsText" dxfId="17" priority="4" operator="containsText" text="PASS">
      <formula>NOT(ISERROR(SEARCH("PASS",D53)))</formula>
    </cfRule>
    <cfRule type="containsText" dxfId="16" priority="5" operator="containsText" text="FAIL">
      <formula>NOT(ISERROR(SEARCH("FAIL",D53)))</formula>
    </cfRule>
    <cfRule type="containsText" dxfId="15" priority="6" operator="containsText" text="WARNING">
      <formula>NOT(ISERROR(SEARCH("WARNING",D53)))</formula>
    </cfRule>
  </conditionalFormatting>
  <conditionalFormatting sqref="F35:F38">
    <cfRule type="containsText" dxfId="14" priority="1" operator="containsText" text="PASS">
      <formula>NOT(ISERROR(SEARCH("PASS",F35)))</formula>
    </cfRule>
    <cfRule type="containsText" dxfId="13" priority="2" operator="containsText" text="FAIL">
      <formula>NOT(ISERROR(SEARCH("FAIL",F35)))</formula>
    </cfRule>
    <cfRule type="containsText" dxfId="12" priority="3" operator="containsText" text="WARNING">
      <formula>NOT(ISERROR(SEARCH("WARNING",F35)))</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07E92-0288-455E-B2D1-00281C127365}">
  <sheetPr>
    <tabColor rgb="FF00B050"/>
  </sheetPr>
  <dimension ref="A1:H159"/>
  <sheetViews>
    <sheetView workbookViewId="0">
      <pane ySplit="3" topLeftCell="A4" activePane="bottomLeft" state="frozen"/>
      <selection pane="bottomLeft" activeCell="F30" sqref="F30"/>
    </sheetView>
  </sheetViews>
  <sheetFormatPr defaultRowHeight="15" x14ac:dyDescent="0.25"/>
  <cols>
    <col min="1" max="1" width="0.7109375" customWidth="1"/>
    <col min="2" max="2" width="41.7109375" bestFit="1" customWidth="1"/>
    <col min="3" max="3" width="36.85546875" bestFit="1" customWidth="1"/>
    <col min="4" max="4" width="21.5703125" bestFit="1" customWidth="1"/>
    <col min="5" max="5" width="24.28515625" bestFit="1" customWidth="1"/>
    <col min="6" max="6" width="18.28515625" bestFit="1" customWidth="1"/>
    <col min="7" max="7" width="13.42578125" bestFit="1" customWidth="1"/>
    <col min="8" max="8" width="11.5703125" bestFit="1" customWidth="1"/>
  </cols>
  <sheetData>
    <row r="1" spans="1:8" x14ac:dyDescent="0.25">
      <c r="A1" s="281"/>
      <c r="B1" s="281"/>
      <c r="C1" s="281"/>
      <c r="D1" s="281"/>
      <c r="E1" s="281"/>
      <c r="F1" s="281"/>
      <c r="G1" s="281"/>
      <c r="H1" s="281"/>
    </row>
    <row r="2" spans="1:8" ht="30" customHeight="1" x14ac:dyDescent="0.3">
      <c r="A2" s="281"/>
      <c r="B2" s="517" t="s">
        <v>419</v>
      </c>
      <c r="C2" s="518"/>
      <c r="D2" s="518"/>
      <c r="E2" s="518"/>
      <c r="F2" s="518"/>
      <c r="G2" s="518"/>
      <c r="H2" s="518"/>
    </row>
    <row r="3" spans="1:8" x14ac:dyDescent="0.25">
      <c r="A3" s="281"/>
      <c r="B3" s="519" t="str">
        <f ca="1">"Generated from calculator inputs. All values linked to source tabs. Last updated: "&amp;TEXT(NOW(),"mm/dd/yyyy hh:mm AM/PM")</f>
        <v>Generated from calculator inputs. All values linked to source tabs. Last updated: 04/01/2026 09:30 AM</v>
      </c>
      <c r="C3" s="516"/>
      <c r="D3" s="516"/>
      <c r="E3" s="516"/>
      <c r="F3" s="516"/>
      <c r="G3" s="516"/>
      <c r="H3" s="516"/>
    </row>
    <row r="4" spans="1:8" x14ac:dyDescent="0.25">
      <c r="A4" s="281"/>
      <c r="B4" s="281"/>
      <c r="C4" s="281"/>
      <c r="D4" s="281"/>
      <c r="E4" s="281"/>
      <c r="F4" s="281"/>
      <c r="G4" s="281"/>
      <c r="H4" s="281"/>
    </row>
    <row r="5" spans="1:8" x14ac:dyDescent="0.25">
      <c r="A5" s="281"/>
      <c r="B5" s="520" t="s">
        <v>420</v>
      </c>
      <c r="C5" s="521"/>
      <c r="D5" s="521"/>
      <c r="E5" s="521"/>
      <c r="F5" s="521"/>
      <c r="G5" s="521"/>
      <c r="H5" s="521"/>
    </row>
    <row r="6" spans="1:8" x14ac:dyDescent="0.25">
      <c r="A6" s="281"/>
      <c r="B6" s="382" t="s">
        <v>173</v>
      </c>
      <c r="C6" s="383">
        <f>'Hardware Inputs'!C8</f>
        <v>3</v>
      </c>
      <c r="D6" s="384" t="s">
        <v>303</v>
      </c>
      <c r="E6" s="281"/>
      <c r="F6" s="281"/>
      <c r="G6" s="281"/>
      <c r="H6" s="281"/>
    </row>
    <row r="7" spans="1:8" x14ac:dyDescent="0.25">
      <c r="A7" s="281"/>
      <c r="B7" s="385" t="s">
        <v>421</v>
      </c>
      <c r="C7" s="386" t="str">
        <f>'Hardware Inputs'!C9</f>
        <v>All-NVMe (No Cache)</v>
      </c>
      <c r="D7" s="307"/>
      <c r="E7" s="281"/>
      <c r="F7" s="281"/>
      <c r="G7" s="281"/>
      <c r="H7" s="281"/>
    </row>
    <row r="8" spans="1:8" x14ac:dyDescent="0.25">
      <c r="A8" s="281"/>
      <c r="B8" s="385" t="s">
        <v>69</v>
      </c>
      <c r="C8" s="386">
        <f>'Hardware Inputs'!C10</f>
        <v>4</v>
      </c>
      <c r="D8" s="307" t="s">
        <v>425</v>
      </c>
      <c r="E8" s="281"/>
      <c r="F8" s="281"/>
      <c r="G8" s="281"/>
      <c r="H8" s="281"/>
    </row>
    <row r="9" spans="1:8" x14ac:dyDescent="0.25">
      <c r="A9" s="281"/>
      <c r="B9" s="385" t="s">
        <v>304</v>
      </c>
      <c r="C9" s="387">
        <f>'Hardware Inputs'!C11</f>
        <v>3.84</v>
      </c>
      <c r="D9" s="307" t="s">
        <v>87</v>
      </c>
      <c r="E9" s="281"/>
      <c r="F9" s="281"/>
      <c r="G9" s="281"/>
      <c r="H9" s="281"/>
    </row>
    <row r="10" spans="1:8" x14ac:dyDescent="0.25">
      <c r="A10" s="281"/>
      <c r="B10" s="385" t="s">
        <v>81</v>
      </c>
      <c r="C10" s="388">
        <f>'Hardware Inputs'!C16</f>
        <v>12</v>
      </c>
      <c r="D10" s="307" t="s">
        <v>82</v>
      </c>
      <c r="E10" s="281"/>
      <c r="F10" s="281"/>
      <c r="G10" s="281"/>
      <c r="H10" s="281"/>
    </row>
    <row r="11" spans="1:8" x14ac:dyDescent="0.25">
      <c r="A11" s="281"/>
      <c r="B11" s="385" t="s">
        <v>305</v>
      </c>
      <c r="C11" s="387">
        <f>'Hardware Inputs'!C18</f>
        <v>46.08</v>
      </c>
      <c r="D11" s="307" t="s">
        <v>87</v>
      </c>
      <c r="E11" s="281"/>
      <c r="F11" s="281"/>
      <c r="G11" s="281"/>
      <c r="H11" s="281"/>
    </row>
    <row r="12" spans="1:8" x14ac:dyDescent="0.25">
      <c r="A12" s="281"/>
      <c r="B12" s="385" t="s">
        <v>422</v>
      </c>
      <c r="C12" s="387">
        <f>'Hardware Inputs'!C20</f>
        <v>42.393599999999999</v>
      </c>
      <c r="D12" s="307" t="s">
        <v>87</v>
      </c>
      <c r="E12" s="281"/>
      <c r="F12" s="281"/>
      <c r="G12" s="281"/>
      <c r="H12" s="281"/>
    </row>
    <row r="13" spans="1:8" x14ac:dyDescent="0.25">
      <c r="A13" s="281"/>
      <c r="B13" s="385" t="s">
        <v>93</v>
      </c>
      <c r="C13" s="387">
        <f>'Hardware Inputs'!C21</f>
        <v>10.5984</v>
      </c>
      <c r="D13" s="307" t="s">
        <v>87</v>
      </c>
      <c r="E13" s="281"/>
      <c r="F13" s="281"/>
      <c r="G13" s="281"/>
      <c r="H13" s="281"/>
    </row>
    <row r="14" spans="1:8" x14ac:dyDescent="0.25">
      <c r="A14" s="281"/>
      <c r="B14" s="385" t="s">
        <v>423</v>
      </c>
      <c r="C14" s="387">
        <f>'Hardware Inputs'!C22</f>
        <v>0.75</v>
      </c>
      <c r="D14" s="307" t="s">
        <v>87</v>
      </c>
      <c r="E14" s="281"/>
      <c r="F14" s="281"/>
      <c r="G14" s="281"/>
      <c r="H14" s="281"/>
    </row>
    <row r="15" spans="1:8" ht="15.75" x14ac:dyDescent="0.25">
      <c r="A15" s="281"/>
      <c r="B15" s="389" t="s">
        <v>424</v>
      </c>
      <c r="C15" s="390">
        <f>'Hardware Inputs'!C24</f>
        <v>31.045200000000001</v>
      </c>
      <c r="D15" s="391" t="s">
        <v>87</v>
      </c>
      <c r="E15" s="124" t="str">
        <f>"(WAC shows: "&amp;ROUND('Hardware Inputs'!C24*(1000/1024)^3,2)&amp;" TiB)"</f>
        <v>(WAC shows: 28.91 TiB)</v>
      </c>
      <c r="F15" s="281"/>
      <c r="G15" s="281"/>
      <c r="H15" s="281"/>
    </row>
    <row r="16" spans="1:8" x14ac:dyDescent="0.25">
      <c r="A16" s="281"/>
      <c r="B16" s="281"/>
      <c r="C16" s="281"/>
      <c r="D16" s="281"/>
      <c r="E16" s="281"/>
      <c r="F16" s="281"/>
      <c r="G16" s="281"/>
      <c r="H16" s="281"/>
    </row>
    <row r="17" spans="1:8" x14ac:dyDescent="0.25">
      <c r="A17" s="281"/>
      <c r="B17" s="520" t="s">
        <v>426</v>
      </c>
      <c r="C17" s="521"/>
      <c r="D17" s="521"/>
      <c r="E17" s="521"/>
      <c r="F17" s="521"/>
      <c r="G17" s="521"/>
      <c r="H17" s="521"/>
    </row>
    <row r="18" spans="1:8" x14ac:dyDescent="0.25">
      <c r="A18" s="281"/>
      <c r="B18" s="382" t="s">
        <v>134</v>
      </c>
      <c r="C18" s="392">
        <f>'Workload Planner'!C114</f>
        <v>31.045200000000001</v>
      </c>
      <c r="D18" s="384" t="s">
        <v>87</v>
      </c>
      <c r="E18" s="281"/>
      <c r="F18" s="281"/>
      <c r="G18" s="281"/>
      <c r="H18" s="281"/>
    </row>
    <row r="19" spans="1:8" x14ac:dyDescent="0.25">
      <c r="A19" s="281"/>
      <c r="B19" s="385" t="s">
        <v>427</v>
      </c>
      <c r="C19" s="387">
        <f>'Workload Planner'!C124</f>
        <v>0</v>
      </c>
      <c r="D19" s="307" t="s">
        <v>87</v>
      </c>
      <c r="E19" s="281"/>
      <c r="F19" s="281"/>
      <c r="G19" s="281"/>
      <c r="H19" s="281"/>
    </row>
    <row r="20" spans="1:8" x14ac:dyDescent="0.25">
      <c r="A20" s="281"/>
      <c r="B20" s="385" t="s">
        <v>428</v>
      </c>
      <c r="C20" s="387">
        <f>'Workload Planner'!C125</f>
        <v>0</v>
      </c>
      <c r="D20" s="307" t="s">
        <v>87</v>
      </c>
      <c r="E20" s="281"/>
      <c r="F20" s="281"/>
      <c r="G20" s="281"/>
      <c r="H20" s="281"/>
    </row>
    <row r="21" spans="1:8" x14ac:dyDescent="0.25">
      <c r="A21" s="281"/>
      <c r="B21" s="385" t="s">
        <v>140</v>
      </c>
      <c r="C21" s="388">
        <f>'Workload Planner'!C126</f>
        <v>0</v>
      </c>
      <c r="D21" s="307" t="s">
        <v>141</v>
      </c>
      <c r="E21" s="281"/>
      <c r="F21" s="281"/>
      <c r="G21" s="281"/>
      <c r="H21" s="281"/>
    </row>
    <row r="22" spans="1:8" x14ac:dyDescent="0.25">
      <c r="A22" s="281"/>
      <c r="B22" s="385"/>
      <c r="C22" s="307"/>
      <c r="D22" s="307"/>
      <c r="E22" s="281"/>
      <c r="F22" s="281"/>
      <c r="G22" s="281"/>
      <c r="H22" s="281"/>
    </row>
    <row r="23" spans="1:8" ht="15.75" x14ac:dyDescent="0.25">
      <c r="A23" s="281"/>
      <c r="B23" s="393" t="s">
        <v>142</v>
      </c>
      <c r="C23" s="394">
        <f>'Workload Planner'!C128</f>
        <v>31.045200000000001</v>
      </c>
      <c r="D23" s="395" t="s">
        <v>87</v>
      </c>
      <c r="E23" s="281"/>
      <c r="F23" s="281"/>
      <c r="G23" s="281"/>
      <c r="H23" s="281"/>
    </row>
    <row r="24" spans="1:8" x14ac:dyDescent="0.25">
      <c r="A24" s="281"/>
      <c r="B24" s="393" t="s">
        <v>143</v>
      </c>
      <c r="C24" s="396">
        <f>'Workload Planner'!C129</f>
        <v>0</v>
      </c>
      <c r="D24" s="395"/>
      <c r="E24" s="281"/>
      <c r="F24" s="281"/>
      <c r="G24" s="281"/>
      <c r="H24" s="281"/>
    </row>
    <row r="25" spans="1:8" x14ac:dyDescent="0.25">
      <c r="A25" s="281"/>
      <c r="B25" s="397" t="s">
        <v>429</v>
      </c>
      <c r="C25" s="398" t="str">
        <f>IF('Workload Planner'!C128&lt;0,"FAIL — OVER CAPACITY",IF('Workload Planner'!C129&gt;0.7,"WARNING — Above 70% utilization","PASS — Healthy headroom"))</f>
        <v>PASS — Healthy headroom</v>
      </c>
      <c r="D25" s="305"/>
      <c r="E25" s="281"/>
      <c r="F25" s="281"/>
      <c r="G25" s="281"/>
      <c r="H25" s="281"/>
    </row>
    <row r="26" spans="1:8" ht="0.95" customHeight="1" x14ac:dyDescent="0.25">
      <c r="A26" s="281"/>
      <c r="B26" s="399"/>
      <c r="C26" s="400" t="s">
        <v>459</v>
      </c>
      <c r="D26" s="400" t="s">
        <v>460</v>
      </c>
      <c r="E26" s="281"/>
      <c r="F26" s="281"/>
      <c r="G26" s="281"/>
      <c r="H26" s="281"/>
    </row>
    <row r="27" spans="1:8" ht="0.95" customHeight="1" x14ac:dyDescent="0.25">
      <c r="A27" s="281"/>
      <c r="B27" s="401" t="s">
        <v>193</v>
      </c>
      <c r="C27" s="402">
        <f>'Workload Planner'!C124</f>
        <v>0</v>
      </c>
      <c r="D27" s="403">
        <f>IF('Workload Planner'!C128&gt;0,'Workload Planner'!C128,0)</f>
        <v>31.045200000000001</v>
      </c>
      <c r="E27" s="281"/>
      <c r="F27" s="281"/>
      <c r="G27" s="281"/>
      <c r="H27" s="281"/>
    </row>
    <row r="28" spans="1:8" x14ac:dyDescent="0.25">
      <c r="A28" s="281"/>
      <c r="B28" s="399"/>
      <c r="C28" s="404"/>
      <c r="D28" s="281"/>
      <c r="E28" s="281"/>
      <c r="F28" s="281"/>
      <c r="G28" s="281"/>
      <c r="H28" s="281"/>
    </row>
    <row r="29" spans="1:8" x14ac:dyDescent="0.25">
      <c r="A29" s="281"/>
      <c r="B29" s="399"/>
      <c r="C29" s="404"/>
      <c r="D29" s="281"/>
      <c r="E29" s="281"/>
      <c r="F29" s="281"/>
      <c r="G29" s="281"/>
      <c r="H29" s="281"/>
    </row>
    <row r="30" spans="1:8" x14ac:dyDescent="0.25">
      <c r="A30" s="281"/>
      <c r="B30" s="399"/>
      <c r="C30" s="404"/>
      <c r="D30" s="281"/>
      <c r="E30" s="281"/>
      <c r="F30" s="281"/>
      <c r="G30" s="281"/>
      <c r="H30" s="281"/>
    </row>
    <row r="31" spans="1:8" x14ac:dyDescent="0.25">
      <c r="A31" s="281"/>
      <c r="B31" s="399"/>
      <c r="C31" s="404"/>
      <c r="D31" s="281"/>
      <c r="E31" s="281"/>
      <c r="F31" s="281"/>
      <c r="G31" s="281"/>
      <c r="H31" s="281"/>
    </row>
    <row r="32" spans="1:8" x14ac:dyDescent="0.25">
      <c r="A32" s="281"/>
      <c r="B32" s="399"/>
      <c r="C32" s="404"/>
      <c r="D32" s="281"/>
      <c r="E32" s="281"/>
      <c r="F32" s="281"/>
      <c r="G32" s="281"/>
      <c r="H32" s="281"/>
    </row>
    <row r="33" spans="1:8" x14ac:dyDescent="0.25">
      <c r="A33" s="281"/>
      <c r="B33" s="399"/>
      <c r="C33" s="404"/>
      <c r="D33" s="281"/>
      <c r="E33" s="281"/>
      <c r="F33" s="281"/>
      <c r="G33" s="281"/>
      <c r="H33" s="281"/>
    </row>
    <row r="34" spans="1:8" x14ac:dyDescent="0.25">
      <c r="A34" s="281"/>
      <c r="B34" s="399"/>
      <c r="C34" s="404"/>
      <c r="D34" s="281"/>
      <c r="E34" s="281"/>
      <c r="F34" s="281"/>
      <c r="G34" s="281"/>
      <c r="H34" s="281"/>
    </row>
    <row r="35" spans="1:8" x14ac:dyDescent="0.25">
      <c r="A35" s="281"/>
      <c r="B35" s="399"/>
      <c r="C35" s="404"/>
      <c r="D35" s="281"/>
      <c r="E35" s="281"/>
      <c r="F35" s="281"/>
      <c r="G35" s="281"/>
      <c r="H35" s="281"/>
    </row>
    <row r="36" spans="1:8" x14ac:dyDescent="0.25">
      <c r="A36" s="281"/>
      <c r="B36" s="399"/>
      <c r="C36" s="404"/>
      <c r="D36" s="281"/>
      <c r="E36" s="281"/>
      <c r="F36" s="281"/>
      <c r="G36" s="281"/>
      <c r="H36" s="281"/>
    </row>
    <row r="37" spans="1:8" x14ac:dyDescent="0.25">
      <c r="A37" s="281"/>
      <c r="B37" s="399"/>
      <c r="C37" s="404"/>
      <c r="D37" s="281"/>
      <c r="E37" s="281"/>
      <c r="F37" s="281"/>
      <c r="G37" s="281"/>
      <c r="H37" s="281"/>
    </row>
    <row r="38" spans="1:8" x14ac:dyDescent="0.25">
      <c r="A38" s="281"/>
      <c r="B38" s="399"/>
      <c r="C38" s="404"/>
      <c r="D38" s="281"/>
      <c r="E38" s="281"/>
      <c r="F38" s="281"/>
      <c r="G38" s="281"/>
      <c r="H38" s="281"/>
    </row>
    <row r="39" spans="1:8" x14ac:dyDescent="0.25">
      <c r="A39" s="281"/>
      <c r="B39" s="399"/>
      <c r="C39" s="404"/>
      <c r="D39" s="281"/>
      <c r="E39" s="281"/>
      <c r="F39" s="281"/>
      <c r="G39" s="281"/>
      <c r="H39" s="281"/>
    </row>
    <row r="40" spans="1:8" x14ac:dyDescent="0.25">
      <c r="A40" s="281"/>
      <c r="B40" s="281"/>
      <c r="C40" s="281"/>
      <c r="D40" s="281"/>
      <c r="E40" s="281"/>
      <c r="F40" s="281"/>
      <c r="G40" s="281"/>
      <c r="H40" s="281"/>
    </row>
    <row r="41" spans="1:8" x14ac:dyDescent="0.25">
      <c r="A41" s="281"/>
      <c r="B41" s="520" t="s">
        <v>430</v>
      </c>
      <c r="C41" s="521"/>
      <c r="D41" s="521"/>
      <c r="E41" s="521"/>
      <c r="F41" s="521"/>
      <c r="G41" s="521"/>
      <c r="H41" s="521"/>
    </row>
    <row r="42" spans="1:8" x14ac:dyDescent="0.25">
      <c r="A42" s="281"/>
      <c r="B42" s="405" t="s">
        <v>431</v>
      </c>
      <c r="C42" s="406" t="s">
        <v>402</v>
      </c>
      <c r="D42" s="406" t="s">
        <v>272</v>
      </c>
      <c r="E42" s="406" t="s">
        <v>400</v>
      </c>
      <c r="F42" s="406" t="s">
        <v>105</v>
      </c>
      <c r="G42" s="407" t="s">
        <v>401</v>
      </c>
      <c r="H42" s="281"/>
    </row>
    <row r="43" spans="1:8" x14ac:dyDescent="0.25">
      <c r="A43" s="281"/>
      <c r="B43" s="408" t="s">
        <v>432</v>
      </c>
      <c r="C43" s="409" t="str">
        <f>IF('Workload Planner'!C14&gt;0,"Enabled","— Disabled")</f>
        <v>— Disabled</v>
      </c>
      <c r="D43" s="409" t="str">
        <f>'Workload Planner'!C13</f>
        <v>Two-Way Mirror</v>
      </c>
      <c r="E43" s="410" t="str">
        <f>IF(C43="— Disabled","—",'Workload Planner'!C14)</f>
        <v>—</v>
      </c>
      <c r="F43" s="409" t="str">
        <f>'Workload Planner'!D13</f>
        <v>50% eff.</v>
      </c>
      <c r="G43" s="411" t="str">
        <f>IF(C43="— Disabled","—",'Workload Planner'!C15)</f>
        <v>—</v>
      </c>
      <c r="H43" s="281"/>
    </row>
    <row r="44" spans="1:8" x14ac:dyDescent="0.25">
      <c r="A44" s="281"/>
      <c r="B44" s="412" t="s">
        <v>433</v>
      </c>
      <c r="C44" s="317" t="str">
        <f>IF('Workload Planner'!C23&gt;0,"Enabled","— Disabled")</f>
        <v>— Disabled</v>
      </c>
      <c r="D44" s="317" t="str">
        <f>'Workload Planner'!C22</f>
        <v>Three-Way Mirror</v>
      </c>
      <c r="E44" s="413" t="str">
        <f>IF(C44="— Disabled","—",'Workload Planner'!C23)</f>
        <v>—</v>
      </c>
      <c r="F44" s="317" t="str">
        <f>'Workload Planner'!D22</f>
        <v>33% eff.</v>
      </c>
      <c r="G44" s="414" t="str">
        <f>IF(C44="— Disabled","—",'Workload Planner'!C24)</f>
        <v>—</v>
      </c>
      <c r="H44" s="281"/>
    </row>
    <row r="45" spans="1:8" x14ac:dyDescent="0.25">
      <c r="A45" s="281"/>
      <c r="B45" s="408" t="s">
        <v>434</v>
      </c>
      <c r="C45" s="409" t="str">
        <f>IF('Workload Planner'!C54&gt;0,"Enabled","— Disabled")</f>
        <v>— Disabled</v>
      </c>
      <c r="D45" s="409" t="str">
        <f>'Workload Planner'!C53</f>
        <v>Three-Way Mirror</v>
      </c>
      <c r="E45" s="410" t="str">
        <f>IF(C45="— Disabled","—",'Workload Planner'!C54)</f>
        <v>—</v>
      </c>
      <c r="F45" s="409" t="str">
        <f>'Workload Planner'!D53</f>
        <v>33% eff.</v>
      </c>
      <c r="G45" s="411" t="str">
        <f>IF(C45="— Disabled","—",'Workload Planner'!C55)</f>
        <v>—</v>
      </c>
      <c r="H45" s="281"/>
    </row>
    <row r="46" spans="1:8" x14ac:dyDescent="0.25">
      <c r="A46" s="281"/>
      <c r="B46" s="412" t="s">
        <v>435</v>
      </c>
      <c r="C46" s="317" t="str">
        <f>IF('Workload Planner'!C70&gt;0,"Enabled","— Disabled")</f>
        <v>— Disabled</v>
      </c>
      <c r="D46" s="317" t="str">
        <f>'Workload Planner'!C69</f>
        <v>Three-Way Mirror</v>
      </c>
      <c r="E46" s="413" t="str">
        <f>IF(C46="— Disabled","—",'Workload Planner'!C70)</f>
        <v>—</v>
      </c>
      <c r="F46" s="317" t="str">
        <f>'Workload Planner'!D69</f>
        <v>33% eff.</v>
      </c>
      <c r="G46" s="414" t="str">
        <f>IF(C46="— Disabled","—",'Workload Planner'!C71)</f>
        <v>—</v>
      </c>
      <c r="H46" s="281"/>
    </row>
    <row r="47" spans="1:8" x14ac:dyDescent="0.25">
      <c r="A47" s="281"/>
      <c r="B47" s="408" t="s">
        <v>436</v>
      </c>
      <c r="C47" s="409" t="str">
        <f>IF('Workload Planner'!C87&gt;0,"Enabled","— Disabled")</f>
        <v>— Disabled</v>
      </c>
      <c r="D47" s="409" t="str">
        <f>'Workload Planner'!C86</f>
        <v>Two-Way Mirror</v>
      </c>
      <c r="E47" s="410" t="str">
        <f>IF(C47="— Disabled","—",'Workload Planner'!C87)</f>
        <v>—</v>
      </c>
      <c r="F47" s="409" t="str">
        <f>'Workload Planner'!D86</f>
        <v>50% eff.</v>
      </c>
      <c r="G47" s="411" t="str">
        <f>IF(C47="— Disabled","—",'Workload Planner'!C88)</f>
        <v>—</v>
      </c>
      <c r="H47" s="281"/>
    </row>
    <row r="48" spans="1:8" x14ac:dyDescent="0.25">
      <c r="A48" s="281"/>
      <c r="B48" s="412" t="s">
        <v>437</v>
      </c>
      <c r="C48" s="317" t="str">
        <f>IF('Workload Planner'!C102&gt;0,"Enabled","— Disabled")</f>
        <v>— Disabled</v>
      </c>
      <c r="D48" s="317" t="str">
        <f>'Workload Planner'!C101</f>
        <v>Dual Parity</v>
      </c>
      <c r="E48" s="413" t="str">
        <f>IF(C48="— Disabled","—",'Workload Planner'!C102)</f>
        <v>—</v>
      </c>
      <c r="F48" s="317" t="str">
        <f>'Workload Planner'!D101</f>
        <v>50% eff.</v>
      </c>
      <c r="G48" s="414" t="str">
        <f>IF(C48="— Disabled","—",'Workload Planner'!C103)</f>
        <v>—</v>
      </c>
      <c r="H48" s="281"/>
    </row>
    <row r="49" spans="1:8" x14ac:dyDescent="0.25">
      <c r="A49" s="281"/>
      <c r="B49" s="415" t="s">
        <v>438</v>
      </c>
      <c r="C49" s="416" t="str">
        <f>IF('Workload Planner'!C109&gt;0,"Enabled","— Disabled")</f>
        <v>— Disabled</v>
      </c>
      <c r="D49" s="416" t="str">
        <f>'Workload Planner'!C108</f>
        <v>Three-Way Mirror</v>
      </c>
      <c r="E49" s="417" t="str">
        <f>IF(C49="— Disabled","—",'Workload Planner'!C109)</f>
        <v>—</v>
      </c>
      <c r="F49" s="416" t="str">
        <f>'Workload Planner'!D108</f>
        <v>33% eff.</v>
      </c>
      <c r="G49" s="418" t="str">
        <f>IF(C49="— Disabled","—",'Workload Planner'!C110)</f>
        <v>—</v>
      </c>
      <c r="H49" s="281"/>
    </row>
    <row r="50" spans="1:8" ht="15.75" thickBot="1" x14ac:dyDescent="0.3">
      <c r="A50" s="281"/>
      <c r="B50" s="419" t="s">
        <v>897</v>
      </c>
      <c r="C50" s="351" t="str">
        <f>IF('SOFS Planner'!$C$6="No","— Disabled",IF('SOFS Planner'!C9&gt;=1,"Enabled","— Disabled"))</f>
        <v>— Disabled</v>
      </c>
      <c r="D50" s="352" t="str">
        <f>'SOFS Planner'!C16</f>
        <v>Two-Way Mirror</v>
      </c>
      <c r="E50" s="352" t="str">
        <f>IF(C50="— Disabled","—",SUM('Volume Detail'!D13:'Volume Detail'!D16))</f>
        <v>—</v>
      </c>
      <c r="F50" s="352" t="str">
        <f>IF(C50="— Disabled","",IF('SOFS Planner'!C16="Two-Way Mirror","50% eff.",IF('SOFS Planner'!C16="Three-Way Mirror","33% eff.","varies")))</f>
        <v/>
      </c>
      <c r="G50" s="352" t="str">
        <f>IF(C50="— Disabled","—",'Workload Planner'!C123)</f>
        <v>—</v>
      </c>
      <c r="H50" s="281"/>
    </row>
    <row r="51" spans="1:8" x14ac:dyDescent="0.25">
      <c r="A51" s="281"/>
      <c r="B51" s="420" t="s">
        <v>275</v>
      </c>
      <c r="C51" s="420"/>
      <c r="D51" s="420"/>
      <c r="E51" s="421">
        <f>'Workload Planner'!C125</f>
        <v>0</v>
      </c>
      <c r="F51" s="420"/>
      <c r="G51" s="421">
        <f>'Workload Planner'!C124</f>
        <v>0</v>
      </c>
      <c r="H51" s="281"/>
    </row>
    <row r="52" spans="1:8" x14ac:dyDescent="0.25">
      <c r="A52" s="281"/>
      <c r="B52" s="524" t="s">
        <v>461</v>
      </c>
      <c r="C52" s="516"/>
      <c r="D52" s="516"/>
      <c r="E52" s="516"/>
      <c r="F52" s="516"/>
      <c r="G52" s="516"/>
      <c r="H52" s="516"/>
    </row>
    <row r="53" spans="1:8" x14ac:dyDescent="0.25">
      <c r="A53" s="281"/>
      <c r="B53" s="422" t="s">
        <v>403</v>
      </c>
      <c r="C53" s="249"/>
      <c r="D53" s="249"/>
      <c r="E53" s="423" t="str">
        <f>IF('Workload Planner'!C8="No","(Disabled)","")</f>
        <v>(Disabled)</v>
      </c>
      <c r="F53" s="249"/>
      <c r="G53" s="42"/>
      <c r="H53" s="281"/>
    </row>
    <row r="54" spans="1:8" x14ac:dyDescent="0.25">
      <c r="A54" s="281"/>
      <c r="B54" s="424" t="s">
        <v>462</v>
      </c>
      <c r="C54" s="425">
        <f>'Workload Planner'!C10</f>
        <v>32</v>
      </c>
      <c r="D54" s="424" t="s">
        <v>125</v>
      </c>
      <c r="E54" s="42"/>
      <c r="F54" s="249"/>
      <c r="G54" s="42"/>
      <c r="H54" s="281"/>
    </row>
    <row r="55" spans="1:8" x14ac:dyDescent="0.25">
      <c r="A55" s="281"/>
      <c r="B55" s="426" t="s">
        <v>463</v>
      </c>
      <c r="C55" s="427">
        <f>'Workload Planner'!C11</f>
        <v>127</v>
      </c>
      <c r="D55" s="426" t="s">
        <v>126</v>
      </c>
      <c r="E55" s="42"/>
      <c r="F55" s="249"/>
      <c r="G55" s="42"/>
      <c r="H55" s="281"/>
    </row>
    <row r="56" spans="1:8" x14ac:dyDescent="0.25">
      <c r="A56" s="281"/>
      <c r="B56" s="426" t="s">
        <v>464</v>
      </c>
      <c r="C56" s="427">
        <f>'Workload Planner'!C12</f>
        <v>50</v>
      </c>
      <c r="D56" s="426" t="s">
        <v>126</v>
      </c>
      <c r="E56" s="42"/>
      <c r="F56" s="249"/>
      <c r="G56" s="42"/>
      <c r="H56" s="281"/>
    </row>
    <row r="57" spans="1:8" x14ac:dyDescent="0.25">
      <c r="A57" s="281"/>
      <c r="B57" s="428" t="s">
        <v>465</v>
      </c>
      <c r="C57" s="429" t="str">
        <f>'Workload Planner'!C13</f>
        <v>Two-Way Mirror</v>
      </c>
      <c r="D57" s="428"/>
      <c r="E57" s="42"/>
      <c r="F57" s="249"/>
      <c r="G57" s="42"/>
      <c r="H57" s="281"/>
    </row>
    <row r="58" spans="1:8" x14ac:dyDescent="0.25">
      <c r="A58" s="281"/>
      <c r="B58" s="422" t="s">
        <v>404</v>
      </c>
      <c r="C58" s="249"/>
      <c r="D58" s="249"/>
      <c r="E58" s="423" t="str">
        <f>IF('Workload Planner'!C8="No","(Disabled)","")</f>
        <v>(Disabled)</v>
      </c>
      <c r="F58" s="249"/>
      <c r="G58" s="42"/>
      <c r="H58" s="281"/>
    </row>
    <row r="59" spans="1:8" x14ac:dyDescent="0.25">
      <c r="A59" s="281"/>
      <c r="B59" s="424" t="s">
        <v>466</v>
      </c>
      <c r="C59" s="425">
        <f>'Workload Planner'!C18</f>
        <v>1300</v>
      </c>
      <c r="D59" s="424" t="s">
        <v>128</v>
      </c>
      <c r="E59" s="42"/>
      <c r="F59" s="249"/>
      <c r="G59" s="42"/>
      <c r="H59" s="281"/>
    </row>
    <row r="60" spans="1:8" x14ac:dyDescent="0.25">
      <c r="A60" s="281"/>
      <c r="B60" s="426" t="s">
        <v>467</v>
      </c>
      <c r="C60" s="427">
        <f>'Workload Planner'!C20</f>
        <v>5</v>
      </c>
      <c r="D60" s="426" t="s">
        <v>126</v>
      </c>
      <c r="E60" s="42"/>
      <c r="F60" s="249"/>
      <c r="G60" s="42"/>
      <c r="H60" s="281"/>
    </row>
    <row r="61" spans="1:8" x14ac:dyDescent="0.25">
      <c r="A61" s="281"/>
      <c r="B61" s="426" t="s">
        <v>468</v>
      </c>
      <c r="C61" s="430">
        <f>'Workload Planner'!C21</f>
        <v>0.3</v>
      </c>
      <c r="D61" s="426"/>
      <c r="E61" s="42"/>
      <c r="F61" s="249"/>
      <c r="G61" s="42"/>
      <c r="H61" s="281"/>
    </row>
    <row r="62" spans="1:8" x14ac:dyDescent="0.25">
      <c r="A62" s="281"/>
      <c r="B62" s="428" t="s">
        <v>465</v>
      </c>
      <c r="C62" s="429" t="str">
        <f>'Workload Planner'!C22</f>
        <v>Three-Way Mirror</v>
      </c>
      <c r="D62" s="428"/>
      <c r="E62" s="42"/>
      <c r="F62" s="249"/>
      <c r="G62" s="42"/>
      <c r="H62" s="281"/>
    </row>
    <row r="63" spans="1:8" x14ac:dyDescent="0.25">
      <c r="A63" s="281"/>
      <c r="B63" s="249"/>
      <c r="C63" s="249"/>
      <c r="D63" s="249"/>
      <c r="E63" s="42"/>
      <c r="F63" s="249"/>
      <c r="G63" s="42"/>
      <c r="H63" s="281"/>
    </row>
    <row r="64" spans="1:8" x14ac:dyDescent="0.25">
      <c r="A64" s="281"/>
      <c r="B64" s="281"/>
      <c r="C64" s="281"/>
      <c r="D64" s="281"/>
      <c r="E64" s="281"/>
      <c r="F64" s="281"/>
      <c r="G64" s="281"/>
      <c r="H64" s="281"/>
    </row>
    <row r="65" spans="1:8" x14ac:dyDescent="0.25">
      <c r="A65" s="281"/>
      <c r="B65" s="520" t="s">
        <v>439</v>
      </c>
      <c r="C65" s="521"/>
      <c r="D65" s="521"/>
      <c r="E65" s="521"/>
      <c r="F65" s="521"/>
      <c r="G65" s="521"/>
      <c r="H65" s="521"/>
    </row>
    <row r="66" spans="1:8" x14ac:dyDescent="0.25">
      <c r="A66" s="281"/>
      <c r="B66" s="405" t="s">
        <v>407</v>
      </c>
      <c r="C66" s="406" t="s">
        <v>272</v>
      </c>
      <c r="D66" s="406" t="s">
        <v>440</v>
      </c>
      <c r="E66" s="406" t="s">
        <v>441</v>
      </c>
      <c r="F66" s="406" t="s">
        <v>442</v>
      </c>
      <c r="G66" s="406" t="s">
        <v>273</v>
      </c>
      <c r="H66" s="407" t="s">
        <v>402</v>
      </c>
    </row>
    <row r="67" spans="1:8" x14ac:dyDescent="0.25">
      <c r="A67" s="281"/>
      <c r="B67" s="431" t="s">
        <v>411</v>
      </c>
      <c r="C67" s="409" t="str">
        <f>'Volume Detail'!C6</f>
        <v>Two-Way Mirror</v>
      </c>
      <c r="D67" s="410">
        <f>'Volume Detail'!D6</f>
        <v>0</v>
      </c>
      <c r="E67" s="410">
        <f>'Volume Detail'!E6</f>
        <v>0</v>
      </c>
      <c r="F67" s="410">
        <f>'Volume Detail'!F6</f>
        <v>0</v>
      </c>
      <c r="G67" s="409" t="str">
        <f>'Volume Detail'!G6</f>
        <v>2x</v>
      </c>
      <c r="H67" s="432" t="str">
        <f>'Volume Detail'!I6</f>
        <v>— Disabled</v>
      </c>
    </row>
    <row r="68" spans="1:8" x14ac:dyDescent="0.25">
      <c r="A68" s="281"/>
      <c r="B68" s="433" t="s">
        <v>412</v>
      </c>
      <c r="C68" s="317" t="str">
        <f>'Volume Detail'!C7</f>
        <v>Three-Way Mirror</v>
      </c>
      <c r="D68" s="413">
        <f>'Volume Detail'!D7</f>
        <v>0</v>
      </c>
      <c r="E68" s="413">
        <f>'Volume Detail'!E7</f>
        <v>0</v>
      </c>
      <c r="F68" s="413">
        <f>'Volume Detail'!F7</f>
        <v>0</v>
      </c>
      <c r="G68" s="317" t="str">
        <f>'Volume Detail'!G7</f>
        <v>3x</v>
      </c>
      <c r="H68" s="434" t="str">
        <f>'Volume Detail'!I7</f>
        <v>— Disabled</v>
      </c>
    </row>
    <row r="69" spans="1:8" x14ac:dyDescent="0.25">
      <c r="A69" s="281"/>
      <c r="B69" s="431" t="s">
        <v>413</v>
      </c>
      <c r="C69" s="409" t="str">
        <f>'Volume Detail'!C8</f>
        <v>Three-Way Mirror</v>
      </c>
      <c r="D69" s="410">
        <f>'Volume Detail'!D8</f>
        <v>0</v>
      </c>
      <c r="E69" s="410">
        <f>'Volume Detail'!E8</f>
        <v>0</v>
      </c>
      <c r="F69" s="410">
        <f>'Volume Detail'!F8</f>
        <v>0</v>
      </c>
      <c r="G69" s="409" t="str">
        <f>'Volume Detail'!G8</f>
        <v>3x</v>
      </c>
      <c r="H69" s="432" t="str">
        <f>'Volume Detail'!I8</f>
        <v>— Disabled</v>
      </c>
    </row>
    <row r="70" spans="1:8" x14ac:dyDescent="0.25">
      <c r="A70" s="281"/>
      <c r="B70" s="433" t="s">
        <v>414</v>
      </c>
      <c r="C70" s="317" t="str">
        <f>'Volume Detail'!C9</f>
        <v>Three-Way Mirror</v>
      </c>
      <c r="D70" s="413">
        <f>'Volume Detail'!D9</f>
        <v>0</v>
      </c>
      <c r="E70" s="413">
        <f>'Volume Detail'!E9</f>
        <v>0</v>
      </c>
      <c r="F70" s="413">
        <f>'Volume Detail'!F9</f>
        <v>0</v>
      </c>
      <c r="G70" s="317" t="str">
        <f>'Volume Detail'!G9</f>
        <v>3x</v>
      </c>
      <c r="H70" s="434" t="str">
        <f>'Volume Detail'!I9</f>
        <v>— Disabled</v>
      </c>
    </row>
    <row r="71" spans="1:8" x14ac:dyDescent="0.25">
      <c r="A71" s="281"/>
      <c r="B71" s="431" t="s">
        <v>415</v>
      </c>
      <c r="C71" s="409" t="str">
        <f>'Volume Detail'!C10</f>
        <v>Two-Way Mirror</v>
      </c>
      <c r="D71" s="410">
        <f>'Volume Detail'!D10</f>
        <v>0</v>
      </c>
      <c r="E71" s="410">
        <f>'Volume Detail'!E10</f>
        <v>0</v>
      </c>
      <c r="F71" s="410">
        <f>'Volume Detail'!F10</f>
        <v>0</v>
      </c>
      <c r="G71" s="409" t="str">
        <f>'Volume Detail'!G10</f>
        <v>2x</v>
      </c>
      <c r="H71" s="432" t="str">
        <f>'Volume Detail'!I10</f>
        <v>— Disabled</v>
      </c>
    </row>
    <row r="72" spans="1:8" x14ac:dyDescent="0.25">
      <c r="A72" s="281"/>
      <c r="B72" s="433" t="s">
        <v>416</v>
      </c>
      <c r="C72" s="317" t="str">
        <f>'Volume Detail'!C11</f>
        <v>Dual Parity</v>
      </c>
      <c r="D72" s="413">
        <f>'Volume Detail'!D11</f>
        <v>0</v>
      </c>
      <c r="E72" s="413">
        <f>'Volume Detail'!E11</f>
        <v>0</v>
      </c>
      <c r="F72" s="413">
        <f>'Volume Detail'!F11</f>
        <v>0</v>
      </c>
      <c r="G72" s="317" t="str">
        <f>'Volume Detail'!G11</f>
        <v>parity</v>
      </c>
      <c r="H72" s="434" t="str">
        <f>'Volume Detail'!I11</f>
        <v>— Disabled</v>
      </c>
    </row>
    <row r="73" spans="1:8" x14ac:dyDescent="0.25">
      <c r="A73" s="281"/>
      <c r="B73" s="435" t="s">
        <v>274</v>
      </c>
      <c r="C73" s="416" t="str">
        <f>'Volume Detail'!C12</f>
        <v>Three-Way Mirror</v>
      </c>
      <c r="D73" s="417">
        <f>'Volume Detail'!D12</f>
        <v>0</v>
      </c>
      <c r="E73" s="417">
        <f>'Volume Detail'!E12</f>
        <v>0</v>
      </c>
      <c r="F73" s="417">
        <f>'Volume Detail'!F12</f>
        <v>0</v>
      </c>
      <c r="G73" s="416" t="str">
        <f>'Volume Detail'!G12</f>
        <v>3x</v>
      </c>
      <c r="H73" s="436" t="str">
        <f>'Volume Detail'!I12</f>
        <v>— Disabled</v>
      </c>
    </row>
    <row r="74" spans="1:8" x14ac:dyDescent="0.25">
      <c r="A74" s="281"/>
      <c r="B74" s="419" t="str">
        <f>IF('SOFS Planner'!$C$6="No","","SOFS-Node1-Vol")</f>
        <v/>
      </c>
      <c r="C74" s="352" t="str">
        <f>'Volume Detail'!C13</f>
        <v>Two-Way Mirror</v>
      </c>
      <c r="D74" s="437">
        <f>'Volume Detail'!D13</f>
        <v>0</v>
      </c>
      <c r="E74" s="437">
        <f>'Volume Detail'!E13</f>
        <v>0</v>
      </c>
      <c r="F74" s="437">
        <f>'Volume Detail'!F13</f>
        <v>0</v>
      </c>
      <c r="G74" s="352" t="str">
        <f>'Volume Detail'!G13</f>
        <v/>
      </c>
      <c r="H74" s="438" t="str">
        <f>'Volume Detail'!I13</f>
        <v>— Disabled</v>
      </c>
    </row>
    <row r="75" spans="1:8" x14ac:dyDescent="0.25">
      <c r="A75" s="281"/>
      <c r="B75" s="439" t="str">
        <f>IF('SOFS Planner'!$C$6="No","",IF('Volume Detail'!B14&lt;&gt;"","SOFS-Node2-Vol",""))</f>
        <v/>
      </c>
      <c r="C75" s="440" t="str">
        <f>IF(B75&lt;&gt;"",'Volume Detail'!C14,"")</f>
        <v/>
      </c>
      <c r="D75" s="441" t="str">
        <f>IF(B75&lt;&gt;"",'Volume Detail'!D14,"")</f>
        <v/>
      </c>
      <c r="E75" s="441" t="str">
        <f>IF(B75&lt;&gt;"",'Volume Detail'!E14,"")</f>
        <v/>
      </c>
      <c r="F75" s="441" t="str">
        <f>IF(B75&lt;&gt;"",'Volume Detail'!F14,"")</f>
        <v/>
      </c>
      <c r="G75" s="440" t="str">
        <f>IF(B75&lt;&gt;"",'Volume Detail'!G14,"")</f>
        <v/>
      </c>
      <c r="H75" s="440" t="str">
        <f>IF(B75&lt;&gt;"",'Volume Detail'!I14,"")</f>
        <v/>
      </c>
    </row>
    <row r="76" spans="1:8" x14ac:dyDescent="0.25">
      <c r="A76" s="281"/>
      <c r="B76" s="350" t="str">
        <f>IF('SOFS Planner'!$C$6="No","",IF('Volume Detail'!B15&lt;&gt;"","SOFS-Node3-Vol",""))</f>
        <v/>
      </c>
      <c r="C76" s="352" t="str">
        <f>IF(B76&lt;&gt;"",'Volume Detail'!C15,"")</f>
        <v/>
      </c>
      <c r="D76" s="437" t="str">
        <f>IF(B76&lt;&gt;"",'Volume Detail'!D15,"")</f>
        <v/>
      </c>
      <c r="E76" s="437" t="str">
        <f>IF(B76&lt;&gt;"",'Volume Detail'!E15,"")</f>
        <v/>
      </c>
      <c r="F76" s="437" t="str">
        <f>IF(B76&lt;&gt;"",'Volume Detail'!F15,"")</f>
        <v/>
      </c>
      <c r="G76" s="352" t="str">
        <f>IF(B76&lt;&gt;"",'Volume Detail'!G15,"")</f>
        <v/>
      </c>
      <c r="H76" s="352" t="str">
        <f>IF(B76&lt;&gt;"",'Volume Detail'!I15,"")</f>
        <v/>
      </c>
    </row>
    <row r="77" spans="1:8" ht="15.75" thickBot="1" x14ac:dyDescent="0.3">
      <c r="A77" s="281"/>
      <c r="B77" s="439" t="str">
        <f>IF('SOFS Planner'!$C$6="No","",IF('Volume Detail'!B16&lt;&gt;"","SOFS-Node4-Vol",""))</f>
        <v/>
      </c>
      <c r="C77" s="440" t="str">
        <f>IF(B77&lt;&gt;"",'Volume Detail'!C16,"")</f>
        <v/>
      </c>
      <c r="D77" s="441" t="str">
        <f>IF(B77&lt;&gt;"",'Volume Detail'!D16,"")</f>
        <v/>
      </c>
      <c r="E77" s="441" t="str">
        <f>IF(B77&lt;&gt;"",'Volume Detail'!E16,"")</f>
        <v/>
      </c>
      <c r="F77" s="441" t="str">
        <f>IF(B77&lt;&gt;"",'Volume Detail'!F16,"")</f>
        <v/>
      </c>
      <c r="G77" s="440" t="str">
        <f>IF(B77&lt;&gt;"",'Volume Detail'!G16,"")</f>
        <v/>
      </c>
      <c r="H77" s="440" t="str">
        <f>IF(B77&lt;&gt;"",'Volume Detail'!I16,"")</f>
        <v/>
      </c>
    </row>
    <row r="78" spans="1:8" x14ac:dyDescent="0.25">
      <c r="A78" s="281"/>
      <c r="B78" s="420" t="s">
        <v>275</v>
      </c>
      <c r="C78" s="420"/>
      <c r="D78" s="421">
        <f>'Volume Detail'!D23</f>
        <v>0</v>
      </c>
      <c r="E78" s="421">
        <f>'Volume Detail'!E23</f>
        <v>0</v>
      </c>
      <c r="F78" s="421">
        <f>'Volume Detail'!F23</f>
        <v>0</v>
      </c>
      <c r="G78" s="420"/>
      <c r="H78" s="442" t="str">
        <f>'Volume Detail'!I23</f>
        <v>0 of 0 PASS</v>
      </c>
    </row>
    <row r="79" spans="1:8" x14ac:dyDescent="0.25">
      <c r="A79" s="281"/>
      <c r="B79" s="515" t="s">
        <v>443</v>
      </c>
      <c r="C79" s="516"/>
      <c r="D79" s="516"/>
      <c r="E79" s="516"/>
      <c r="F79" s="516"/>
      <c r="G79" s="516"/>
      <c r="H79" s="516"/>
    </row>
    <row r="80" spans="1:8" x14ac:dyDescent="0.25">
      <c r="A80" s="281"/>
      <c r="B80" s="443"/>
    </row>
    <row r="81" spans="1:8" x14ac:dyDescent="0.25">
      <c r="A81" s="281"/>
      <c r="B81" s="525" t="s">
        <v>469</v>
      </c>
      <c r="C81" s="516"/>
      <c r="D81" s="516"/>
      <c r="E81" s="516"/>
      <c r="F81" s="516"/>
      <c r="G81" s="516"/>
      <c r="H81" s="516"/>
    </row>
    <row r="82" spans="1:8" x14ac:dyDescent="0.25">
      <c r="A82" s="281"/>
      <c r="B82" s="514" t="str">
        <f>IF('Workload Planner'!C8="No","# AVD-SessionHosts — Disabled (skip)","New-Volume -FriendlyName ""AVD-SessionHosts"" -Size "&amp;TEXT('Volume Detail'!E6,"0.00")&amp;"TB -StoragePoolFriendlyName S2D* -ResiliencySettingName "&amp;IF(OR('Volume Detail'!C6="Dual Parity"),"Parity","Mirror")&amp;IF(OR('Volume Detail'!C6="Dual Parity"),""," -NumberOfDataCopies "&amp;IF('Volume Detail'!C6="Three-Way Mirror","3","2")))</f>
        <v># AVD-SessionHosts — Disabled (skip)</v>
      </c>
      <c r="C82" s="515"/>
      <c r="D82" s="515"/>
      <c r="E82" s="515"/>
      <c r="F82" s="515"/>
      <c r="G82" s="515"/>
      <c r="H82" s="515"/>
    </row>
    <row r="83" spans="1:8" x14ac:dyDescent="0.25">
      <c r="A83" s="281"/>
      <c r="B83" s="514" t="str">
        <f>IF('Workload Planner'!C8="No","# AVD-Profiles — Disabled (skip)","New-Volume -FriendlyName ""AVD-Profiles"" -Size "&amp;TEXT('Volume Detail'!E7,"0.00")&amp;"TB -StoragePoolFriendlyName S2D* -ResiliencySettingName "&amp;IF(OR('Volume Detail'!C7="Dual Parity"),"Parity","Mirror")&amp;IF(OR('Volume Detail'!C7="Dual Parity"),""," -NumberOfDataCopies "&amp;IF('Volume Detail'!C7="Three-Way Mirror","3","2")))</f>
        <v># AVD-Profiles — Disabled (skip)</v>
      </c>
      <c r="C83" s="515"/>
      <c r="D83" s="515"/>
      <c r="E83" s="515"/>
      <c r="F83" s="515"/>
      <c r="G83" s="515"/>
      <c r="H83" s="515"/>
    </row>
    <row r="84" spans="1:8" x14ac:dyDescent="0.25">
      <c r="A84" s="281"/>
      <c r="B84" s="514" t="str">
        <f>IF('Workload Planner'!C44="No","# AKS-Cluster — Disabled (skip)","New-Volume -FriendlyName ""AKS-Cluster"" -Size "&amp;TEXT('Volume Detail'!E8,"0.00")&amp;"TB -StoragePoolFriendlyName S2D* -ResiliencySettingName "&amp;IF(OR('Volume Detail'!C8="Dual Parity"),"Parity","Mirror")&amp;IF(OR('Volume Detail'!C8="Dual Parity"),""," -NumberOfDataCopies "&amp;IF('Volume Detail'!C8="Three-Way Mirror","3","2")))</f>
        <v># AKS-Cluster — Disabled (skip)</v>
      </c>
      <c r="C84" s="515"/>
      <c r="D84" s="515"/>
      <c r="E84" s="515"/>
      <c r="F84" s="515"/>
      <c r="G84" s="515"/>
      <c r="H84" s="515"/>
    </row>
    <row r="85" spans="1:8" x14ac:dyDescent="0.25">
      <c r="A85" s="281"/>
      <c r="B85" s="514" t="str">
        <f>IF('Workload Planner'!C66="No","# Infra-VMs — Disabled (skip)","New-Volume -FriendlyName ""Infra-VMs"" -Size "&amp;TEXT('Volume Detail'!E9,"0.00")&amp;"TB -StoragePoolFriendlyName S2D* -ResiliencySettingName "&amp;IF(OR('Volume Detail'!C9="Dual Parity"),"Parity","Mirror")&amp;IF(OR('Volume Detail'!C9="Dual Parity"),""," -NumberOfDataCopies "&amp;IF('Volume Detail'!C9="Three-Way Mirror","3","2")))</f>
        <v># Infra-VMs — Disabled (skip)</v>
      </c>
      <c r="C85" s="515"/>
      <c r="D85" s="515"/>
      <c r="E85" s="515"/>
      <c r="F85" s="515"/>
      <c r="G85" s="515"/>
      <c r="H85" s="515"/>
    </row>
    <row r="86" spans="1:8" x14ac:dyDescent="0.25">
      <c r="A86" s="281"/>
      <c r="B86" s="514" t="str">
        <f>IF('Workload Planner'!C83="No","# DevTest-VMs — Disabled (skip)","New-Volume -FriendlyName ""DevTest-VMs"" -Size "&amp;TEXT('Volume Detail'!E10,"0.00")&amp;"TB -StoragePoolFriendlyName S2D* -ResiliencySettingName "&amp;IF(OR('Volume Detail'!C10="Dual Parity"),"Parity","Mirror")&amp;IF(OR('Volume Detail'!C10="Dual Parity"),""," -NumberOfDataCopies "&amp;IF('Volume Detail'!C10="Three-Way Mirror","3","2")))</f>
        <v># DevTest-VMs — Disabled (skip)</v>
      </c>
      <c r="C86" s="515"/>
      <c r="D86" s="515"/>
      <c r="E86" s="515"/>
      <c r="F86" s="515"/>
      <c r="G86" s="515"/>
      <c r="H86" s="515"/>
    </row>
    <row r="87" spans="1:8" x14ac:dyDescent="0.25">
      <c r="A87" s="281"/>
      <c r="B87" s="514" t="str">
        <f>IF('Workload Planner'!C99="No","# Backup-Archive — Disabled (skip)","New-Volume -FriendlyName ""Backup-Archive"" -Size "&amp;TEXT('Volume Detail'!E11,"0.00")&amp;"TB -StoragePoolFriendlyName S2D* -ResiliencySettingName "&amp;IF(OR('Volume Detail'!C11="Dual Parity"),"Parity","Mirror")&amp;IF(OR('Volume Detail'!C11="Dual Parity"),""," -NumberOfDataCopies "&amp;IF('Volume Detail'!C11="Three-Way Mirror","3","2")))</f>
        <v># Backup-Archive — Disabled (skip)</v>
      </c>
      <c r="C87" s="515"/>
      <c r="D87" s="515"/>
      <c r="E87" s="515"/>
      <c r="F87" s="515"/>
      <c r="G87" s="515"/>
      <c r="H87" s="515"/>
    </row>
    <row r="88" spans="1:8" x14ac:dyDescent="0.25">
      <c r="A88" s="281"/>
      <c r="B88" s="514" t="str">
        <f>IF('Workload Planner'!C106="No","# Custom — Disabled (skip)","New-Volume -FriendlyName ""Custom"" -Size "&amp;TEXT('Volume Detail'!E12,"0.00")&amp;"TB -StoragePoolFriendlyName S2D* -ResiliencySettingName "&amp;IF(OR('Volume Detail'!C12="Dual Parity"),"Parity","Mirror")&amp;IF(OR('Volume Detail'!C12="Dual Parity"),""," -NumberOfDataCopies "&amp;IF('Volume Detail'!C12="Three-Way Mirror","3","2")))</f>
        <v># Custom — Disabled (skip)</v>
      </c>
      <c r="C88" s="515"/>
      <c r="D88" s="515"/>
      <c r="E88" s="515"/>
      <c r="F88" s="515"/>
      <c r="G88" s="515"/>
      <c r="H88" s="515"/>
    </row>
    <row r="89" spans="1:8" ht="60.75" x14ac:dyDescent="0.25">
      <c r="A89" s="281"/>
      <c r="B89" s="444" t="str">
        <f>IF(OR('SOFS Planner'!$C$6="No",'Volume Detail'!D13=0),"# SOFS-Node1-Vol — Disabled (skip)","New-Volume -FriendlyName ""SOFS-Node1-Vol"" -Size "&amp;TEXT('Volume Detail'!E13,"0.00")&amp;"TB -StoragePoolFriendlyName S2D* -ResiliencySettingName "&amp;IF('Volume Detail'!C13="Dual Parity","Parity","Mirror")&amp;IF('Volume Detail'!C13="Dual Parity",""," -NumberOfDataCopies "&amp;IF('Volume Detail'!C13="Three-Way Mirror","3","2")))</f>
        <v># SOFS-Node1-Vol — Disabled (skip)</v>
      </c>
      <c r="C89" s="443"/>
      <c r="D89" s="443"/>
      <c r="E89" s="443"/>
      <c r="F89" s="443"/>
      <c r="G89" s="443"/>
      <c r="H89" s="443"/>
    </row>
    <row r="90" spans="1:8" ht="60.75" x14ac:dyDescent="0.25">
      <c r="A90" s="281"/>
      <c r="B90" s="444" t="str">
        <f>IF(OR('SOFS Planner'!$C$6="No",'Volume Detail'!D14=0),"# SOFS-Node2-Vol — Disabled (skip)","New-Volume -FriendlyName ""SOFS-Node2-Vol"" -Size "&amp;TEXT('Volume Detail'!E14,"0.00")&amp;"TB -StoragePoolFriendlyName S2D* -ResiliencySettingName "&amp;IF('Volume Detail'!C14="Dual Parity","Parity","Mirror")&amp;IF('Volume Detail'!C14="Dual Parity",""," -NumberOfDataCopies "&amp;IF('Volume Detail'!C14="Three-Way Mirror","3","2")))</f>
        <v># SOFS-Node2-Vol — Disabled (skip)</v>
      </c>
      <c r="C90" s="443"/>
      <c r="D90" s="443"/>
      <c r="E90" s="443"/>
      <c r="F90" s="443"/>
      <c r="G90" s="443"/>
      <c r="H90" s="443"/>
    </row>
    <row r="91" spans="1:8" ht="60.75" x14ac:dyDescent="0.25">
      <c r="A91" s="281"/>
      <c r="B91" s="444" t="str">
        <f>IF(OR('SOFS Planner'!$C$6="No",'Volume Detail'!D15=0),"# SOFS-Node3-Vol — Disabled (skip)","New-Volume -FriendlyName ""SOFS-Node3-Vol"" -Size "&amp;TEXT('Volume Detail'!E15,"0.00")&amp;"TB -StoragePoolFriendlyName S2D* -ResiliencySettingName "&amp;IF('Volume Detail'!C15="Dual Parity","Parity","Mirror")&amp;IF('Volume Detail'!C15="Dual Parity",""," -NumberOfDataCopies "&amp;IF('Volume Detail'!C15="Three-Way Mirror","3","2")))</f>
        <v># SOFS-Node3-Vol — Disabled (skip)</v>
      </c>
      <c r="C91" s="443"/>
      <c r="D91" s="443"/>
      <c r="E91" s="443"/>
      <c r="F91" s="443"/>
      <c r="G91" s="443"/>
      <c r="H91" s="443"/>
    </row>
    <row r="92" spans="1:8" x14ac:dyDescent="0.25">
      <c r="A92" s="281"/>
      <c r="B92" s="444" t="str">
        <f>IF(OR('SOFS Planner'!$C$6="No",'Volume Detail'!D16=0),"# SOFS-Node4-Vol — Disabled (skip)","New-Volume -FriendlyName ""SOFS-Node4-Vol"" -Size "&amp;TEXT('Volume Detail'!E16,"0.00")&amp;"TB -StoragePoolFriendlyName S2D* -ResiliencySettingName "&amp;IF('Volume Detail'!C16="Dual Parity","Parity","Mirror")&amp;IF('Volume Detail'!C16="Dual Parity",""," -NumberOfDataCopies "&amp;IF('Volume Detail'!C16="Three-Way Mirror","3","2")))</f>
        <v># SOFS-Node4-Vol — Disabled (skip)</v>
      </c>
      <c r="C92" s="443"/>
      <c r="D92" s="443"/>
      <c r="E92" s="443"/>
      <c r="F92" s="443"/>
      <c r="G92" s="443"/>
      <c r="H92" s="443"/>
    </row>
    <row r="93" spans="1:8" x14ac:dyDescent="0.25">
      <c r="A93" s="281"/>
      <c r="B93" s="515" t="s">
        <v>470</v>
      </c>
      <c r="C93" s="516"/>
      <c r="D93" s="516"/>
      <c r="E93" s="516"/>
      <c r="F93" s="516"/>
      <c r="G93" s="516"/>
      <c r="H93" s="516"/>
    </row>
    <row r="94" spans="1:8" x14ac:dyDescent="0.25">
      <c r="A94" s="281"/>
      <c r="B94" s="443"/>
    </row>
    <row r="95" spans="1:8" x14ac:dyDescent="0.25">
      <c r="A95" s="281"/>
      <c r="B95" s="443"/>
    </row>
    <row r="96" spans="1:8" x14ac:dyDescent="0.25">
      <c r="A96" s="281"/>
      <c r="B96" s="281"/>
      <c r="C96" s="281"/>
      <c r="D96" s="281"/>
      <c r="E96" s="281"/>
      <c r="F96" s="281"/>
      <c r="G96" s="281"/>
      <c r="H96" s="281"/>
    </row>
    <row r="97" spans="1:8" x14ac:dyDescent="0.25">
      <c r="A97" s="281"/>
      <c r="B97" s="520" t="s">
        <v>444</v>
      </c>
      <c r="C97" s="521"/>
      <c r="D97" s="521"/>
      <c r="E97" s="521"/>
      <c r="F97" s="521"/>
      <c r="G97" s="521"/>
      <c r="H97" s="521"/>
    </row>
    <row r="98" spans="1:8" x14ac:dyDescent="0.25">
      <c r="A98" s="281"/>
      <c r="B98" s="267" t="s">
        <v>445</v>
      </c>
      <c r="C98" s="281"/>
      <c r="D98" s="281"/>
      <c r="E98" s="281"/>
      <c r="F98" s="281"/>
      <c r="G98" s="281"/>
      <c r="H98" s="281"/>
    </row>
    <row r="99" spans="1:8" x14ac:dyDescent="0.25">
      <c r="A99" s="281"/>
      <c r="B99" s="382" t="s">
        <v>446</v>
      </c>
      <c r="C99" s="383">
        <f>'Drive Layout Comparison'!C7</f>
        <v>4</v>
      </c>
      <c r="D99" s="384" t="s">
        <v>425</v>
      </c>
      <c r="E99" s="281"/>
      <c r="F99" s="281"/>
      <c r="G99" s="281"/>
      <c r="H99" s="281"/>
    </row>
    <row r="100" spans="1:8" x14ac:dyDescent="0.25">
      <c r="A100" s="281"/>
      <c r="B100" s="385" t="s">
        <v>177</v>
      </c>
      <c r="C100" s="387">
        <f>'Drive Layout Comparison'!C8</f>
        <v>3.84</v>
      </c>
      <c r="D100" s="307" t="s">
        <v>87</v>
      </c>
      <c r="E100" s="281"/>
      <c r="F100" s="281"/>
      <c r="G100" s="281"/>
      <c r="H100" s="281"/>
    </row>
    <row r="101" spans="1:8" x14ac:dyDescent="0.25">
      <c r="A101" s="281"/>
      <c r="B101" s="385" t="s">
        <v>195</v>
      </c>
      <c r="C101" s="387">
        <f>'Drive Layout Comparison'!F14</f>
        <v>10.5984</v>
      </c>
      <c r="D101" s="307" t="s">
        <v>87</v>
      </c>
      <c r="E101" s="281"/>
      <c r="F101" s="281"/>
      <c r="G101" s="281"/>
      <c r="H101" s="281"/>
    </row>
    <row r="102" spans="1:8" x14ac:dyDescent="0.25">
      <c r="A102" s="281"/>
      <c r="B102" s="397" t="s">
        <v>447</v>
      </c>
      <c r="C102" s="445">
        <f>'Drive Layout Comparison'!G14</f>
        <v>31.045200000000001</v>
      </c>
      <c r="D102" s="305" t="s">
        <v>87</v>
      </c>
      <c r="E102" s="281"/>
      <c r="F102" s="281"/>
      <c r="G102" s="281"/>
      <c r="H102" s="281"/>
    </row>
    <row r="103" spans="1:8" x14ac:dyDescent="0.25">
      <c r="A103" s="281"/>
      <c r="B103" s="281"/>
      <c r="C103" s="281"/>
      <c r="D103" s="281"/>
      <c r="E103" s="281"/>
      <c r="F103" s="281"/>
      <c r="G103" s="281"/>
      <c r="H103" s="281"/>
    </row>
    <row r="104" spans="1:8" x14ac:dyDescent="0.25">
      <c r="A104" s="281"/>
      <c r="B104" s="267" t="s">
        <v>448</v>
      </c>
      <c r="C104" s="281"/>
      <c r="D104" s="281"/>
      <c r="E104" s="281"/>
      <c r="F104" s="281"/>
      <c r="G104" s="281"/>
      <c r="H104" s="281"/>
    </row>
    <row r="105" spans="1:8" x14ac:dyDescent="0.25">
      <c r="A105" s="281"/>
      <c r="B105" s="382" t="s">
        <v>449</v>
      </c>
      <c r="C105" s="383">
        <f>'Drive Layout Comparison'!B21</f>
        <v>10</v>
      </c>
      <c r="D105" s="384" t="s">
        <v>425</v>
      </c>
      <c r="E105" s="281"/>
      <c r="F105" s="281"/>
      <c r="G105" s="281"/>
      <c r="H105" s="281"/>
    </row>
    <row r="106" spans="1:8" x14ac:dyDescent="0.25">
      <c r="A106" s="281"/>
      <c r="B106" s="385" t="s">
        <v>450</v>
      </c>
      <c r="C106" s="387">
        <f>'Drive Layout Comparison'!C21</f>
        <v>1.54</v>
      </c>
      <c r="D106" s="307" t="s">
        <v>87</v>
      </c>
      <c r="E106" s="281"/>
      <c r="F106" s="281"/>
      <c r="G106" s="281"/>
      <c r="H106" s="281"/>
    </row>
    <row r="107" spans="1:8" x14ac:dyDescent="0.25">
      <c r="A107" s="281"/>
      <c r="B107" s="385" t="s">
        <v>195</v>
      </c>
      <c r="C107" s="387">
        <f>'Drive Layout Comparison'!F21</f>
        <v>4.2504</v>
      </c>
      <c r="D107" s="307" t="s">
        <v>87</v>
      </c>
      <c r="E107" s="281"/>
      <c r="F107" s="281"/>
      <c r="G107" s="281"/>
      <c r="H107" s="281"/>
    </row>
    <row r="108" spans="1:8" x14ac:dyDescent="0.25">
      <c r="A108" s="281"/>
      <c r="B108" s="385" t="s">
        <v>447</v>
      </c>
      <c r="C108" s="387">
        <f>'Drive Layout Comparison'!G21</f>
        <v>37.503600000000006</v>
      </c>
      <c r="D108" s="307" t="s">
        <v>87</v>
      </c>
      <c r="E108" s="281"/>
      <c r="F108" s="281"/>
      <c r="G108" s="281"/>
      <c r="H108" s="281"/>
    </row>
    <row r="109" spans="1:8" x14ac:dyDescent="0.25">
      <c r="A109" s="281"/>
      <c r="B109" s="446" t="s">
        <v>451</v>
      </c>
      <c r="C109" s="447">
        <f>'Drive Layout Comparison'!H21</f>
        <v>6.4584000000000046</v>
      </c>
      <c r="D109" s="448" t="s">
        <v>452</v>
      </c>
      <c r="E109" s="281"/>
      <c r="F109" s="281"/>
      <c r="G109" s="281"/>
      <c r="H109" s="281"/>
    </row>
    <row r="110" spans="1:8" x14ac:dyDescent="0.25">
      <c r="A110" s="281"/>
      <c r="B110" s="515" t="s">
        <v>453</v>
      </c>
      <c r="C110" s="516"/>
      <c r="D110" s="516"/>
      <c r="E110" s="516"/>
      <c r="F110" s="516"/>
      <c r="G110" s="516"/>
      <c r="H110" s="516"/>
    </row>
    <row r="111" spans="1:8" x14ac:dyDescent="0.25">
      <c r="A111" s="281"/>
      <c r="B111" s="281"/>
      <c r="C111" s="281"/>
      <c r="D111" s="281"/>
      <c r="E111" s="281"/>
      <c r="F111" s="281"/>
      <c r="G111" s="281"/>
      <c r="H111" s="281"/>
    </row>
    <row r="112" spans="1:8" x14ac:dyDescent="0.25">
      <c r="A112" s="281"/>
      <c r="B112" s="520" t="s">
        <v>454</v>
      </c>
      <c r="C112" s="521"/>
      <c r="D112" s="521"/>
      <c r="E112" s="521"/>
      <c r="F112" s="521"/>
      <c r="G112" s="521"/>
      <c r="H112" s="521"/>
    </row>
    <row r="113" spans="1:8" x14ac:dyDescent="0.25">
      <c r="A113" s="281"/>
      <c r="B113" s="267" t="s">
        <v>140</v>
      </c>
      <c r="C113" s="522" t="str">
        <f>"Microsoft recommends volume count as a multiple of your node count ("&amp;'Hardware Inputs'!C8&amp;") for balanced data distribution across nodes."</f>
        <v>Microsoft recommends volume count as a multiple of your node count (3) for balanced data distribution across nodes.</v>
      </c>
      <c r="D113" s="516"/>
      <c r="E113" s="516"/>
      <c r="F113" s="516"/>
      <c r="G113" s="516"/>
      <c r="H113" s="516"/>
    </row>
    <row r="114" spans="1:8" x14ac:dyDescent="0.25">
      <c r="A114" s="281"/>
      <c r="B114" s="449"/>
      <c r="C114" s="512" t="str">
        <f>"Your current volume count: "&amp;'Workload Planner'!C126&amp;" volumes across "&amp;'Hardware Inputs'!C8&amp;" nodes. "&amp;IF(MOD('Workload Planner'!C126,'Hardware Inputs'!C8)=0,"✓ Multiple of node count.","Consider adjusting for balance.")</f>
        <v>Your current volume count: 0 volumes across 3 nodes. ✓ Multiple of node count.</v>
      </c>
      <c r="D114" s="513"/>
      <c r="E114" s="513"/>
      <c r="F114" s="513"/>
      <c r="G114" s="513"/>
      <c r="H114" s="513"/>
    </row>
    <row r="115" spans="1:8" x14ac:dyDescent="0.25">
      <c r="A115" s="281"/>
      <c r="B115" s="267" t="s">
        <v>455</v>
      </c>
      <c r="C115" s="522" t="str">
        <f>"Keep pool utilization below 70% to ensure enough free space for automatic drive failure repair. Current: "&amp;TEXT('Workload Planner'!C129,"0.0%")&amp;"."</f>
        <v>Keep pool utilization below 70% to ensure enough free space for automatic drive failure repair. Current: 0.0%.</v>
      </c>
      <c r="D115" s="516"/>
      <c r="E115" s="516"/>
      <c r="F115" s="516"/>
      <c r="G115" s="516"/>
      <c r="H115" s="516"/>
    </row>
    <row r="116" spans="1:8" x14ac:dyDescent="0.25">
      <c r="A116" s="281"/>
      <c r="B116" s="449"/>
      <c r="C116" s="512" t="str">
        <f>IF('Workload Planner'!C129&gt;0.7,"⚠ Above 70% — limited rebuild headroom. Consider adding drives or reducing workloads.","✓ Healthy headroom for drive failure repair.")</f>
        <v>✓ Healthy headroom for drive failure repair.</v>
      </c>
      <c r="D116" s="513"/>
      <c r="E116" s="513"/>
      <c r="F116" s="513"/>
      <c r="G116" s="513"/>
      <c r="H116" s="513"/>
    </row>
    <row r="117" spans="1:8" x14ac:dyDescent="0.25">
      <c r="A117" s="281"/>
      <c r="B117" s="267" t="s">
        <v>456</v>
      </c>
      <c r="C117" s="522" t="str">
        <f>"Default provisioning: "&amp;'Hardware Inputs'!C13&amp;". Fixed (thick) is STRONGLY recommended for production. Thin risks pool exhaustion — see Thin Provisioning tab."</f>
        <v>Default provisioning: Fixed (Thick). Fixed (thick) is STRONGLY recommended for production. Thin risks pool exhaustion — see Thin Provisioning tab.</v>
      </c>
      <c r="D117" s="516"/>
      <c r="E117" s="516"/>
      <c r="F117" s="516"/>
      <c r="G117" s="516"/>
      <c r="H117" s="516"/>
    </row>
    <row r="118" spans="1:8" x14ac:dyDescent="0.25">
      <c r="A118" s="281"/>
      <c r="B118" s="449"/>
      <c r="C118" s="512" t="str">
        <f>IF('Hardware Inputs'!C13="Fixed (Thick)","✓ Using recommended Fixed provisioning.","⚠ Thin provisioning detected — monitor pool usage closely. Set WAC alert at 60%.")</f>
        <v>✓ Using recommended Fixed provisioning.</v>
      </c>
      <c r="D118" s="513"/>
      <c r="E118" s="513"/>
      <c r="F118" s="513"/>
      <c r="G118" s="513"/>
      <c r="H118" s="513"/>
    </row>
    <row r="119" spans="1:8" x14ac:dyDescent="0.25">
      <c r="A119" s="281"/>
      <c r="B119" s="267" t="s">
        <v>457</v>
      </c>
      <c r="C119" s="522" t="str">
        <f>"Size VM workloads to fit on "&amp;'Hardware Inputs'!C8-1&amp;" of "&amp;'Hardware Inputs'!C8&amp;" nodes. If 1 node goes down, VMs must failover. This is CPU/RAM planning, separate from storage."</f>
        <v>Size VM workloads to fit on 2 of 3 nodes. If 1 node goes down, VMs must failover. This is CPU/RAM planning, separate from storage.</v>
      </c>
      <c r="D119" s="516"/>
      <c r="E119" s="516"/>
      <c r="F119" s="516"/>
      <c r="G119" s="516"/>
      <c r="H119" s="516"/>
    </row>
    <row r="120" spans="1:8" x14ac:dyDescent="0.25">
      <c r="A120" s="281"/>
      <c r="B120" s="449"/>
      <c r="C120" s="512" t="str">
        <f>"Plan for "&amp;'Hardware Inputs'!C8-1&amp;"-node compute capacity even though storage spans all "&amp;'Hardware Inputs'!C8&amp;" nodes."</f>
        <v>Plan for 2-node compute capacity even though storage spans all 3 nodes.</v>
      </c>
      <c r="D120" s="513"/>
      <c r="E120" s="513"/>
      <c r="F120" s="513"/>
      <c r="G120" s="513"/>
      <c r="H120" s="513"/>
    </row>
    <row r="121" spans="1:8" x14ac:dyDescent="0.25">
      <c r="A121" s="281"/>
      <c r="B121" s="267" t="s">
        <v>458</v>
      </c>
      <c r="C121" s="522" t="str">
        <f>"Maximum single volume size: 64 TB. Current largest volume: "&amp;TEXT(MAX('Workload Planner'!C14,'Workload Planner'!C23,'Workload Planner'!C54,'Workload Planner'!C70,'Workload Planner'!C87,'Workload Planner'!C102,'Workload Planner'!C109),"0.00")&amp;" TB."</f>
        <v>Maximum single volume size: 64 TB. Current largest volume: 0.00 TB.</v>
      </c>
      <c r="D121" s="516"/>
      <c r="E121" s="516"/>
      <c r="F121" s="516"/>
      <c r="G121" s="516"/>
      <c r="H121" s="516"/>
    </row>
    <row r="122" spans="1:8" x14ac:dyDescent="0.25">
      <c r="A122" s="281"/>
      <c r="B122" s="281"/>
      <c r="C122" s="523" t="str">
        <f>IF(MAX('Workload Planner'!C14,'Workload Planner'!C23,'Workload Planner'!C54,'Workload Planner'!C70,'Workload Planner'!C87,'Workload Planner'!C102,'Workload Planner'!C109)&gt;64,"⚠ WARNING: A volume exceeds 64 TB! Split into smaller volumes.","✓ All volumes within 64 TB limit.")</f>
        <v>✓ All volumes within 64 TB limit.</v>
      </c>
      <c r="D122" s="516"/>
      <c r="E122" s="516"/>
      <c r="F122" s="516"/>
      <c r="G122" s="516"/>
      <c r="H122" s="516"/>
    </row>
    <row r="123" spans="1:8" x14ac:dyDescent="0.25">
      <c r="A123" s="281"/>
      <c r="B123" s="281"/>
      <c r="C123" s="281"/>
      <c r="D123" s="281"/>
      <c r="E123" s="281"/>
      <c r="F123" s="281"/>
      <c r="G123" s="281"/>
      <c r="H123" s="281"/>
    </row>
    <row r="124" spans="1:8" x14ac:dyDescent="0.25">
      <c r="A124" s="281"/>
      <c r="B124" s="450" t="s">
        <v>557</v>
      </c>
      <c r="C124" s="451"/>
      <c r="D124" s="451"/>
      <c r="E124" s="451"/>
      <c r="F124" s="451"/>
      <c r="G124" s="451"/>
      <c r="H124" s="451"/>
    </row>
    <row r="125" spans="1:8" x14ac:dyDescent="0.25">
      <c r="A125" s="281"/>
      <c r="B125" s="267" t="s">
        <v>558</v>
      </c>
      <c r="C125" s="281"/>
      <c r="D125" s="281"/>
      <c r="E125" s="281"/>
      <c r="F125" s="281"/>
      <c r="G125" s="281"/>
      <c r="H125" s="281"/>
    </row>
    <row r="126" spans="1:8" x14ac:dyDescent="0.25">
      <c r="A126" s="281"/>
      <c r="B126" s="129" t="s">
        <v>559</v>
      </c>
      <c r="C126" s="452">
        <f>'Hardware Inputs'!C29</f>
        <v>32</v>
      </c>
      <c r="D126" s="129" t="s">
        <v>473</v>
      </c>
      <c r="E126" s="281"/>
      <c r="F126" s="281"/>
      <c r="G126" s="281"/>
      <c r="H126" s="281"/>
    </row>
    <row r="127" spans="1:8" x14ac:dyDescent="0.25">
      <c r="A127" s="281"/>
      <c r="B127" s="129" t="s">
        <v>560</v>
      </c>
      <c r="C127" s="452" t="str">
        <f>'Hardware Inputs'!C30</f>
        <v>Yes</v>
      </c>
      <c r="D127" s="281"/>
      <c r="E127" s="281"/>
      <c r="F127" s="281"/>
      <c r="G127" s="281"/>
      <c r="H127" s="281"/>
    </row>
    <row r="128" spans="1:8" x14ac:dyDescent="0.25">
      <c r="B128" s="129" t="s">
        <v>561</v>
      </c>
      <c r="C128" s="277">
        <f>'Hardware Inputs'!C35</f>
        <v>64</v>
      </c>
      <c r="D128" s="129" t="s">
        <v>484</v>
      </c>
    </row>
    <row r="129" spans="2:6" x14ac:dyDescent="0.25">
      <c r="B129" s="129" t="s">
        <v>562</v>
      </c>
      <c r="C129" s="452">
        <f>'Hardware Inputs'!C31</f>
        <v>256</v>
      </c>
      <c r="D129" s="129" t="s">
        <v>563</v>
      </c>
      <c r="E129" s="124" t="str">
        <f>"("&amp;'Hardware Inputs'!C32&amp;" GB reserved for host OS)"</f>
        <v>(32 GB reserved for host OS)</v>
      </c>
    </row>
    <row r="130" spans="2:6" x14ac:dyDescent="0.25">
      <c r="B130" s="129" t="s">
        <v>564</v>
      </c>
      <c r="C130" s="277">
        <f>'Hardware Inputs'!C36</f>
        <v>224</v>
      </c>
      <c r="D130" s="129" t="s">
        <v>126</v>
      </c>
    </row>
    <row r="132" spans="2:6" x14ac:dyDescent="0.25">
      <c r="B132" s="267" t="s">
        <v>565</v>
      </c>
    </row>
    <row r="133" spans="2:6" x14ac:dyDescent="0.25">
      <c r="B133" s="129" t="s">
        <v>566</v>
      </c>
      <c r="C133" s="453">
        <f>'Hardware Inputs'!C37</f>
        <v>192</v>
      </c>
      <c r="D133" s="129" t="s">
        <v>484</v>
      </c>
      <c r="E133" s="124" t="str">
        <f>'Hardware Inputs'!C8&amp;" nodes × "&amp;'Hardware Inputs'!C35&amp;" vCPU"</f>
        <v>3 nodes × 64 vCPU</v>
      </c>
    </row>
    <row r="134" spans="2:6" x14ac:dyDescent="0.25">
      <c r="B134" s="129" t="s">
        <v>567</v>
      </c>
      <c r="C134" s="453">
        <f>'Hardware Inputs'!C38</f>
        <v>672</v>
      </c>
      <c r="D134" s="129" t="s">
        <v>126</v>
      </c>
      <c r="E134" s="124" t="str">
        <f>'Hardware Inputs'!C8&amp;" nodes × "&amp;'Hardware Inputs'!C36&amp;" GB"</f>
        <v>3 nodes × 224 GB</v>
      </c>
    </row>
    <row r="135" spans="2:6" x14ac:dyDescent="0.25">
      <c r="B135" s="454" t="s">
        <v>568</v>
      </c>
      <c r="C135" s="455">
        <f>'Hardware Inputs'!C39</f>
        <v>128</v>
      </c>
      <c r="D135" s="456" t="s">
        <v>484</v>
      </c>
    </row>
    <row r="136" spans="2:6" x14ac:dyDescent="0.25">
      <c r="B136" s="454" t="s">
        <v>569</v>
      </c>
      <c r="C136" s="455">
        <f>'Hardware Inputs'!C40</f>
        <v>448</v>
      </c>
      <c r="D136" s="456" t="s">
        <v>126</v>
      </c>
    </row>
    <row r="138" spans="2:6" x14ac:dyDescent="0.25">
      <c r="B138" s="267" t="s">
        <v>570</v>
      </c>
    </row>
    <row r="139" spans="2:6" x14ac:dyDescent="0.25">
      <c r="B139" s="342" t="s">
        <v>431</v>
      </c>
      <c r="C139" s="343" t="s">
        <v>484</v>
      </c>
      <c r="D139" s="343" t="s">
        <v>571</v>
      </c>
      <c r="E139" s="343" t="s">
        <v>648</v>
      </c>
      <c r="F139" s="343" t="s">
        <v>647</v>
      </c>
    </row>
    <row r="140" spans="2:6" x14ac:dyDescent="0.25">
      <c r="B140" s="344" t="s">
        <v>622</v>
      </c>
      <c r="C140" s="345">
        <f>'Workload Planner'!C35</f>
        <v>0</v>
      </c>
      <c r="D140" s="345">
        <f>'Workload Planner'!C36</f>
        <v>0</v>
      </c>
      <c r="E140" s="345" t="str">
        <f>'Workload Planner'!C29</f>
        <v>4:1</v>
      </c>
      <c r="F140" s="345">
        <f>'Workload Planner'!C37</f>
        <v>0</v>
      </c>
    </row>
    <row r="141" spans="2:6" x14ac:dyDescent="0.25">
      <c r="B141" s="346" t="s">
        <v>573</v>
      </c>
      <c r="C141" s="347">
        <f>'Workload Planner'!C62</f>
        <v>0</v>
      </c>
      <c r="D141" s="347">
        <f>IF('Workload Planner'!C44="No",0,('Workload Planner'!C47*'Workload Planner'!C58)+('Workload Planner'!C48*'Workload Planner'!C60))</f>
        <v>0</v>
      </c>
      <c r="E141" s="347" t="str">
        <f>'Workload Planner'!C61</f>
        <v>4:1</v>
      </c>
      <c r="F141" s="347">
        <f>'Workload Planner'!C63</f>
        <v>0</v>
      </c>
    </row>
    <row r="142" spans="2:6" x14ac:dyDescent="0.25">
      <c r="B142" s="344" t="s">
        <v>574</v>
      </c>
      <c r="C142" s="345">
        <f>'Workload Planner'!C76</f>
        <v>0</v>
      </c>
      <c r="D142" s="345">
        <f>IF('Workload Planner'!C66="No",0,'Workload Planner'!C67*'Workload Planner'!C74)</f>
        <v>0</v>
      </c>
      <c r="E142" s="345" t="str">
        <f>'Workload Planner'!C75</f>
        <v>4:1</v>
      </c>
      <c r="F142" s="345">
        <f>'Workload Planner'!C77</f>
        <v>0</v>
      </c>
    </row>
    <row r="143" spans="2:6" x14ac:dyDescent="0.25">
      <c r="B143" s="348" t="s">
        <v>575</v>
      </c>
      <c r="C143" s="349">
        <f>'Workload Planner'!C93</f>
        <v>0</v>
      </c>
      <c r="D143" s="349">
        <f>IF('Workload Planner'!C83="No",0,'Workload Planner'!C84*'Workload Planner'!C91)</f>
        <v>0</v>
      </c>
      <c r="E143" s="349" t="str">
        <f>'Workload Planner'!C92</f>
        <v>4:1</v>
      </c>
      <c r="F143" s="349">
        <f>'Workload Planner'!C94</f>
        <v>0</v>
      </c>
    </row>
    <row r="144" spans="2:6" ht="15.75" thickBot="1" x14ac:dyDescent="0.3">
      <c r="B144" s="350" t="s">
        <v>895</v>
      </c>
      <c r="C144" s="352">
        <f>'SOFS Planner'!C46</f>
        <v>0</v>
      </c>
      <c r="D144" s="352">
        <f>'SOFS Planner'!C47</f>
        <v>0</v>
      </c>
      <c r="E144" s="353">
        <v>4.2361111111111113E-2</v>
      </c>
      <c r="F144" s="352">
        <f>C144</f>
        <v>0</v>
      </c>
    </row>
    <row r="145" spans="2:6" x14ac:dyDescent="0.25">
      <c r="B145" s="354" t="s">
        <v>275</v>
      </c>
      <c r="C145" s="457">
        <f>SUM(C140:C144)</f>
        <v>0</v>
      </c>
      <c r="D145" s="457">
        <f>SUM(D140:D144)</f>
        <v>0</v>
      </c>
      <c r="E145" s="355"/>
      <c r="F145" s="457">
        <f>SUM(F140:F144)</f>
        <v>0</v>
      </c>
    </row>
    <row r="147" spans="2:6" x14ac:dyDescent="0.25">
      <c r="B147" s="267" t="s">
        <v>576</v>
      </c>
    </row>
    <row r="148" spans="2:6" x14ac:dyDescent="0.25">
      <c r="B148" s="342" t="s">
        <v>577</v>
      </c>
      <c r="C148" s="343" t="s">
        <v>402</v>
      </c>
      <c r="D148" s="343" t="s">
        <v>578</v>
      </c>
    </row>
    <row r="149" spans="2:6" x14ac:dyDescent="0.25">
      <c r="B149" s="344" t="s">
        <v>649</v>
      </c>
      <c r="C149" s="362" t="str">
        <f>IF(F145&lt;=C133,"PASS","FAIL")</f>
        <v>PASS</v>
      </c>
      <c r="D149" s="345" t="str">
        <f>F145&amp;" of "&amp;C133&amp;" vCPU ("&amp;ROUND(F145/C133*100,0)&amp;"%)"</f>
        <v>0 of 192 vCPU (0%)</v>
      </c>
    </row>
    <row r="150" spans="2:6" x14ac:dyDescent="0.25">
      <c r="B150" s="346" t="s">
        <v>644</v>
      </c>
      <c r="C150" s="364" t="str">
        <f>IF(D145&lt;=C134,"PASS","FAIL")</f>
        <v>PASS</v>
      </c>
      <c r="D150" s="347" t="str">
        <f>D145&amp;" of "&amp;C134&amp;" GB ("&amp;ROUND(D145/C134*100,0)&amp;"%)"</f>
        <v>0 of 672 GB (0%)</v>
      </c>
    </row>
    <row r="151" spans="2:6" x14ac:dyDescent="0.25">
      <c r="B151" s="225" t="s">
        <v>645</v>
      </c>
      <c r="C151" s="367" t="str">
        <f>IF(F145&lt;=C135,"PASS","FAIL")</f>
        <v>PASS</v>
      </c>
      <c r="D151" s="365" t="str">
        <f>F145&amp;" of "&amp;C135&amp;" vCPU ("&amp;ROUND(F145/C135*100,0)&amp;"%)"</f>
        <v>0 of 128 vCPU (0%)</v>
      </c>
    </row>
    <row r="152" spans="2:6" x14ac:dyDescent="0.25">
      <c r="B152" s="225" t="s">
        <v>646</v>
      </c>
      <c r="C152" s="367" t="str">
        <f>IF(D145&lt;=C136,"PASS","FAIL")</f>
        <v>PASS</v>
      </c>
      <c r="D152" s="365" t="str">
        <f>D145&amp;" of "&amp;C136&amp;" GB ("&amp;ROUND(D145/C136*100,0)&amp;"%)"</f>
        <v>0 of 448 GB (0%)</v>
      </c>
    </row>
    <row r="154" spans="2:6" x14ac:dyDescent="0.25">
      <c r="B154" s="267" t="s">
        <v>925</v>
      </c>
    </row>
    <row r="155" spans="2:6" x14ac:dyDescent="0.25">
      <c r="B155" s="342" t="s">
        <v>581</v>
      </c>
      <c r="C155" s="343" t="s">
        <v>921</v>
      </c>
      <c r="D155" s="343" t="s">
        <v>922</v>
      </c>
      <c r="E155" s="343" t="s">
        <v>923</v>
      </c>
      <c r="F155" s="458" t="s">
        <v>553</v>
      </c>
    </row>
    <row r="156" spans="2:6" x14ac:dyDescent="0.25">
      <c r="B156" s="459" t="s">
        <v>582</v>
      </c>
      <c r="C156" s="345">
        <f>'Workload Planner'!C156</f>
        <v>0</v>
      </c>
      <c r="D156" s="362">
        <f>'Workload Planner'!D156</f>
        <v>0</v>
      </c>
      <c r="E156" s="362" t="str">
        <f>'Workload Planner'!E156</f>
        <v>✓ PASS</v>
      </c>
      <c r="F156" s="460" t="str">
        <f>'Workload Planner'!F156</f>
        <v>✓ PASS</v>
      </c>
    </row>
    <row r="157" spans="2:6" x14ac:dyDescent="0.25">
      <c r="B157" s="461" t="s">
        <v>583</v>
      </c>
      <c r="C157" s="347">
        <f>'Workload Planner'!C157</f>
        <v>0</v>
      </c>
      <c r="D157" s="364">
        <f>'Workload Planner'!D157</f>
        <v>0</v>
      </c>
      <c r="E157" s="364" t="str">
        <f>'Workload Planner'!E157</f>
        <v>✓ PASS</v>
      </c>
      <c r="F157" s="460" t="str">
        <f>'Workload Planner'!F157</f>
        <v>✓ PASS</v>
      </c>
    </row>
    <row r="158" spans="2:6" x14ac:dyDescent="0.25">
      <c r="B158" s="459" t="s">
        <v>584</v>
      </c>
      <c r="C158" s="345">
        <f>'Workload Planner'!C158</f>
        <v>0</v>
      </c>
      <c r="D158" s="362">
        <f>'Workload Planner'!D158</f>
        <v>0</v>
      </c>
      <c r="E158" s="362" t="str">
        <f>'Workload Planner'!E158</f>
        <v>✓ PASS</v>
      </c>
      <c r="F158" s="460" t="str">
        <f>'Workload Planner'!F158</f>
        <v>✓ PASS</v>
      </c>
    </row>
    <row r="159" spans="2:6" x14ac:dyDescent="0.25">
      <c r="B159" s="461" t="s">
        <v>515</v>
      </c>
      <c r="C159" s="347">
        <f>'Workload Planner'!C159</f>
        <v>0</v>
      </c>
      <c r="D159" s="364">
        <f>'Workload Planner'!D159</f>
        <v>0</v>
      </c>
      <c r="E159" s="364" t="str">
        <f>'Workload Planner'!E159</f>
        <v>✓ PASS</v>
      </c>
      <c r="F159" s="460" t="str">
        <f>'Workload Planner'!F159</f>
        <v>✓ PASS</v>
      </c>
    </row>
  </sheetData>
  <sheetProtection sheet="1" objects="1" scenarios="1"/>
  <mergeCells count="30">
    <mergeCell ref="C121:H121"/>
    <mergeCell ref="C122:H122"/>
    <mergeCell ref="B52:H52"/>
    <mergeCell ref="B81:H81"/>
    <mergeCell ref="B82:H82"/>
    <mergeCell ref="B83:H83"/>
    <mergeCell ref="B84:H84"/>
    <mergeCell ref="B85:H85"/>
    <mergeCell ref="B86:H86"/>
    <mergeCell ref="B87:H87"/>
    <mergeCell ref="C115:H115"/>
    <mergeCell ref="C116:H116"/>
    <mergeCell ref="C117:H117"/>
    <mergeCell ref="C118:H118"/>
    <mergeCell ref="C119:H119"/>
    <mergeCell ref="C120:H120"/>
    <mergeCell ref="C114:H114"/>
    <mergeCell ref="B88:H88"/>
    <mergeCell ref="B93:H93"/>
    <mergeCell ref="B2:H2"/>
    <mergeCell ref="B3:H3"/>
    <mergeCell ref="B5:H5"/>
    <mergeCell ref="B17:H17"/>
    <mergeCell ref="B41:H41"/>
    <mergeCell ref="B65:H65"/>
    <mergeCell ref="B79:H79"/>
    <mergeCell ref="B97:H97"/>
    <mergeCell ref="B110:H110"/>
    <mergeCell ref="B112:H112"/>
    <mergeCell ref="C113:H113"/>
  </mergeCells>
  <conditionalFormatting sqref="C25:C39">
    <cfRule type="containsText" dxfId="11" priority="1" operator="containsText" text="PASS">
      <formula>NOT(ISERROR(SEARCH("PASS",C25)))</formula>
    </cfRule>
    <cfRule type="containsText" dxfId="10" priority="2" operator="containsText" text="WARNING">
      <formula>NOT(ISERROR(SEARCH("WARNING",C25)))</formula>
    </cfRule>
    <cfRule type="containsText" dxfId="9" priority="3" operator="containsText" text="FAIL">
      <formula>NOT(ISERROR(SEARCH("FAIL",C25)))</formula>
    </cfRule>
  </conditionalFormatting>
  <conditionalFormatting sqref="C43:C49">
    <cfRule type="containsText" dxfId="8" priority="7" operator="containsText" text="Enabled">
      <formula>NOT(ISERROR(SEARCH("Enabled",C43)))</formula>
    </cfRule>
    <cfRule type="containsText" dxfId="7" priority="8" operator="containsText" text="Disabled">
      <formula>NOT(ISERROR(SEARCH("Disabled",C43)))</formula>
    </cfRule>
  </conditionalFormatting>
  <conditionalFormatting sqref="C149:C152">
    <cfRule type="containsText" dxfId="6" priority="9" operator="containsText" text="PASS">
      <formula>NOT(ISERROR(SEARCH("PASS",C149)))</formula>
    </cfRule>
    <cfRule type="containsText" dxfId="5" priority="10" operator="containsText" text="FAIL">
      <formula>NOT(ISERROR(SEARCH("FAIL",C149)))</formula>
    </cfRule>
  </conditionalFormatting>
  <conditionalFormatting sqref="D156:E159">
    <cfRule type="containsText" dxfId="4" priority="11" operator="containsText" text="PASS">
      <formula>NOT(ISERROR(SEARCH("PASS",D156)))</formula>
    </cfRule>
    <cfRule type="containsText" dxfId="3" priority="12" operator="containsText" text="FAIL">
      <formula>NOT(ISERROR(SEARCH("FAIL",D156)))</formula>
    </cfRule>
  </conditionalFormatting>
  <conditionalFormatting sqref="H67:H73">
    <cfRule type="containsText" dxfId="2" priority="4" operator="containsText" text="PASS">
      <formula>NOT(ISERROR(SEARCH("PASS",H67)))</formula>
    </cfRule>
    <cfRule type="containsText" dxfId="1" priority="5" operator="containsText" text="Disabled">
      <formula>NOT(ISERROR(SEARCH("Disabled",H67)))</formula>
    </cfRule>
    <cfRule type="containsText" dxfId="0" priority="6" operator="containsText" text="FAIL">
      <formula>NOT(ISERROR(SEARCH("FAIL",H67)))</formula>
    </cfRule>
  </conditionalFormatting>
  <pageMargins left="5.5555555555555558E-3" right="5.5555555555555558E-3" top="8.3333333333333332E-3" bottom="6.9444444444444441E-3" header="4.1666666666666666E-3" footer="4.1666666666666666E-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1B40-0812-4FA7-9BB7-05E11A660B35}">
  <dimension ref="B2:H25"/>
  <sheetViews>
    <sheetView workbookViewId="0">
      <selection activeCell="C10" sqref="C10"/>
    </sheetView>
  </sheetViews>
  <sheetFormatPr defaultRowHeight="15" x14ac:dyDescent="0.25"/>
  <cols>
    <col min="1" max="1" width="2.85546875" customWidth="1"/>
    <col min="2" max="2" width="93.42578125" bestFit="1" customWidth="1"/>
    <col min="3" max="3" width="17.140625" customWidth="1"/>
    <col min="4" max="4" width="13.28515625" customWidth="1"/>
    <col min="5" max="5" width="19" customWidth="1"/>
    <col min="6" max="6" width="17.140625" customWidth="1"/>
    <col min="7" max="7" width="22.85546875" customWidth="1"/>
    <col min="8" max="8" width="17.140625" customWidth="1"/>
  </cols>
  <sheetData>
    <row r="2" spans="2:8" ht="18" x14ac:dyDescent="0.25">
      <c r="B2" s="114" t="s">
        <v>300</v>
      </c>
      <c r="C2" s="115"/>
      <c r="D2" s="115"/>
      <c r="E2" s="115"/>
      <c r="F2" s="115"/>
      <c r="G2" s="115"/>
      <c r="H2" s="115"/>
    </row>
    <row r="3" spans="2:8" x14ac:dyDescent="0.25">
      <c r="B3" s="116" t="s">
        <v>301</v>
      </c>
      <c r="C3" s="117"/>
      <c r="D3" s="117"/>
      <c r="E3" s="117"/>
      <c r="F3" s="117"/>
      <c r="G3" s="117"/>
      <c r="H3" s="117"/>
    </row>
    <row r="5" spans="2:8" x14ac:dyDescent="0.25">
      <c r="B5" s="116" t="s">
        <v>302</v>
      </c>
      <c r="C5" s="117"/>
      <c r="D5" s="117"/>
      <c r="E5" s="117"/>
      <c r="F5" s="117"/>
      <c r="G5" s="117"/>
      <c r="H5" s="117"/>
    </row>
    <row r="6" spans="2:8" x14ac:dyDescent="0.25">
      <c r="B6" s="152" t="s">
        <v>173</v>
      </c>
      <c r="C6" s="67">
        <f>'Hardware Inputs'!C8</f>
        <v>3</v>
      </c>
      <c r="D6" s="153" t="s">
        <v>303</v>
      </c>
    </row>
    <row r="7" spans="2:8" x14ac:dyDescent="0.25">
      <c r="B7" s="152" t="s">
        <v>69</v>
      </c>
      <c r="C7" s="67">
        <f>'Hardware Inputs'!C10</f>
        <v>4</v>
      </c>
      <c r="D7" s="153" t="s">
        <v>82</v>
      </c>
    </row>
    <row r="8" spans="2:8" x14ac:dyDescent="0.25">
      <c r="B8" s="152" t="s">
        <v>304</v>
      </c>
      <c r="C8" s="158">
        <f>'Hardware Inputs'!C11</f>
        <v>3.84</v>
      </c>
      <c r="D8" s="153" t="s">
        <v>87</v>
      </c>
    </row>
    <row r="9" spans="2:8" x14ac:dyDescent="0.25">
      <c r="B9" s="152" t="s">
        <v>305</v>
      </c>
      <c r="C9" s="158">
        <f>'Hardware Inputs'!C18</f>
        <v>46.08</v>
      </c>
      <c r="D9" s="153" t="s">
        <v>87</v>
      </c>
      <c r="E9" s="124" t="s">
        <v>306</v>
      </c>
    </row>
    <row r="10" spans="2:8" x14ac:dyDescent="0.25">
      <c r="B10" s="152" t="s">
        <v>150</v>
      </c>
      <c r="C10" s="462">
        <f>'Advanced Settings'!C8</f>
        <v>0.92</v>
      </c>
      <c r="D10" s="194"/>
      <c r="E10" s="124" t="s">
        <v>307</v>
      </c>
    </row>
    <row r="12" spans="2:8" x14ac:dyDescent="0.25">
      <c r="B12" s="116" t="s">
        <v>308</v>
      </c>
      <c r="C12" s="117"/>
      <c r="D12" s="117"/>
      <c r="E12" s="117"/>
      <c r="F12" s="117"/>
      <c r="G12" s="117"/>
      <c r="H12" s="117"/>
    </row>
    <row r="13" spans="2:8" s="1" customFormat="1" ht="35.1" customHeight="1" x14ac:dyDescent="0.25">
      <c r="B13" s="315" t="s">
        <v>309</v>
      </c>
      <c r="C13" s="315" t="s">
        <v>310</v>
      </c>
      <c r="D13" s="315" t="s">
        <v>311</v>
      </c>
      <c r="E13" s="315" t="s">
        <v>312</v>
      </c>
      <c r="F13" s="315" t="s">
        <v>313</v>
      </c>
      <c r="G13" s="315" t="s">
        <v>314</v>
      </c>
      <c r="H13" s="315" t="s">
        <v>315</v>
      </c>
    </row>
    <row r="14" spans="2:8" ht="18" x14ac:dyDescent="0.25">
      <c r="B14" s="463">
        <f>C7</f>
        <v>4</v>
      </c>
      <c r="C14" s="464">
        <f>C8</f>
        <v>3.84</v>
      </c>
      <c r="D14" s="463">
        <f>B14*C6</f>
        <v>12</v>
      </c>
      <c r="E14" s="464">
        <f>C14*C10</f>
        <v>3.5327999999999999</v>
      </c>
      <c r="F14" s="465">
        <f>MIN(C6,4)*E14</f>
        <v>10.5984</v>
      </c>
      <c r="G14" s="466">
        <f>(D14*E14)-(F14)-'Advanced Settings'!C14</f>
        <v>31.045200000000001</v>
      </c>
      <c r="H14" s="467" t="s">
        <v>316</v>
      </c>
    </row>
    <row r="15" spans="2:8" x14ac:dyDescent="0.25">
      <c r="B15" s="468">
        <v>4</v>
      </c>
      <c r="C15" s="469">
        <f t="shared" ref="C15:C21" si="0">ROUND($C$9/(B15*$C$6),2)</f>
        <v>3.84</v>
      </c>
      <c r="D15" s="468">
        <f t="shared" ref="D15:D21" si="1">B15*$C$6</f>
        <v>12</v>
      </c>
      <c r="E15" s="469">
        <f t="shared" ref="E15:E21" si="2">C15*$C$10</f>
        <v>3.5327999999999999</v>
      </c>
      <c r="F15" s="470">
        <f t="shared" ref="F15:F21" si="3">MIN($C$6,4)*E15</f>
        <v>10.5984</v>
      </c>
      <c r="G15" s="469">
        <f>(D15*E15)-(F15)-'Advanced Settings'!$C$14</f>
        <v>31.045200000000001</v>
      </c>
      <c r="H15" s="471">
        <f t="shared" ref="H15:H21" si="4">G15-$G$14</f>
        <v>0</v>
      </c>
    </row>
    <row r="16" spans="2:8" x14ac:dyDescent="0.25">
      <c r="B16" s="472">
        <v>5</v>
      </c>
      <c r="C16" s="473">
        <f t="shared" si="0"/>
        <v>3.07</v>
      </c>
      <c r="D16" s="472">
        <f t="shared" si="1"/>
        <v>15</v>
      </c>
      <c r="E16" s="473">
        <f t="shared" si="2"/>
        <v>2.8243999999999998</v>
      </c>
      <c r="F16" s="474">
        <f t="shared" si="3"/>
        <v>8.4731999999999985</v>
      </c>
      <c r="G16" s="473">
        <f>(D16*E16)-(F16)-'Advanced Settings'!$C$14</f>
        <v>33.142800000000001</v>
      </c>
      <c r="H16" s="475">
        <f t="shared" si="4"/>
        <v>2.0975999999999999</v>
      </c>
    </row>
    <row r="17" spans="2:8" x14ac:dyDescent="0.25">
      <c r="B17" s="468">
        <v>6</v>
      </c>
      <c r="C17" s="469">
        <f t="shared" si="0"/>
        <v>2.56</v>
      </c>
      <c r="D17" s="468">
        <f t="shared" si="1"/>
        <v>18</v>
      </c>
      <c r="E17" s="469">
        <f t="shared" si="2"/>
        <v>2.3552</v>
      </c>
      <c r="F17" s="470">
        <f t="shared" si="3"/>
        <v>7.0655999999999999</v>
      </c>
      <c r="G17" s="469">
        <f>(D17*E17)-(F17)-'Advanced Settings'!$C$14</f>
        <v>34.578000000000003</v>
      </c>
      <c r="H17" s="471">
        <f t="shared" si="4"/>
        <v>3.5328000000000017</v>
      </c>
    </row>
    <row r="18" spans="2:8" x14ac:dyDescent="0.25">
      <c r="B18" s="472">
        <v>7</v>
      </c>
      <c r="C18" s="473">
        <f t="shared" si="0"/>
        <v>2.19</v>
      </c>
      <c r="D18" s="472">
        <f t="shared" si="1"/>
        <v>21</v>
      </c>
      <c r="E18" s="473">
        <f t="shared" si="2"/>
        <v>2.0148000000000001</v>
      </c>
      <c r="F18" s="474">
        <f t="shared" si="3"/>
        <v>6.0444000000000004</v>
      </c>
      <c r="G18" s="473">
        <f>(D18*E18)-(F18)-'Advanced Settings'!$C$14</f>
        <v>35.516399999999997</v>
      </c>
      <c r="H18" s="475">
        <f t="shared" si="4"/>
        <v>4.4711999999999961</v>
      </c>
    </row>
    <row r="19" spans="2:8" x14ac:dyDescent="0.25">
      <c r="B19" s="468">
        <v>8</v>
      </c>
      <c r="C19" s="469">
        <f t="shared" si="0"/>
        <v>1.92</v>
      </c>
      <c r="D19" s="468">
        <f t="shared" si="1"/>
        <v>24</v>
      </c>
      <c r="E19" s="469">
        <f t="shared" si="2"/>
        <v>1.7664</v>
      </c>
      <c r="F19" s="470">
        <f t="shared" si="3"/>
        <v>5.2991999999999999</v>
      </c>
      <c r="G19" s="469">
        <f>(D19*E19)-(F19)-'Advanced Settings'!$C$14</f>
        <v>36.3444</v>
      </c>
      <c r="H19" s="471">
        <f t="shared" si="4"/>
        <v>5.299199999999999</v>
      </c>
    </row>
    <row r="20" spans="2:8" x14ac:dyDescent="0.25">
      <c r="B20" s="472">
        <v>9</v>
      </c>
      <c r="C20" s="473">
        <f t="shared" si="0"/>
        <v>1.71</v>
      </c>
      <c r="D20" s="472">
        <f t="shared" si="1"/>
        <v>27</v>
      </c>
      <c r="E20" s="473">
        <f t="shared" si="2"/>
        <v>1.5731999999999999</v>
      </c>
      <c r="F20" s="474">
        <f t="shared" si="3"/>
        <v>4.7195999999999998</v>
      </c>
      <c r="G20" s="473">
        <f>(D20*E20)-(F20)-'Advanced Settings'!$C$14</f>
        <v>37.006799999999998</v>
      </c>
      <c r="H20" s="475">
        <f t="shared" si="4"/>
        <v>5.9615999999999971</v>
      </c>
    </row>
    <row r="21" spans="2:8" x14ac:dyDescent="0.25">
      <c r="B21" s="468">
        <v>10</v>
      </c>
      <c r="C21" s="469">
        <f t="shared" si="0"/>
        <v>1.54</v>
      </c>
      <c r="D21" s="468">
        <f t="shared" si="1"/>
        <v>30</v>
      </c>
      <c r="E21" s="469">
        <f t="shared" si="2"/>
        <v>1.4168000000000001</v>
      </c>
      <c r="F21" s="470">
        <f t="shared" si="3"/>
        <v>4.2504</v>
      </c>
      <c r="G21" s="469">
        <f>(D21*E21)-(F21)-'Advanced Settings'!$C$14</f>
        <v>37.503600000000006</v>
      </c>
      <c r="H21" s="471">
        <f t="shared" si="4"/>
        <v>6.4584000000000046</v>
      </c>
    </row>
    <row r="23" spans="2:8" x14ac:dyDescent="0.25">
      <c r="B23" s="360" t="s">
        <v>317</v>
      </c>
      <c r="C23" s="220"/>
      <c r="D23" s="220"/>
      <c r="E23" s="220"/>
      <c r="F23" s="220"/>
      <c r="G23" s="220"/>
      <c r="H23" s="220"/>
    </row>
    <row r="24" spans="2:8" x14ac:dyDescent="0.25">
      <c r="B24" s="500" t="s">
        <v>318</v>
      </c>
      <c r="C24" s="500"/>
      <c r="D24" s="500"/>
      <c r="E24" s="500"/>
      <c r="F24" s="500"/>
      <c r="G24" s="500"/>
      <c r="H24" s="500"/>
    </row>
    <row r="25" spans="2:8" x14ac:dyDescent="0.25">
      <c r="B25" s="501" t="s">
        <v>319</v>
      </c>
      <c r="C25" s="501"/>
      <c r="D25" s="501"/>
      <c r="E25" s="501"/>
      <c r="F25" s="501"/>
      <c r="G25" s="501"/>
      <c r="H25" s="501"/>
    </row>
  </sheetData>
  <sheetProtection sheet="1" objects="1" scenarios="1"/>
  <mergeCells count="2">
    <mergeCell ref="B24:H24"/>
    <mergeCell ref="B25:H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44336"/>
  </sheetPr>
  <dimension ref="B2:E37"/>
  <sheetViews>
    <sheetView zoomScaleNormal="100" workbookViewId="0"/>
  </sheetViews>
  <sheetFormatPr defaultColWidth="8.7109375" defaultRowHeight="15" x14ac:dyDescent="0.25"/>
  <cols>
    <col min="1" max="1" width="3" customWidth="1"/>
    <col min="2" max="2" width="46" customWidth="1"/>
    <col min="3" max="3" width="20" customWidth="1"/>
    <col min="4" max="4" width="16" customWidth="1"/>
    <col min="5" max="5" width="60" customWidth="1"/>
  </cols>
  <sheetData>
    <row r="2" spans="2:5" ht="18" x14ac:dyDescent="0.25">
      <c r="B2" s="527" t="s">
        <v>225</v>
      </c>
      <c r="C2" s="527"/>
      <c r="D2" s="527"/>
      <c r="E2" s="527"/>
    </row>
    <row r="4" spans="2:5" x14ac:dyDescent="0.25">
      <c r="B4" s="503" t="s">
        <v>226</v>
      </c>
      <c r="C4" s="503"/>
      <c r="D4" s="503"/>
      <c r="E4" s="503"/>
    </row>
    <row r="5" spans="2:5" ht="30" customHeight="1" x14ac:dyDescent="0.25">
      <c r="B5" s="508" t="s">
        <v>227</v>
      </c>
      <c r="C5" s="508"/>
      <c r="D5" s="508"/>
      <c r="E5" s="508"/>
    </row>
    <row r="7" spans="2:5" x14ac:dyDescent="0.25">
      <c r="B7" s="503" t="s">
        <v>228</v>
      </c>
      <c r="C7" s="503"/>
      <c r="D7" s="503"/>
      <c r="E7" s="503"/>
    </row>
    <row r="8" spans="2:5" ht="15" customHeight="1" x14ac:dyDescent="0.25">
      <c r="B8" s="476" t="s">
        <v>229</v>
      </c>
      <c r="C8" s="502" t="s">
        <v>230</v>
      </c>
      <c r="D8" s="502"/>
      <c r="E8" s="502"/>
    </row>
    <row r="9" spans="2:5" ht="15" customHeight="1" x14ac:dyDescent="0.25">
      <c r="B9" s="476" t="s">
        <v>231</v>
      </c>
      <c r="C9" s="502" t="s">
        <v>232</v>
      </c>
      <c r="D9" s="502"/>
      <c r="E9" s="502"/>
    </row>
    <row r="10" spans="2:5" ht="15" customHeight="1" x14ac:dyDescent="0.25">
      <c r="B10" s="476" t="s">
        <v>233</v>
      </c>
      <c r="C10" s="502" t="s">
        <v>234</v>
      </c>
      <c r="D10" s="502"/>
      <c r="E10" s="502"/>
    </row>
    <row r="11" spans="2:5" ht="15" customHeight="1" x14ac:dyDescent="0.25">
      <c r="B11" s="476" t="s">
        <v>235</v>
      </c>
      <c r="C11" s="502" t="s">
        <v>236</v>
      </c>
      <c r="D11" s="502"/>
      <c r="E11" s="502"/>
    </row>
    <row r="13" spans="2:5" x14ac:dyDescent="0.25">
      <c r="B13" s="526" t="s">
        <v>237</v>
      </c>
      <c r="C13" s="526"/>
      <c r="D13" s="526"/>
      <c r="E13" s="526"/>
    </row>
    <row r="14" spans="2:5" ht="30" customHeight="1" x14ac:dyDescent="0.25">
      <c r="B14" s="477" t="s">
        <v>238</v>
      </c>
      <c r="C14" s="502" t="s">
        <v>239</v>
      </c>
      <c r="D14" s="502"/>
      <c r="E14" s="502"/>
    </row>
    <row r="15" spans="2:5" ht="30" customHeight="1" x14ac:dyDescent="0.25">
      <c r="B15" s="477" t="s">
        <v>240</v>
      </c>
      <c r="C15" s="502" t="s">
        <v>241</v>
      </c>
      <c r="D15" s="502"/>
      <c r="E15" s="502"/>
    </row>
    <row r="16" spans="2:5" ht="30" customHeight="1" x14ac:dyDescent="0.25">
      <c r="B16" s="477" t="s">
        <v>242</v>
      </c>
      <c r="C16" s="502" t="s">
        <v>243</v>
      </c>
      <c r="D16" s="502"/>
      <c r="E16" s="502"/>
    </row>
    <row r="17" spans="2:5" ht="30" customHeight="1" x14ac:dyDescent="0.25">
      <c r="B17" s="477" t="s">
        <v>244</v>
      </c>
      <c r="C17" s="502" t="s">
        <v>245</v>
      </c>
      <c r="D17" s="502"/>
      <c r="E17" s="502"/>
    </row>
    <row r="18" spans="2:5" ht="30" customHeight="1" x14ac:dyDescent="0.25">
      <c r="B18" s="477" t="s">
        <v>246</v>
      </c>
      <c r="C18" s="502" t="s">
        <v>247</v>
      </c>
      <c r="D18" s="502"/>
      <c r="E18" s="502"/>
    </row>
    <row r="19" spans="2:5" ht="30" customHeight="1" x14ac:dyDescent="0.25">
      <c r="B19" s="477" t="s">
        <v>248</v>
      </c>
      <c r="C19" s="502" t="s">
        <v>249</v>
      </c>
      <c r="D19" s="502"/>
      <c r="E19" s="502"/>
    </row>
    <row r="21" spans="2:5" x14ac:dyDescent="0.25">
      <c r="B21" s="503" t="s">
        <v>250</v>
      </c>
      <c r="C21" s="503"/>
      <c r="D21" s="503"/>
      <c r="E21" s="503"/>
    </row>
    <row r="22" spans="2:5" ht="30" customHeight="1" x14ac:dyDescent="0.25">
      <c r="B22" s="334" t="s">
        <v>251</v>
      </c>
      <c r="C22" s="502" t="s">
        <v>252</v>
      </c>
      <c r="D22" s="502"/>
      <c r="E22" s="502"/>
    </row>
    <row r="23" spans="2:5" ht="30" customHeight="1" x14ac:dyDescent="0.25">
      <c r="B23" s="334" t="s">
        <v>253</v>
      </c>
      <c r="C23" s="502" t="s">
        <v>254</v>
      </c>
      <c r="D23" s="502"/>
      <c r="E23" s="502"/>
    </row>
    <row r="24" spans="2:5" ht="30" customHeight="1" x14ac:dyDescent="0.25">
      <c r="B24" s="334" t="s">
        <v>255</v>
      </c>
      <c r="C24" s="502" t="s">
        <v>256</v>
      </c>
      <c r="D24" s="502"/>
      <c r="E24" s="502"/>
    </row>
    <row r="25" spans="2:5" ht="30" customHeight="1" x14ac:dyDescent="0.25">
      <c r="B25" s="334" t="s">
        <v>257</v>
      </c>
      <c r="C25" s="502" t="s">
        <v>258</v>
      </c>
      <c r="D25" s="502"/>
      <c r="E25" s="502"/>
    </row>
    <row r="26" spans="2:5" ht="30" customHeight="1" x14ac:dyDescent="0.25">
      <c r="B26" s="334" t="s">
        <v>259</v>
      </c>
      <c r="C26" s="502" t="s">
        <v>260</v>
      </c>
      <c r="D26" s="502"/>
      <c r="E26" s="502"/>
    </row>
    <row r="28" spans="2:5" x14ac:dyDescent="0.25">
      <c r="B28" s="503" t="s">
        <v>261</v>
      </c>
      <c r="C28" s="503"/>
      <c r="D28" s="503"/>
      <c r="E28" s="503"/>
    </row>
    <row r="29" spans="2:5" ht="15" customHeight="1" x14ac:dyDescent="0.25">
      <c r="B29" s="100" t="s">
        <v>43</v>
      </c>
      <c r="C29" s="502" t="s">
        <v>262</v>
      </c>
      <c r="D29" s="502"/>
      <c r="E29" s="502"/>
    </row>
    <row r="30" spans="2:5" ht="15" customHeight="1" x14ac:dyDescent="0.25">
      <c r="B30" s="100" t="s">
        <v>45</v>
      </c>
      <c r="C30" s="502" t="s">
        <v>263</v>
      </c>
      <c r="D30" s="502"/>
      <c r="E30" s="502"/>
    </row>
    <row r="31" spans="2:5" ht="15" customHeight="1" x14ac:dyDescent="0.25">
      <c r="B31" s="100" t="s">
        <v>47</v>
      </c>
      <c r="C31" s="502" t="s">
        <v>264</v>
      </c>
      <c r="D31" s="502"/>
      <c r="E31" s="502"/>
    </row>
    <row r="32" spans="2:5" ht="15" customHeight="1" x14ac:dyDescent="0.25">
      <c r="B32" s="100" t="s">
        <v>49</v>
      </c>
      <c r="C32" s="502" t="s">
        <v>265</v>
      </c>
      <c r="D32" s="502"/>
      <c r="E32" s="502"/>
    </row>
    <row r="33" spans="2:5" ht="15" customHeight="1" x14ac:dyDescent="0.25">
      <c r="B33" s="100" t="s">
        <v>51</v>
      </c>
      <c r="C33" s="502" t="s">
        <v>266</v>
      </c>
      <c r="D33" s="502"/>
      <c r="E33" s="502"/>
    </row>
    <row r="34" spans="2:5" ht="15" customHeight="1" x14ac:dyDescent="0.25">
      <c r="B34" s="100" t="s">
        <v>53</v>
      </c>
      <c r="C34" s="502" t="s">
        <v>267</v>
      </c>
      <c r="D34" s="502"/>
      <c r="E34" s="502"/>
    </row>
    <row r="35" spans="2:5" ht="15" customHeight="1" x14ac:dyDescent="0.25">
      <c r="B35" s="100" t="s">
        <v>55</v>
      </c>
      <c r="C35" s="502" t="s">
        <v>268</v>
      </c>
      <c r="D35" s="502"/>
      <c r="E35" s="502"/>
    </row>
    <row r="36" spans="2:5" ht="15" customHeight="1" x14ac:dyDescent="0.25">
      <c r="B36" s="100" t="s">
        <v>57</v>
      </c>
      <c r="C36" s="502" t="s">
        <v>269</v>
      </c>
      <c r="D36" s="502"/>
      <c r="E36" s="502"/>
    </row>
    <row r="37" spans="2:5" ht="15" customHeight="1" x14ac:dyDescent="0.25">
      <c r="B37" s="100" t="s">
        <v>270</v>
      </c>
      <c r="C37" s="502" t="s">
        <v>271</v>
      </c>
      <c r="D37" s="502"/>
      <c r="E37" s="502"/>
    </row>
  </sheetData>
  <sheetProtection sheet="1" objects="1" scenarios="1"/>
  <mergeCells count="31">
    <mergeCell ref="B2:E2"/>
    <mergeCell ref="B4:E4"/>
    <mergeCell ref="B5:E5"/>
    <mergeCell ref="B7:E7"/>
    <mergeCell ref="C8:E8"/>
    <mergeCell ref="C9:E9"/>
    <mergeCell ref="C10:E10"/>
    <mergeCell ref="C11:E11"/>
    <mergeCell ref="B13:E13"/>
    <mergeCell ref="C14:E14"/>
    <mergeCell ref="C15:E15"/>
    <mergeCell ref="C16:E16"/>
    <mergeCell ref="C17:E17"/>
    <mergeCell ref="C18:E18"/>
    <mergeCell ref="C19:E19"/>
    <mergeCell ref="B21:E21"/>
    <mergeCell ref="C22:E22"/>
    <mergeCell ref="C23:E23"/>
    <mergeCell ref="C24:E24"/>
    <mergeCell ref="C25:E25"/>
    <mergeCell ref="C26:E26"/>
    <mergeCell ref="B28:E28"/>
    <mergeCell ref="C29:E29"/>
    <mergeCell ref="C30:E30"/>
    <mergeCell ref="C31:E31"/>
    <mergeCell ref="C37:E37"/>
    <mergeCell ref="C32:E32"/>
    <mergeCell ref="C33:E33"/>
    <mergeCell ref="C34:E34"/>
    <mergeCell ref="C35:E35"/>
    <mergeCell ref="C36:E3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B2:C20"/>
  <sheetViews>
    <sheetView zoomScaleNormal="100" workbookViewId="0"/>
  </sheetViews>
  <sheetFormatPr defaultColWidth="8.7109375" defaultRowHeight="15" x14ac:dyDescent="0.25"/>
  <cols>
    <col min="1" max="1" width="3" customWidth="1"/>
    <col min="2" max="2" width="40" customWidth="1"/>
    <col min="3" max="3" width="80" customWidth="1"/>
  </cols>
  <sheetData>
    <row r="2" spans="2:3" ht="18" x14ac:dyDescent="0.25">
      <c r="B2" s="507" t="s">
        <v>277</v>
      </c>
      <c r="C2" s="507"/>
    </row>
    <row r="3" spans="2:3" x14ac:dyDescent="0.25">
      <c r="B3" s="85" t="s">
        <v>278</v>
      </c>
      <c r="C3" s="85" t="s">
        <v>279</v>
      </c>
    </row>
    <row r="4" spans="2:3" x14ac:dyDescent="0.25">
      <c r="B4" s="44" t="s">
        <v>280</v>
      </c>
      <c r="C4" s="478" t="s">
        <v>281</v>
      </c>
    </row>
    <row r="5" spans="2:3" x14ac:dyDescent="0.25">
      <c r="B5" s="44" t="s">
        <v>107</v>
      </c>
      <c r="C5" s="478" t="s">
        <v>282</v>
      </c>
    </row>
    <row r="6" spans="2:3" x14ac:dyDescent="0.25">
      <c r="B6" s="44" t="s">
        <v>283</v>
      </c>
      <c r="C6" s="478" t="s">
        <v>284</v>
      </c>
    </row>
    <row r="7" spans="2:3" x14ac:dyDescent="0.25">
      <c r="B7" s="44" t="s">
        <v>285</v>
      </c>
      <c r="C7" s="478" t="s">
        <v>286</v>
      </c>
    </row>
    <row r="8" spans="2:3" x14ac:dyDescent="0.25">
      <c r="B8" s="44" t="s">
        <v>287</v>
      </c>
      <c r="C8" s="478" t="s">
        <v>288</v>
      </c>
    </row>
    <row r="9" spans="2:3" x14ac:dyDescent="0.25">
      <c r="B9" s="44" t="s">
        <v>289</v>
      </c>
      <c r="C9" s="478" t="s">
        <v>290</v>
      </c>
    </row>
    <row r="10" spans="2:3" x14ac:dyDescent="0.25">
      <c r="B10" s="44" t="s">
        <v>291</v>
      </c>
      <c r="C10" s="478" t="s">
        <v>292</v>
      </c>
    </row>
    <row r="11" spans="2:3" x14ac:dyDescent="0.25">
      <c r="B11" s="44" t="s">
        <v>293</v>
      </c>
      <c r="C11" s="478" t="s">
        <v>294</v>
      </c>
    </row>
    <row r="12" spans="2:3" x14ac:dyDescent="0.25">
      <c r="B12" s="44" t="s">
        <v>295</v>
      </c>
      <c r="C12" s="478" t="s">
        <v>296</v>
      </c>
    </row>
    <row r="13" spans="2:3" x14ac:dyDescent="0.25">
      <c r="B13" s="479" t="s">
        <v>297</v>
      </c>
      <c r="C13" s="480" t="s">
        <v>298</v>
      </c>
    </row>
    <row r="14" spans="2:3" x14ac:dyDescent="0.25">
      <c r="B14" s="481" t="s">
        <v>612</v>
      </c>
      <c r="C14" s="482" t="s">
        <v>613</v>
      </c>
    </row>
    <row r="15" spans="2:3" x14ac:dyDescent="0.25">
      <c r="B15" s="481" t="s">
        <v>614</v>
      </c>
      <c r="C15" s="482" t="s">
        <v>615</v>
      </c>
    </row>
    <row r="16" spans="2:3" x14ac:dyDescent="0.25">
      <c r="B16" s="481" t="s">
        <v>616</v>
      </c>
      <c r="C16" s="482" t="s">
        <v>617</v>
      </c>
    </row>
    <row r="17" spans="2:3" x14ac:dyDescent="0.25">
      <c r="B17" s="481" t="s">
        <v>657</v>
      </c>
      <c r="C17" s="482" t="s">
        <v>618</v>
      </c>
    </row>
    <row r="18" spans="2:3" x14ac:dyDescent="0.25">
      <c r="B18" s="481" t="s">
        <v>619</v>
      </c>
      <c r="C18" s="482" t="s">
        <v>620</v>
      </c>
    </row>
    <row r="19" spans="2:3" x14ac:dyDescent="0.25">
      <c r="B19" s="481" t="s">
        <v>783</v>
      </c>
      <c r="C19" s="482" t="s">
        <v>784</v>
      </c>
    </row>
    <row r="20" spans="2:3" x14ac:dyDescent="0.25">
      <c r="B20" s="483" t="s">
        <v>785</v>
      </c>
      <c r="C20" s="484" t="s">
        <v>786</v>
      </c>
    </row>
  </sheetData>
  <sheetProtection sheet="1" objects="1" scenarios="1"/>
  <mergeCells count="1">
    <mergeCell ref="B2:C2"/>
  </mergeCells>
  <hyperlinks>
    <hyperlink ref="C4" r:id="rId1" xr:uid="{00000000-0004-0000-0700-000000000000}"/>
    <hyperlink ref="C5" r:id="rId2" xr:uid="{00000000-0004-0000-0700-000001000000}"/>
    <hyperlink ref="C6" r:id="rId3" xr:uid="{00000000-0004-0000-0700-000002000000}"/>
    <hyperlink ref="C7" r:id="rId4" xr:uid="{00000000-0004-0000-0700-000003000000}"/>
    <hyperlink ref="C8" r:id="rId5" xr:uid="{00000000-0004-0000-0700-000004000000}"/>
    <hyperlink ref="C9" r:id="rId6" xr:uid="{00000000-0004-0000-0700-000005000000}"/>
    <hyperlink ref="C10" r:id="rId7" xr:uid="{00000000-0004-0000-0700-000006000000}"/>
    <hyperlink ref="C11" r:id="rId8" xr:uid="{00000000-0004-0000-0700-000007000000}"/>
    <hyperlink ref="C12" r:id="rId9" xr:uid="{00000000-0004-0000-0700-000008000000}"/>
    <hyperlink ref="C13" r:id="rId10" xr:uid="{00000000-0004-0000-0700-000009000000}"/>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B2:E73"/>
  <sheetViews>
    <sheetView zoomScaleNormal="100" workbookViewId="0">
      <selection activeCell="C14" sqref="C14"/>
    </sheetView>
  </sheetViews>
  <sheetFormatPr defaultColWidth="8.7109375" defaultRowHeight="15" x14ac:dyDescent="0.25"/>
  <cols>
    <col min="1" max="1" width="3" customWidth="1"/>
    <col min="2" max="2" width="46" customWidth="1"/>
    <col min="3" max="3" width="20" customWidth="1"/>
    <col min="4" max="4" width="18" customWidth="1"/>
    <col min="5" max="5" width="60" customWidth="1"/>
  </cols>
  <sheetData>
    <row r="2" spans="2:5" ht="18" x14ac:dyDescent="0.25">
      <c r="B2" s="507" t="s">
        <v>144</v>
      </c>
      <c r="C2" s="507"/>
      <c r="D2" s="507"/>
      <c r="E2" s="507"/>
    </row>
    <row r="4" spans="2:5" x14ac:dyDescent="0.25">
      <c r="B4" s="503" t="s">
        <v>145</v>
      </c>
      <c r="C4" s="503"/>
      <c r="D4" s="503"/>
      <c r="E4" s="503"/>
    </row>
    <row r="5" spans="2:5" ht="45" customHeight="1" x14ac:dyDescent="0.25">
      <c r="B5" s="502" t="s">
        <v>146</v>
      </c>
      <c r="C5" s="502"/>
      <c r="D5" s="502"/>
      <c r="E5" s="502"/>
    </row>
    <row r="7" spans="2:5" x14ac:dyDescent="0.25">
      <c r="B7" s="44" t="s">
        <v>147</v>
      </c>
      <c r="C7" s="48">
        <f>7.68*C8</f>
        <v>7.0655999999999999</v>
      </c>
      <c r="D7" s="47" t="s">
        <v>148</v>
      </c>
      <c r="E7" s="43" t="s">
        <v>149</v>
      </c>
    </row>
    <row r="8" spans="2:5" x14ac:dyDescent="0.25">
      <c r="B8" s="44" t="s">
        <v>150</v>
      </c>
      <c r="C8" s="21">
        <v>0.92</v>
      </c>
      <c r="D8" s="43" t="s">
        <v>151</v>
      </c>
      <c r="E8" s="43" t="s">
        <v>152</v>
      </c>
    </row>
    <row r="10" spans="2:5" x14ac:dyDescent="0.25">
      <c r="B10" s="503" t="s">
        <v>153</v>
      </c>
      <c r="C10" s="503"/>
      <c r="D10" s="503"/>
      <c r="E10" s="503"/>
    </row>
    <row r="11" spans="2:5" ht="34.5" customHeight="1" x14ac:dyDescent="0.25">
      <c r="B11" s="502" t="s">
        <v>154</v>
      </c>
      <c r="C11" s="502"/>
      <c r="D11" s="502"/>
      <c r="E11" s="502"/>
    </row>
    <row r="13" spans="2:5" x14ac:dyDescent="0.25">
      <c r="B13" s="44" t="s">
        <v>155</v>
      </c>
      <c r="C13" s="5">
        <v>0.25</v>
      </c>
      <c r="D13" s="43" t="s">
        <v>156</v>
      </c>
      <c r="E13" s="43" t="s">
        <v>157</v>
      </c>
    </row>
    <row r="14" spans="2:5" x14ac:dyDescent="0.25">
      <c r="B14" s="49" t="s">
        <v>158</v>
      </c>
      <c r="C14" s="50">
        <f>ROUND(C13/IF('Hardware Inputs'!C8&gt;=3,1/3,IF('Hardware Inputs'!C8=2,0.5,1)),2)</f>
        <v>0.75</v>
      </c>
      <c r="D14" s="47" t="s">
        <v>159</v>
      </c>
      <c r="E14" s="43" t="s">
        <v>160</v>
      </c>
    </row>
    <row r="16" spans="2:5" x14ac:dyDescent="0.25">
      <c r="B16" s="503" t="s">
        <v>161</v>
      </c>
      <c r="C16" s="503"/>
      <c r="D16" s="503"/>
      <c r="E16" s="503"/>
    </row>
    <row r="17" spans="2:5" ht="30" customHeight="1" x14ac:dyDescent="0.25">
      <c r="B17" s="502" t="s">
        <v>162</v>
      </c>
      <c r="C17" s="502"/>
      <c r="D17" s="502"/>
      <c r="E17" s="502"/>
    </row>
    <row r="18" spans="2:5" x14ac:dyDescent="0.25">
      <c r="B18" s="44" t="s">
        <v>163</v>
      </c>
      <c r="C18" s="48">
        <f>ROUND(1*(1000/1024)^3,2)</f>
        <v>0.93</v>
      </c>
      <c r="D18" s="47" t="s">
        <v>164</v>
      </c>
      <c r="E18" s="43" t="s">
        <v>165</v>
      </c>
    </row>
    <row r="19" spans="2:5" x14ac:dyDescent="0.25">
      <c r="B19" s="44" t="s">
        <v>166</v>
      </c>
      <c r="C19" s="48">
        <f>ROUND(5*(1000/1024)^3,2)</f>
        <v>4.66</v>
      </c>
      <c r="D19" s="47" t="s">
        <v>164</v>
      </c>
      <c r="E19" s="43" t="s">
        <v>165</v>
      </c>
    </row>
    <row r="20" spans="2:5" x14ac:dyDescent="0.25">
      <c r="B20" s="44" t="s">
        <v>167</v>
      </c>
      <c r="C20" s="48">
        <f>ROUND(10*(1000/1024)^3,2)</f>
        <v>9.31</v>
      </c>
      <c r="D20" s="47" t="s">
        <v>164</v>
      </c>
      <c r="E20" s="43" t="s">
        <v>165</v>
      </c>
    </row>
    <row r="21" spans="2:5" x14ac:dyDescent="0.25">
      <c r="B21" s="44" t="s">
        <v>168</v>
      </c>
      <c r="C21" s="48">
        <f>ROUND(25*(1000/1024)^3,2)</f>
        <v>23.28</v>
      </c>
      <c r="D21" s="47" t="s">
        <v>164</v>
      </c>
      <c r="E21" s="43" t="s">
        <v>165</v>
      </c>
    </row>
    <row r="22" spans="2:5" x14ac:dyDescent="0.25">
      <c r="B22" s="44" t="s">
        <v>169</v>
      </c>
      <c r="C22" s="48">
        <f>ROUND(50*(1000/1024)^3,2)</f>
        <v>46.57</v>
      </c>
      <c r="D22" s="47" t="s">
        <v>164</v>
      </c>
      <c r="E22" s="43" t="s">
        <v>165</v>
      </c>
    </row>
    <row r="23" spans="2:5" x14ac:dyDescent="0.25">
      <c r="B23" s="44" t="s">
        <v>170</v>
      </c>
      <c r="C23" s="48">
        <f>ROUND(100*(1000/1024)^3,2)</f>
        <v>93.13</v>
      </c>
      <c r="D23" s="47" t="s">
        <v>164</v>
      </c>
      <c r="E23" s="43" t="s">
        <v>165</v>
      </c>
    </row>
    <row r="25" spans="2:5" x14ac:dyDescent="0.25">
      <c r="B25" s="485" t="s">
        <v>825</v>
      </c>
      <c r="C25" s="2"/>
      <c r="D25" s="2"/>
      <c r="E25" s="2"/>
    </row>
    <row r="26" spans="2:5" x14ac:dyDescent="0.25">
      <c r="B26" s="486" t="s">
        <v>828</v>
      </c>
      <c r="C26" s="487"/>
      <c r="D26" s="487"/>
      <c r="E26" s="487"/>
    </row>
    <row r="28" spans="2:5" x14ac:dyDescent="0.25">
      <c r="B28" s="488" t="s">
        <v>829</v>
      </c>
      <c r="C28" s="489"/>
      <c r="D28" s="124"/>
      <c r="E28" s="490" t="s">
        <v>826</v>
      </c>
    </row>
    <row r="30" spans="2:5" x14ac:dyDescent="0.25">
      <c r="B30" s="136" t="s">
        <v>830</v>
      </c>
      <c r="C30" s="491" t="s">
        <v>831</v>
      </c>
      <c r="D30" s="491" t="s">
        <v>832</v>
      </c>
      <c r="E30" s="491" t="s">
        <v>833</v>
      </c>
    </row>
    <row r="31" spans="2:5" x14ac:dyDescent="0.25">
      <c r="B31" s="492" t="s">
        <v>81</v>
      </c>
      <c r="C31" s="493">
        <f>'Hardware Inputs'!C16</f>
        <v>12</v>
      </c>
      <c r="D31" s="22"/>
      <c r="E31" s="271">
        <f t="shared" ref="E31:E39" si="0">IF(D31&lt;&gt;"",D31,C31)</f>
        <v>12</v>
      </c>
    </row>
    <row r="32" spans="2:5" x14ac:dyDescent="0.25">
      <c r="B32" s="494" t="s">
        <v>834</v>
      </c>
      <c r="C32" s="493">
        <f>'Hardware Inputs'!C18</f>
        <v>46.08</v>
      </c>
      <c r="D32" s="22"/>
      <c r="E32" s="271">
        <f t="shared" si="0"/>
        <v>46.08</v>
      </c>
    </row>
    <row r="33" spans="2:5" x14ac:dyDescent="0.25">
      <c r="B33" s="495" t="s">
        <v>835</v>
      </c>
      <c r="C33" s="493">
        <f>'Hardware Inputs'!C20</f>
        <v>42.393599999999999</v>
      </c>
      <c r="D33" s="22"/>
      <c r="E33" s="271">
        <f t="shared" si="0"/>
        <v>42.393599999999999</v>
      </c>
    </row>
    <row r="34" spans="2:5" x14ac:dyDescent="0.25">
      <c r="B34" s="495" t="s">
        <v>836</v>
      </c>
      <c r="C34" s="493">
        <f>'Hardware Inputs'!C21</f>
        <v>10.5984</v>
      </c>
      <c r="D34" s="22"/>
      <c r="E34" s="271">
        <f t="shared" si="0"/>
        <v>10.5984</v>
      </c>
    </row>
    <row r="35" spans="2:5" x14ac:dyDescent="0.25">
      <c r="B35" s="495" t="s">
        <v>837</v>
      </c>
      <c r="C35" s="493">
        <f>'Hardware Inputs'!C24</f>
        <v>31.045200000000001</v>
      </c>
      <c r="D35" s="22"/>
      <c r="E35" s="271">
        <f t="shared" si="0"/>
        <v>31.045200000000001</v>
      </c>
    </row>
    <row r="36" spans="2:5" x14ac:dyDescent="0.25">
      <c r="B36" s="495" t="s">
        <v>488</v>
      </c>
      <c r="C36" s="493">
        <f>'Hardware Inputs'!C37</f>
        <v>192</v>
      </c>
      <c r="D36" s="22"/>
      <c r="E36" s="271">
        <f t="shared" si="0"/>
        <v>192</v>
      </c>
    </row>
    <row r="37" spans="2:5" x14ac:dyDescent="0.25">
      <c r="B37" s="495" t="s">
        <v>838</v>
      </c>
      <c r="C37" s="493">
        <f>'Hardware Inputs'!C38</f>
        <v>672</v>
      </c>
      <c r="D37" s="22"/>
      <c r="E37" s="271">
        <f t="shared" si="0"/>
        <v>672</v>
      </c>
    </row>
    <row r="38" spans="2:5" x14ac:dyDescent="0.25">
      <c r="B38" s="495" t="s">
        <v>839</v>
      </c>
      <c r="C38" s="493">
        <f>'Hardware Inputs'!C39</f>
        <v>128</v>
      </c>
      <c r="D38" s="22"/>
      <c r="E38" s="271">
        <f t="shared" si="0"/>
        <v>128</v>
      </c>
    </row>
    <row r="39" spans="2:5" x14ac:dyDescent="0.25">
      <c r="B39" s="495" t="s">
        <v>840</v>
      </c>
      <c r="C39" s="493">
        <f>'Hardware Inputs'!C40</f>
        <v>448</v>
      </c>
      <c r="D39" s="22"/>
      <c r="E39" s="271">
        <f t="shared" si="0"/>
        <v>448</v>
      </c>
    </row>
    <row r="41" spans="2:5" x14ac:dyDescent="0.25">
      <c r="B41" s="496" t="s">
        <v>841</v>
      </c>
      <c r="C41" s="491" t="s">
        <v>831</v>
      </c>
      <c r="D41" s="491" t="s">
        <v>842</v>
      </c>
      <c r="E41" s="491" t="s">
        <v>833</v>
      </c>
    </row>
    <row r="42" spans="2:5" x14ac:dyDescent="0.25">
      <c r="B42" s="495" t="s">
        <v>843</v>
      </c>
      <c r="C42" s="493">
        <f>'AVD Planning'!C13</f>
        <v>0</v>
      </c>
      <c r="D42" s="22"/>
      <c r="E42" s="271">
        <f t="shared" ref="E42:E51" si="1">IF(D42&lt;&gt;"",D42,C42)</f>
        <v>0</v>
      </c>
    </row>
    <row r="43" spans="2:5" x14ac:dyDescent="0.25">
      <c r="B43" s="495" t="s">
        <v>844</v>
      </c>
      <c r="C43" s="493">
        <f>'AVD Planning'!C14</f>
        <v>0</v>
      </c>
      <c r="D43" s="22"/>
      <c r="E43" s="271">
        <f t="shared" si="1"/>
        <v>0</v>
      </c>
    </row>
    <row r="44" spans="2:5" x14ac:dyDescent="0.25">
      <c r="B44" s="495" t="s">
        <v>845</v>
      </c>
      <c r="C44" s="493">
        <f>'AVD Planning'!C23</f>
        <v>0</v>
      </c>
      <c r="D44" s="22"/>
      <c r="E44" s="271">
        <f t="shared" si="1"/>
        <v>0</v>
      </c>
    </row>
    <row r="45" spans="2:5" x14ac:dyDescent="0.25">
      <c r="B45" s="495" t="s">
        <v>846</v>
      </c>
      <c r="C45" s="493">
        <f>'AVD Planning'!C24</f>
        <v>0</v>
      </c>
      <c r="D45" s="22"/>
      <c r="E45" s="271">
        <f t="shared" si="1"/>
        <v>0</v>
      </c>
    </row>
    <row r="46" spans="2:5" x14ac:dyDescent="0.25">
      <c r="B46" s="495" t="s">
        <v>847</v>
      </c>
      <c r="C46" s="493">
        <f>'AVD Planning'!C25</f>
        <v>0</v>
      </c>
      <c r="D46" s="22"/>
      <c r="E46" s="271">
        <f t="shared" si="1"/>
        <v>0</v>
      </c>
    </row>
    <row r="47" spans="2:5" x14ac:dyDescent="0.25">
      <c r="B47" s="495" t="s">
        <v>506</v>
      </c>
      <c r="C47" s="493">
        <f>'AVD Planning'!C33</f>
        <v>0</v>
      </c>
      <c r="D47" s="22"/>
      <c r="E47" s="271">
        <f t="shared" si="1"/>
        <v>0</v>
      </c>
    </row>
    <row r="48" spans="2:5" x14ac:dyDescent="0.25">
      <c r="B48" s="495" t="s">
        <v>819</v>
      </c>
      <c r="C48" s="493">
        <f>'AVD Planning'!C34</f>
        <v>0</v>
      </c>
      <c r="D48" s="22"/>
      <c r="E48" s="271">
        <f t="shared" si="1"/>
        <v>0</v>
      </c>
    </row>
    <row r="49" spans="2:5" x14ac:dyDescent="0.25">
      <c r="B49" s="495" t="s">
        <v>512</v>
      </c>
      <c r="C49" s="493">
        <f>'AVD Planning'!C36</f>
        <v>0</v>
      </c>
      <c r="D49" s="22"/>
      <c r="E49" s="271">
        <f t="shared" si="1"/>
        <v>0</v>
      </c>
    </row>
    <row r="50" spans="2:5" x14ac:dyDescent="0.25">
      <c r="B50" s="495" t="s">
        <v>627</v>
      </c>
      <c r="C50" s="493">
        <f>'AVD Planning'!C37</f>
        <v>0</v>
      </c>
      <c r="D50" s="22"/>
      <c r="E50" s="271">
        <f t="shared" si="1"/>
        <v>0</v>
      </c>
    </row>
    <row r="51" spans="2:5" x14ac:dyDescent="0.25">
      <c r="B51" s="495" t="s">
        <v>628</v>
      </c>
      <c r="C51" s="493">
        <f>'AVD Planning'!C38</f>
        <v>0</v>
      </c>
      <c r="D51" s="22"/>
      <c r="E51" s="271">
        <f t="shared" si="1"/>
        <v>0</v>
      </c>
    </row>
    <row r="53" spans="2:5" x14ac:dyDescent="0.25">
      <c r="B53" s="496" t="s">
        <v>866</v>
      </c>
      <c r="C53" s="491" t="s">
        <v>831</v>
      </c>
      <c r="D53" s="491" t="s">
        <v>842</v>
      </c>
      <c r="E53" s="491" t="s">
        <v>833</v>
      </c>
    </row>
    <row r="54" spans="2:5" x14ac:dyDescent="0.25">
      <c r="B54" s="495" t="s">
        <v>867</v>
      </c>
      <c r="C54" s="497">
        <f>'Workload Planner'!C25</f>
        <v>0</v>
      </c>
      <c r="D54" s="499"/>
      <c r="E54" s="498">
        <f t="shared" ref="E54:E63" si="2">IF(D54&lt;&gt;"",D54,C54)</f>
        <v>0</v>
      </c>
    </row>
    <row r="55" spans="2:5" x14ac:dyDescent="0.25">
      <c r="B55" s="495" t="s">
        <v>868</v>
      </c>
      <c r="C55" s="497">
        <f>'Workload Planner'!C55</f>
        <v>0</v>
      </c>
      <c r="D55" s="499"/>
      <c r="E55" s="498">
        <f t="shared" si="2"/>
        <v>0</v>
      </c>
    </row>
    <row r="56" spans="2:5" x14ac:dyDescent="0.25">
      <c r="B56" s="495" t="s">
        <v>869</v>
      </c>
      <c r="C56" s="497">
        <f>'Workload Planner'!C71</f>
        <v>0</v>
      </c>
      <c r="D56" s="499"/>
      <c r="E56" s="498">
        <f t="shared" si="2"/>
        <v>0</v>
      </c>
    </row>
    <row r="57" spans="2:5" x14ac:dyDescent="0.25">
      <c r="B57" s="495" t="s">
        <v>870</v>
      </c>
      <c r="C57" s="497">
        <f>'Workload Planner'!C88</f>
        <v>0</v>
      </c>
      <c r="D57" s="499"/>
      <c r="E57" s="498">
        <f t="shared" si="2"/>
        <v>0</v>
      </c>
    </row>
    <row r="58" spans="2:5" x14ac:dyDescent="0.25">
      <c r="B58" s="495" t="s">
        <v>871</v>
      </c>
      <c r="C58" s="497">
        <f>'Workload Planner'!C103</f>
        <v>0</v>
      </c>
      <c r="D58" s="499"/>
      <c r="E58" s="498">
        <f t="shared" si="2"/>
        <v>0</v>
      </c>
    </row>
    <row r="59" spans="2:5" x14ac:dyDescent="0.25">
      <c r="B59" s="495" t="s">
        <v>872</v>
      </c>
      <c r="C59" s="497">
        <f>'Workload Planner'!C110</f>
        <v>0</v>
      </c>
      <c r="D59" s="499"/>
      <c r="E59" s="498">
        <f t="shared" si="2"/>
        <v>0</v>
      </c>
    </row>
    <row r="60" spans="2:5" x14ac:dyDescent="0.25">
      <c r="B60" s="495" t="s">
        <v>873</v>
      </c>
      <c r="C60" s="497">
        <f>'Workload Planner'!C123</f>
        <v>0</v>
      </c>
      <c r="D60" s="499"/>
      <c r="E60" s="498">
        <f t="shared" si="2"/>
        <v>0</v>
      </c>
    </row>
    <row r="61" spans="2:5" x14ac:dyDescent="0.25">
      <c r="B61" s="495" t="s">
        <v>874</v>
      </c>
      <c r="C61" s="497">
        <f>'Workload Planner'!C124</f>
        <v>0</v>
      </c>
      <c r="D61" s="499"/>
      <c r="E61" s="498">
        <f t="shared" si="2"/>
        <v>0</v>
      </c>
    </row>
    <row r="62" spans="2:5" x14ac:dyDescent="0.25">
      <c r="B62" s="495" t="s">
        <v>875</v>
      </c>
      <c r="C62" s="497">
        <f>'Workload Planner'!C128</f>
        <v>31.045200000000001</v>
      </c>
      <c r="D62" s="499"/>
      <c r="E62" s="498">
        <f t="shared" si="2"/>
        <v>31.045200000000001</v>
      </c>
    </row>
    <row r="63" spans="2:5" x14ac:dyDescent="0.25">
      <c r="B63" s="495" t="s">
        <v>876</v>
      </c>
      <c r="C63" s="497">
        <f>'Workload Planner'!C129</f>
        <v>0</v>
      </c>
      <c r="D63" s="499"/>
      <c r="E63" s="498">
        <f t="shared" si="2"/>
        <v>0</v>
      </c>
    </row>
    <row r="65" spans="2:5" x14ac:dyDescent="0.25">
      <c r="B65" s="496" t="s">
        <v>877</v>
      </c>
      <c r="C65" s="491" t="s">
        <v>831</v>
      </c>
      <c r="D65" s="491" t="s">
        <v>842</v>
      </c>
      <c r="E65" s="491" t="s">
        <v>833</v>
      </c>
    </row>
    <row r="66" spans="2:5" x14ac:dyDescent="0.25">
      <c r="B66" s="495" t="s">
        <v>878</v>
      </c>
      <c r="C66" s="497">
        <f>'SOFS Planner'!C11</f>
        <v>0</v>
      </c>
      <c r="D66" s="499"/>
      <c r="E66" s="498">
        <f t="shared" ref="E66:E73" si="3">IF(D66&lt;&gt;"",D66,C66)</f>
        <v>0</v>
      </c>
    </row>
    <row r="67" spans="2:5" x14ac:dyDescent="0.25">
      <c r="B67" s="495" t="s">
        <v>879</v>
      </c>
      <c r="C67" s="497">
        <f>'SOFS Planner'!C18</f>
        <v>0</v>
      </c>
      <c r="D67" s="499"/>
      <c r="E67" s="498">
        <f t="shared" si="3"/>
        <v>0</v>
      </c>
    </row>
    <row r="68" spans="2:5" x14ac:dyDescent="0.25">
      <c r="B68" s="495" t="s">
        <v>880</v>
      </c>
      <c r="C68" s="497">
        <f>'SOFS Planner'!C20</f>
        <v>0</v>
      </c>
      <c r="D68" s="499"/>
      <c r="E68" s="498">
        <f t="shared" si="3"/>
        <v>0</v>
      </c>
    </row>
    <row r="69" spans="2:5" x14ac:dyDescent="0.25">
      <c r="B69" s="495" t="s">
        <v>881</v>
      </c>
      <c r="C69" s="497">
        <f>'SOFS Planner'!C22</f>
        <v>0</v>
      </c>
      <c r="D69" s="499"/>
      <c r="E69" s="498">
        <f t="shared" si="3"/>
        <v>0</v>
      </c>
    </row>
    <row r="70" spans="2:5" x14ac:dyDescent="0.25">
      <c r="B70" s="495" t="s">
        <v>882</v>
      </c>
      <c r="C70" s="497">
        <f>'SOFS Planner'!C29</f>
        <v>0</v>
      </c>
      <c r="D70" s="499"/>
      <c r="E70" s="498">
        <f t="shared" si="3"/>
        <v>0</v>
      </c>
    </row>
    <row r="71" spans="2:5" x14ac:dyDescent="0.25">
      <c r="B71" s="495" t="s">
        <v>883</v>
      </c>
      <c r="C71" s="497">
        <f>'SOFS Planner'!C30</f>
        <v>0</v>
      </c>
      <c r="D71" s="499"/>
      <c r="E71" s="498">
        <f t="shared" si="3"/>
        <v>0</v>
      </c>
    </row>
    <row r="72" spans="2:5" x14ac:dyDescent="0.25">
      <c r="B72" s="495" t="s">
        <v>765</v>
      </c>
      <c r="C72" s="497">
        <f>'SOFS Planner'!C39</f>
        <v>0</v>
      </c>
      <c r="D72" s="499"/>
      <c r="E72" s="498">
        <f t="shared" si="3"/>
        <v>0</v>
      </c>
    </row>
    <row r="73" spans="2:5" x14ac:dyDescent="0.25">
      <c r="B73" s="495" t="s">
        <v>766</v>
      </c>
      <c r="C73" s="497">
        <f>'SOFS Planner'!C40</f>
        <v>0</v>
      </c>
      <c r="D73" s="499"/>
      <c r="E73" s="498">
        <f t="shared" si="3"/>
        <v>0</v>
      </c>
    </row>
  </sheetData>
  <sheetProtection sheet="1" objects="1" scenarios="1"/>
  <mergeCells count="7">
    <mergeCell ref="B16:E16"/>
    <mergeCell ref="B17:E17"/>
    <mergeCell ref="B2:E2"/>
    <mergeCell ref="B4:E4"/>
    <mergeCell ref="B5:E5"/>
    <mergeCell ref="B10:E10"/>
    <mergeCell ref="B11:E11"/>
  </mergeCells>
  <dataValidations count="1">
    <dataValidation type="list" allowBlank="1" showInputMessage="1" showErrorMessage="1" sqref="C28" xr:uid="{7C0C0E4D-4BA5-4101-8DC3-9A7FA6CC241A}">
      <formula1>"LOCKED,UNLOCKED"</formula1>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F4EA8-5E68-4A07-B65A-77140BC57716}">
  <dimension ref="B2:F30"/>
  <sheetViews>
    <sheetView topLeftCell="A8" workbookViewId="0">
      <selection activeCell="K15" sqref="K15"/>
    </sheetView>
  </sheetViews>
  <sheetFormatPr defaultRowHeight="15" x14ac:dyDescent="0.25"/>
  <cols>
    <col min="1" max="1" width="3.85546875" customWidth="1"/>
    <col min="2" max="2" width="6.7109375" customWidth="1"/>
    <col min="3" max="3" width="76.140625" customWidth="1"/>
    <col min="4" max="4" width="34.28515625" customWidth="1"/>
    <col min="5" max="5" width="13.28515625" customWidth="1"/>
    <col min="6" max="6" width="46.5703125" style="1" customWidth="1"/>
  </cols>
  <sheetData>
    <row r="2" spans="2:6" ht="18" x14ac:dyDescent="0.25">
      <c r="B2" s="25" t="s">
        <v>849</v>
      </c>
      <c r="C2" s="2"/>
      <c r="D2" s="2"/>
    </row>
    <row r="4" spans="2:6" ht="21.95" customHeight="1" x14ac:dyDescent="0.25">
      <c r="B4" s="24" t="s">
        <v>850</v>
      </c>
      <c r="C4" s="23" t="s">
        <v>851</v>
      </c>
      <c r="D4" s="24" t="s">
        <v>402</v>
      </c>
      <c r="E4" s="24" t="s">
        <v>855</v>
      </c>
      <c r="F4" s="34" t="s">
        <v>852</v>
      </c>
    </row>
    <row r="5" spans="2:6" ht="80.099999999999994" customHeight="1" x14ac:dyDescent="0.25">
      <c r="B5" s="26">
        <v>1</v>
      </c>
      <c r="C5" s="27"/>
      <c r="D5" s="28"/>
      <c r="E5" s="32"/>
      <c r="F5" s="33"/>
    </row>
    <row r="6" spans="2:6" ht="80.099999999999994" customHeight="1" x14ac:dyDescent="0.25">
      <c r="B6" s="26">
        <v>2</v>
      </c>
      <c r="C6" s="27"/>
      <c r="D6" s="28"/>
      <c r="E6" s="32"/>
      <c r="F6" s="33"/>
    </row>
    <row r="7" spans="2:6" ht="80.099999999999994" customHeight="1" x14ac:dyDescent="0.25">
      <c r="B7" s="26">
        <v>3</v>
      </c>
      <c r="C7" s="27"/>
      <c r="D7" s="28"/>
      <c r="E7" s="32"/>
      <c r="F7" s="33"/>
    </row>
    <row r="8" spans="2:6" ht="80.099999999999994" customHeight="1" x14ac:dyDescent="0.25">
      <c r="B8" s="26">
        <v>4</v>
      </c>
      <c r="C8" s="27"/>
      <c r="D8" s="28"/>
      <c r="E8" s="32"/>
      <c r="F8" s="33"/>
    </row>
    <row r="9" spans="2:6" ht="45" customHeight="1" x14ac:dyDescent="0.25">
      <c r="B9" s="26">
        <v>5</v>
      </c>
      <c r="C9" s="27"/>
      <c r="D9" s="28"/>
      <c r="E9" s="32"/>
      <c r="F9" s="33"/>
    </row>
    <row r="10" spans="2:6" ht="45" customHeight="1" x14ac:dyDescent="0.25">
      <c r="B10" s="26">
        <v>6</v>
      </c>
      <c r="C10" s="27"/>
      <c r="D10" s="28"/>
      <c r="E10" s="32"/>
      <c r="F10" s="33"/>
    </row>
    <row r="11" spans="2:6" ht="45" customHeight="1" x14ac:dyDescent="0.25">
      <c r="B11" s="26">
        <v>7</v>
      </c>
      <c r="C11" s="27"/>
      <c r="D11" s="28"/>
      <c r="E11" s="32"/>
      <c r="F11" s="33"/>
    </row>
    <row r="12" spans="2:6" ht="45" customHeight="1" x14ac:dyDescent="0.25">
      <c r="B12" s="26">
        <v>8</v>
      </c>
      <c r="C12" s="27"/>
      <c r="D12" s="28"/>
      <c r="E12" s="32"/>
      <c r="F12" s="33"/>
    </row>
    <row r="13" spans="2:6" ht="45" customHeight="1" x14ac:dyDescent="0.25">
      <c r="B13" s="26">
        <v>9</v>
      </c>
      <c r="C13" s="27"/>
      <c r="D13" s="28"/>
      <c r="E13" s="32"/>
      <c r="F13" s="33"/>
    </row>
    <row r="14" spans="2:6" ht="30" customHeight="1" x14ac:dyDescent="0.25">
      <c r="B14" s="26">
        <v>10</v>
      </c>
      <c r="C14" s="27"/>
      <c r="D14" s="28"/>
      <c r="E14" s="32"/>
      <c r="F14" s="33"/>
    </row>
    <row r="15" spans="2:6" ht="30" customHeight="1" x14ac:dyDescent="0.25">
      <c r="B15" s="26">
        <v>11</v>
      </c>
      <c r="C15" s="27"/>
      <c r="D15" s="28"/>
      <c r="E15" s="32"/>
      <c r="F15" s="33"/>
    </row>
    <row r="16" spans="2:6" ht="30" customHeight="1" x14ac:dyDescent="0.25">
      <c r="B16" s="26">
        <v>12</v>
      </c>
      <c r="C16" s="27"/>
      <c r="D16" s="36"/>
      <c r="E16" s="32"/>
      <c r="F16" s="33"/>
    </row>
    <row r="17" spans="2:6" ht="45" customHeight="1" x14ac:dyDescent="0.25">
      <c r="B17" s="29">
        <v>13</v>
      </c>
      <c r="C17" s="27"/>
      <c r="D17" s="28"/>
      <c r="E17" s="32"/>
      <c r="F17" s="35"/>
    </row>
    <row r="18" spans="2:6" ht="45" customHeight="1" x14ac:dyDescent="0.25">
      <c r="B18" s="29">
        <v>14</v>
      </c>
      <c r="C18" s="27"/>
      <c r="D18" s="28"/>
      <c r="E18" s="32"/>
      <c r="F18" s="35"/>
    </row>
    <row r="19" spans="2:6" ht="80.099999999999994" customHeight="1" x14ac:dyDescent="0.25">
      <c r="B19" s="29">
        <v>15</v>
      </c>
      <c r="C19" s="27"/>
      <c r="D19" s="28"/>
      <c r="E19" s="32"/>
      <c r="F19" s="35"/>
    </row>
    <row r="20" spans="2:6" ht="45" customHeight="1" x14ac:dyDescent="0.25">
      <c r="B20" s="29">
        <v>16</v>
      </c>
      <c r="C20" s="27"/>
      <c r="D20" s="28"/>
      <c r="E20" s="32"/>
      <c r="F20" s="35"/>
    </row>
    <row r="22" spans="2:6" ht="18" x14ac:dyDescent="0.25">
      <c r="B22" s="528" t="s">
        <v>861</v>
      </c>
      <c r="C22" s="528"/>
      <c r="D22" s="528"/>
    </row>
    <row r="24" spans="2:6" ht="21.95" customHeight="1" x14ac:dyDescent="0.25">
      <c r="B24" s="24" t="s">
        <v>850</v>
      </c>
      <c r="C24" s="23" t="s">
        <v>862</v>
      </c>
      <c r="D24" s="23" t="s">
        <v>863</v>
      </c>
    </row>
    <row r="25" spans="2:6" ht="60" customHeight="1" x14ac:dyDescent="0.25">
      <c r="B25" s="26">
        <v>1</v>
      </c>
      <c r="C25" s="30"/>
      <c r="D25" s="31"/>
    </row>
    <row r="26" spans="2:6" ht="45" customHeight="1" x14ac:dyDescent="0.25">
      <c r="B26" s="26">
        <v>2</v>
      </c>
      <c r="C26" s="30"/>
      <c r="D26" s="31"/>
    </row>
    <row r="27" spans="2:6" x14ac:dyDescent="0.25">
      <c r="B27" s="26">
        <v>3</v>
      </c>
      <c r="C27" s="30"/>
      <c r="D27" s="31"/>
    </row>
    <row r="28" spans="2:6" x14ac:dyDescent="0.25">
      <c r="B28" s="37">
        <v>4</v>
      </c>
      <c r="C28" s="38"/>
      <c r="D28" s="39"/>
    </row>
    <row r="29" spans="2:6" x14ac:dyDescent="0.25">
      <c r="B29" s="37">
        <v>5</v>
      </c>
      <c r="C29" s="38"/>
      <c r="D29" s="39"/>
    </row>
    <row r="30" spans="2:6" x14ac:dyDescent="0.25">
      <c r="B30" s="37">
        <v>6</v>
      </c>
      <c r="C30" s="38"/>
      <c r="D30" s="39"/>
    </row>
  </sheetData>
  <mergeCells count="1">
    <mergeCell ref="B22:D22"/>
  </mergeCells>
  <pageMargins left="0.7" right="0.7" top="0.75" bottom="0.75" header="0.3" footer="0.3"/>
  <pageSetup orientation="landscape" horizontalDpi="0" verticalDpi="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How to Use</vt:lpstr>
      <vt:lpstr>Hardware Inputs</vt:lpstr>
      <vt:lpstr>Workload Planner</vt:lpstr>
      <vt:lpstr>AVD Planning</vt:lpstr>
      <vt:lpstr>SOFS Planner</vt:lpstr>
      <vt:lpstr>Volume Detail</vt:lpstr>
      <vt:lpstr>Capacity Report</vt:lpstr>
      <vt:lpstr>Compute Report</vt:lpstr>
      <vt:lpstr>Final Report</vt:lpstr>
      <vt:lpstr>Drive Layout Comparison</vt:lpstr>
      <vt:lpstr>Thin Provisioning</vt:lpstr>
      <vt:lpstr>References</vt:lpstr>
      <vt:lpstr>Advanced Settings</vt:lpstr>
      <vt:lpstr>To Do</vt:lpstr>
      <vt:lpstr>'Final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Kristopher Turner</cp:lastModifiedBy>
  <cp:revision>0</cp:revision>
  <dcterms:created xsi:type="dcterms:W3CDTF">2026-03-10T12:32:26Z</dcterms:created>
  <dcterms:modified xsi:type="dcterms:W3CDTF">2026-04-01T13:32:36Z</dcterms:modified>
  <dc:language>en-US</dc:language>
</cp:coreProperties>
</file>