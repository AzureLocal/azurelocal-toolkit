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git\azurelocal-toolkit\tools\planning\"/>
    </mc:Choice>
  </mc:AlternateContent>
  <xr:revisionPtr revIDLastSave="0" documentId="13_ncr:1_{BADAE618-D01A-4AA4-921D-C6E75FE0ADE0}" xr6:coauthVersionLast="47" xr6:coauthVersionMax="47" xr10:uidLastSave="{00000000-0000-0000-0000-000000000000}"/>
  <bookViews>
    <workbookView xWindow="4380" yWindow="600" windowWidth="45765" windowHeight="19950" tabRatio="804" activeTab="9" xr2:uid="{00000000-000D-0000-FFFF-FFFF00000000}"/>
  </bookViews>
  <sheets>
    <sheet name="How to Use" sheetId="1" r:id="rId1"/>
    <sheet name="Hardware Inputs" sheetId="2" r:id="rId2"/>
    <sheet name="Workload Planner" sheetId="3" r:id="rId3"/>
    <sheet name="AVD Planning" sheetId="13" r:id="rId4"/>
    <sheet name="SOFS Planner" sheetId="14" r:id="rId5"/>
    <sheet name="Volume Detail" sheetId="7" r:id="rId6"/>
    <sheet name="Capacity Report" sheetId="5" r:id="rId7"/>
    <sheet name="Compute Report" sheetId="12" r:id="rId8"/>
    <sheet name="Final Report" sheetId="11" r:id="rId9"/>
    <sheet name="Drive Layout Comparison" sheetId="10" r:id="rId10"/>
    <sheet name="Thin Provisioning" sheetId="6" r:id="rId11"/>
    <sheet name="References" sheetId="8" r:id="rId12"/>
    <sheet name="Advanced Settings" sheetId="4" r:id="rId13"/>
    <sheet name="To Do" sheetId="15" r:id="rId14"/>
  </sheets>
  <definedNames>
    <definedName name="_xlnm.Print_Area" localSheetId="8">'Final Report'!$B$1:$H$122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4" i="2" l="1"/>
  <c r="F159" i="11"/>
  <c r="F158" i="11"/>
  <c r="F157" i="11"/>
  <c r="F156" i="11"/>
  <c r="F56" i="12"/>
  <c r="F55" i="12"/>
  <c r="F54" i="12"/>
  <c r="F53" i="12"/>
  <c r="F159" i="3"/>
  <c r="E159" i="3"/>
  <c r="D159" i="3"/>
  <c r="C159" i="3"/>
  <c r="F158" i="3"/>
  <c r="E158" i="3"/>
  <c r="D158" i="3"/>
  <c r="C158" i="3"/>
  <c r="F157" i="3"/>
  <c r="E157" i="3"/>
  <c r="D157" i="3"/>
  <c r="C157" i="3"/>
  <c r="F156" i="3"/>
  <c r="E156" i="3"/>
  <c r="D156" i="3"/>
  <c r="C156" i="3"/>
  <c r="F146" i="3"/>
  <c r="C152" i="3"/>
  <c r="C146" i="3"/>
  <c r="C143" i="3"/>
  <c r="E139" i="3"/>
  <c r="D139" i="3"/>
  <c r="C139" i="3"/>
  <c r="D138" i="3"/>
  <c r="E137" i="3"/>
  <c r="D137" i="3"/>
  <c r="E136" i="3"/>
  <c r="D136" i="3"/>
  <c r="E135" i="3"/>
  <c r="D135" i="3"/>
  <c r="C50" i="14"/>
  <c r="C16" i="14"/>
  <c r="C10" i="14"/>
  <c r="D50" i="11"/>
  <c r="C50" i="11"/>
  <c r="B77" i="11"/>
  <c r="H77" i="11" s="1"/>
  <c r="B76" i="11"/>
  <c r="B75" i="11"/>
  <c r="C44" i="14"/>
  <c r="D144" i="11" s="1"/>
  <c r="C42" i="14"/>
  <c r="C43" i="14" s="1"/>
  <c r="C13" i="7"/>
  <c r="C74" i="11" s="1"/>
  <c r="B16" i="7"/>
  <c r="D16" i="7" s="1"/>
  <c r="F16" i="7" s="1"/>
  <c r="B15" i="7"/>
  <c r="C15" i="7" s="1"/>
  <c r="B14" i="7"/>
  <c r="E51" i="4"/>
  <c r="C51" i="4"/>
  <c r="E50" i="4"/>
  <c r="C50" i="4"/>
  <c r="E49" i="4"/>
  <c r="C49" i="4"/>
  <c r="E48" i="4"/>
  <c r="C48" i="4"/>
  <c r="E47" i="4"/>
  <c r="C47" i="4"/>
  <c r="C45" i="4"/>
  <c r="E45" i="4" s="1"/>
  <c r="E44" i="4"/>
  <c r="C44" i="4"/>
  <c r="E42" i="4"/>
  <c r="C42" i="4"/>
  <c r="E39" i="4"/>
  <c r="C39" i="4"/>
  <c r="E38" i="4"/>
  <c r="C38" i="4"/>
  <c r="E37" i="4"/>
  <c r="C37" i="4"/>
  <c r="E36" i="4"/>
  <c r="C36" i="4"/>
  <c r="C37" i="3"/>
  <c r="G19" i="12" s="1"/>
  <c r="C36" i="3"/>
  <c r="C35" i="3"/>
  <c r="C34" i="3"/>
  <c r="F49" i="12" s="1"/>
  <c r="C33" i="3"/>
  <c r="C32" i="3"/>
  <c r="C45" i="12" s="1"/>
  <c r="C31" i="3"/>
  <c r="C44" i="12" s="1"/>
  <c r="C30" i="3"/>
  <c r="F43" i="12" s="1"/>
  <c r="C29" i="3"/>
  <c r="E140" i="11" s="1"/>
  <c r="C28" i="3"/>
  <c r="C27" i="3"/>
  <c r="C41" i="12" s="1"/>
  <c r="C24" i="3"/>
  <c r="C23" i="3"/>
  <c r="D22" i="3"/>
  <c r="F44" i="11" s="1"/>
  <c r="C22" i="3"/>
  <c r="C7" i="7" s="1"/>
  <c r="H7" i="7" s="1"/>
  <c r="C21" i="3"/>
  <c r="C25" i="14" s="1"/>
  <c r="C20" i="3"/>
  <c r="C60" i="11" s="1"/>
  <c r="C19" i="3"/>
  <c r="C34" i="14" s="1"/>
  <c r="C37" i="14" s="1"/>
  <c r="C73" i="4" s="1"/>
  <c r="E73" i="4" s="1"/>
  <c r="C18" i="3"/>
  <c r="C23" i="14" s="1"/>
  <c r="C17" i="3"/>
  <c r="C22" i="14" s="1"/>
  <c r="C15" i="3"/>
  <c r="C14" i="3"/>
  <c r="C13" i="3"/>
  <c r="C12" i="3"/>
  <c r="C11" i="3"/>
  <c r="C55" i="11" s="1"/>
  <c r="C10" i="3"/>
  <c r="C49" i="12" s="1"/>
  <c r="C8" i="3"/>
  <c r="E58" i="11" s="1"/>
  <c r="C42" i="12"/>
  <c r="D43" i="11"/>
  <c r="D114" i="13"/>
  <c r="C114" i="13"/>
  <c r="D113" i="13"/>
  <c r="C113" i="13"/>
  <c r="D112" i="13"/>
  <c r="C112" i="13"/>
  <c r="D111" i="13"/>
  <c r="C111" i="13"/>
  <c r="D110" i="13"/>
  <c r="C110" i="13"/>
  <c r="D109" i="13"/>
  <c r="C109" i="13"/>
  <c r="D108" i="13"/>
  <c r="C108" i="13"/>
  <c r="C100" i="13"/>
  <c r="C99" i="13"/>
  <c r="C98" i="13"/>
  <c r="D92" i="13"/>
  <c r="C92" i="13"/>
  <c r="D91" i="13"/>
  <c r="C91" i="13"/>
  <c r="C90" i="13"/>
  <c r="D83" i="13"/>
  <c r="C83" i="13"/>
  <c r="D80" i="13"/>
  <c r="C80" i="13"/>
  <c r="F79" i="13"/>
  <c r="E79" i="13"/>
  <c r="D79" i="13"/>
  <c r="F78" i="13"/>
  <c r="E78" i="13"/>
  <c r="F77" i="13"/>
  <c r="E77" i="13"/>
  <c r="F76" i="13"/>
  <c r="E76" i="13"/>
  <c r="C70" i="13"/>
  <c r="C69" i="13"/>
  <c r="C68" i="13"/>
  <c r="C66" i="13"/>
  <c r="C65" i="13"/>
  <c r="C64" i="13"/>
  <c r="C63" i="13"/>
  <c r="F57" i="13"/>
  <c r="E57" i="13"/>
  <c r="D57" i="13"/>
  <c r="C57" i="13"/>
  <c r="F56" i="13"/>
  <c r="E56" i="13"/>
  <c r="D56" i="13"/>
  <c r="C56" i="13"/>
  <c r="F55" i="13"/>
  <c r="E55" i="13"/>
  <c r="D55" i="13"/>
  <c r="C55" i="13"/>
  <c r="E52" i="13"/>
  <c r="D52" i="13"/>
  <c r="C52" i="13"/>
  <c r="C49" i="13"/>
  <c r="C44" i="13"/>
  <c r="C43" i="13"/>
  <c r="C42" i="13"/>
  <c r="C41" i="13"/>
  <c r="C38" i="13"/>
  <c r="C37" i="13"/>
  <c r="C36" i="13"/>
  <c r="C35" i="13"/>
  <c r="C34" i="13"/>
  <c r="C33" i="13"/>
  <c r="C24" i="13"/>
  <c r="F23" i="13"/>
  <c r="C23" i="13"/>
  <c r="D22" i="13"/>
  <c r="C14" i="13"/>
  <c r="C43" i="4" s="1"/>
  <c r="E43" i="4" s="1"/>
  <c r="F13" i="13"/>
  <c r="C13" i="13"/>
  <c r="F12" i="13"/>
  <c r="D12" i="13"/>
  <c r="D13" i="3" s="1"/>
  <c r="F43" i="11" s="1"/>
  <c r="C94" i="3"/>
  <c r="F143" i="11" s="1"/>
  <c r="C77" i="3"/>
  <c r="G21" i="12" s="1"/>
  <c r="C63" i="3"/>
  <c r="B3" i="12"/>
  <c r="D36" i="12"/>
  <c r="D35" i="12"/>
  <c r="F22" i="12"/>
  <c r="E22" i="12"/>
  <c r="C22" i="12"/>
  <c r="F21" i="12"/>
  <c r="E21" i="12"/>
  <c r="C21" i="12"/>
  <c r="F20" i="12"/>
  <c r="E20" i="12"/>
  <c r="C20" i="12"/>
  <c r="C15" i="12"/>
  <c r="D38" i="12" s="1"/>
  <c r="C14" i="12"/>
  <c r="D37" i="12" s="1"/>
  <c r="C12" i="12"/>
  <c r="C11" i="12"/>
  <c r="C9" i="12"/>
  <c r="F8" i="12"/>
  <c r="C8" i="12"/>
  <c r="F7" i="12"/>
  <c r="C7" i="12"/>
  <c r="F6" i="12"/>
  <c r="C6" i="12"/>
  <c r="C5" i="12"/>
  <c r="F12" i="12" s="1"/>
  <c r="E143" i="11"/>
  <c r="D143" i="11"/>
  <c r="C143" i="11"/>
  <c r="E142" i="11"/>
  <c r="D142" i="11"/>
  <c r="E141" i="11"/>
  <c r="D141" i="11"/>
  <c r="C136" i="11"/>
  <c r="C135" i="11"/>
  <c r="E134" i="11"/>
  <c r="C134" i="11"/>
  <c r="E133" i="11"/>
  <c r="C133" i="11"/>
  <c r="C130" i="11"/>
  <c r="E129" i="11"/>
  <c r="C129" i="11"/>
  <c r="C128" i="11"/>
  <c r="C127" i="11"/>
  <c r="C126" i="11"/>
  <c r="C150" i="3"/>
  <c r="C149" i="3"/>
  <c r="C133" i="3"/>
  <c r="C132" i="3"/>
  <c r="C93" i="3"/>
  <c r="D22" i="12" s="1"/>
  <c r="C76" i="3"/>
  <c r="D21" i="12" s="1"/>
  <c r="C62" i="3"/>
  <c r="D20" i="12" s="1"/>
  <c r="C39" i="2"/>
  <c r="C38" i="2"/>
  <c r="C36" i="2"/>
  <c r="C40" i="2" s="1"/>
  <c r="C35" i="2"/>
  <c r="C37" i="2" s="1"/>
  <c r="B88" i="11"/>
  <c r="B87" i="11"/>
  <c r="B86" i="11"/>
  <c r="B85" i="11"/>
  <c r="B84" i="11"/>
  <c r="C59" i="11"/>
  <c r="C62" i="11"/>
  <c r="C56" i="11"/>
  <c r="C120" i="11"/>
  <c r="C119" i="11"/>
  <c r="C118" i="11"/>
  <c r="C117" i="11"/>
  <c r="C113" i="11"/>
  <c r="C105" i="11"/>
  <c r="D44" i="11"/>
  <c r="D45" i="11"/>
  <c r="D46" i="11"/>
  <c r="D47" i="11"/>
  <c r="D48" i="11"/>
  <c r="D49" i="11"/>
  <c r="C6" i="11"/>
  <c r="C7" i="11"/>
  <c r="C8" i="11"/>
  <c r="C9" i="11"/>
  <c r="B3" i="11"/>
  <c r="C109" i="3"/>
  <c r="C110" i="3" s="1"/>
  <c r="C59" i="4" s="1"/>
  <c r="E59" i="4" s="1"/>
  <c r="B29" i="7"/>
  <c r="C12" i="7"/>
  <c r="H12" i="7" s="1"/>
  <c r="C11" i="7"/>
  <c r="C72" i="11" s="1"/>
  <c r="C10" i="7"/>
  <c r="C71" i="11" s="1"/>
  <c r="C9" i="7"/>
  <c r="G9" i="7" s="1"/>
  <c r="G70" i="11" s="1"/>
  <c r="C8" i="7"/>
  <c r="G8" i="7" s="1"/>
  <c r="G69" i="11" s="1"/>
  <c r="D108" i="3"/>
  <c r="F49" i="11" s="1"/>
  <c r="C102" i="3"/>
  <c r="C103" i="3" s="1"/>
  <c r="C58" i="4" s="1"/>
  <c r="E58" i="4" s="1"/>
  <c r="D101" i="3"/>
  <c r="F48" i="11" s="1"/>
  <c r="C87" i="3"/>
  <c r="D10" i="7" s="1"/>
  <c r="D71" i="11" s="1"/>
  <c r="D86" i="3"/>
  <c r="F47" i="11" s="1"/>
  <c r="C70" i="3"/>
  <c r="F70" i="3" s="1"/>
  <c r="D69" i="3"/>
  <c r="F46" i="11" s="1"/>
  <c r="C54" i="3"/>
  <c r="D8" i="7" s="1"/>
  <c r="D69" i="11" s="1"/>
  <c r="D53" i="3"/>
  <c r="F45" i="11" s="1"/>
  <c r="C10" i="10"/>
  <c r="C8" i="10"/>
  <c r="C100" i="11" s="1"/>
  <c r="C7" i="10"/>
  <c r="C99" i="11" s="1"/>
  <c r="C6" i="10"/>
  <c r="D21" i="10" s="1"/>
  <c r="C8" i="5"/>
  <c r="C6" i="5"/>
  <c r="C5" i="5"/>
  <c r="C23" i="4"/>
  <c r="C22" i="4"/>
  <c r="C21" i="4"/>
  <c r="C20" i="4"/>
  <c r="C19" i="4"/>
  <c r="C18" i="4"/>
  <c r="C14" i="4"/>
  <c r="C22" i="2" s="1"/>
  <c r="C12" i="5" s="1"/>
  <c r="C7" i="4"/>
  <c r="C19" i="2"/>
  <c r="C21" i="2" s="1"/>
  <c r="C11" i="5" s="1"/>
  <c r="C17" i="2"/>
  <c r="C16" i="2"/>
  <c r="C18" i="2" s="1"/>
  <c r="C9" i="5" s="1"/>
  <c r="C32" i="4" l="1"/>
  <c r="E32" i="4" s="1"/>
  <c r="C34" i="4"/>
  <c r="E34" i="4" s="1"/>
  <c r="C31" i="4"/>
  <c r="E31" i="4" s="1"/>
  <c r="C136" i="3"/>
  <c r="F19" i="12"/>
  <c r="C138" i="3"/>
  <c r="C137" i="3"/>
  <c r="E138" i="3"/>
  <c r="C135" i="3"/>
  <c r="I16" i="7"/>
  <c r="C144" i="11"/>
  <c r="F144" i="11" s="1"/>
  <c r="D23" i="12"/>
  <c r="E23" i="12"/>
  <c r="E24" i="12" s="1"/>
  <c r="B92" i="11"/>
  <c r="C76" i="11"/>
  <c r="C16" i="7"/>
  <c r="F50" i="11"/>
  <c r="C14" i="7"/>
  <c r="C75" i="11" s="1"/>
  <c r="C77" i="11"/>
  <c r="D77" i="11"/>
  <c r="E77" i="11"/>
  <c r="F77" i="11"/>
  <c r="G77" i="11"/>
  <c r="F14" i="12"/>
  <c r="F11" i="12"/>
  <c r="C24" i="14"/>
  <c r="C26" i="14" s="1"/>
  <c r="C61" i="11"/>
  <c r="C142" i="11"/>
  <c r="G20" i="12"/>
  <c r="C36" i="14"/>
  <c r="C72" i="4" s="1"/>
  <c r="E72" i="4" s="1"/>
  <c r="G16" i="7"/>
  <c r="E16" i="7"/>
  <c r="C25" i="13"/>
  <c r="C54" i="11"/>
  <c r="C43" i="12"/>
  <c r="C47" i="12"/>
  <c r="C6" i="7"/>
  <c r="H6" i="7" s="1"/>
  <c r="C57" i="11"/>
  <c r="F45" i="12"/>
  <c r="E53" i="11"/>
  <c r="C19" i="12"/>
  <c r="C56" i="12"/>
  <c r="C159" i="11"/>
  <c r="D159" i="11"/>
  <c r="C140" i="11"/>
  <c r="C48" i="12"/>
  <c r="D140" i="11"/>
  <c r="D145" i="11" s="1"/>
  <c r="D19" i="12"/>
  <c r="F48" i="12"/>
  <c r="E19" i="12"/>
  <c r="F140" i="11"/>
  <c r="C141" i="11"/>
  <c r="G22" i="12"/>
  <c r="F142" i="11"/>
  <c r="F141" i="11"/>
  <c r="C49" i="11"/>
  <c r="G49" i="11" s="1"/>
  <c r="C14" i="10"/>
  <c r="E14" i="10" s="1"/>
  <c r="D12" i="7"/>
  <c r="I12" i="7" s="1"/>
  <c r="H73" i="11" s="1"/>
  <c r="C55" i="3"/>
  <c r="F14" i="10"/>
  <c r="C101" i="11" s="1"/>
  <c r="C68" i="11"/>
  <c r="C46" i="11"/>
  <c r="E46" i="11" s="1"/>
  <c r="D15" i="10"/>
  <c r="C71" i="3"/>
  <c r="C56" i="4" s="1"/>
  <c r="E56" i="4" s="1"/>
  <c r="D18" i="10"/>
  <c r="D20" i="10"/>
  <c r="C14" i="11"/>
  <c r="B14" i="10"/>
  <c r="D14" i="10" s="1"/>
  <c r="H10" i="7"/>
  <c r="C13" i="11"/>
  <c r="D16" i="10"/>
  <c r="D17" i="10"/>
  <c r="D19" i="10"/>
  <c r="G11" i="7"/>
  <c r="G72" i="11" s="1"/>
  <c r="C10" i="11"/>
  <c r="C11" i="11"/>
  <c r="C9" i="10"/>
  <c r="G10" i="7"/>
  <c r="G71" i="11" s="1"/>
  <c r="C43" i="11"/>
  <c r="H11" i="7"/>
  <c r="G12" i="7"/>
  <c r="G73" i="11" s="1"/>
  <c r="C48" i="11"/>
  <c r="C73" i="11"/>
  <c r="D9" i="7"/>
  <c r="E9" i="7" s="1"/>
  <c r="E70" i="11" s="1"/>
  <c r="C47" i="11"/>
  <c r="H9" i="7"/>
  <c r="C45" i="11"/>
  <c r="C70" i="11"/>
  <c r="C121" i="11"/>
  <c r="C44" i="11"/>
  <c r="C69" i="11"/>
  <c r="C122" i="11"/>
  <c r="C122" i="3"/>
  <c r="F12" i="7"/>
  <c r="F73" i="11" s="1"/>
  <c r="C116" i="3"/>
  <c r="F6" i="7"/>
  <c r="F67" i="11" s="1"/>
  <c r="F11" i="7"/>
  <c r="F72" i="11" s="1"/>
  <c r="C121" i="3"/>
  <c r="E8" i="7"/>
  <c r="E69" i="11" s="1"/>
  <c r="I8" i="7"/>
  <c r="H69" i="11" s="1"/>
  <c r="E10" i="7"/>
  <c r="E71" i="11" s="1"/>
  <c r="I10" i="7"/>
  <c r="H71" i="11" s="1"/>
  <c r="D7" i="7"/>
  <c r="D68" i="11" s="1"/>
  <c r="F87" i="3"/>
  <c r="C88" i="3"/>
  <c r="C57" i="4" s="1"/>
  <c r="E57" i="4" s="1"/>
  <c r="H8" i="7"/>
  <c r="G7" i="7"/>
  <c r="G68" i="11" s="1"/>
  <c r="D11" i="7"/>
  <c r="D72" i="11" s="1"/>
  <c r="F54" i="3"/>
  <c r="D6" i="7"/>
  <c r="D67" i="11" s="1"/>
  <c r="C20" i="2"/>
  <c r="C7" i="5"/>
  <c r="C12" i="11" l="1"/>
  <c r="C33" i="4"/>
  <c r="E33" i="4" s="1"/>
  <c r="F145" i="11"/>
  <c r="D151" i="11" s="1"/>
  <c r="D24" i="12"/>
  <c r="G23" i="12"/>
  <c r="G24" i="12" s="1"/>
  <c r="C141" i="3"/>
  <c r="C151" i="3" s="1"/>
  <c r="C142" i="3"/>
  <c r="C145" i="11"/>
  <c r="F8" i="7"/>
  <c r="F69" i="11" s="1"/>
  <c r="C55" i="4"/>
  <c r="E55" i="4" s="1"/>
  <c r="C27" i="12"/>
  <c r="F27" i="12" s="1"/>
  <c r="C27" i="14"/>
  <c r="C8" i="14" s="1"/>
  <c r="C18" i="14" s="1"/>
  <c r="C70" i="4"/>
  <c r="E70" i="4" s="1"/>
  <c r="C25" i="3"/>
  <c r="C54" i="4" s="1"/>
  <c r="E54" i="4" s="1"/>
  <c r="C46" i="4"/>
  <c r="E46" i="4" s="1"/>
  <c r="G6" i="7"/>
  <c r="G67" i="11" s="1"/>
  <c r="C67" i="11"/>
  <c r="C54" i="12"/>
  <c r="C157" i="11"/>
  <c r="D157" i="11"/>
  <c r="E157" i="11"/>
  <c r="D56" i="12"/>
  <c r="D152" i="11"/>
  <c r="C152" i="11"/>
  <c r="D150" i="11"/>
  <c r="C150" i="11"/>
  <c r="C158" i="11"/>
  <c r="C55" i="12"/>
  <c r="D53" i="12"/>
  <c r="C53" i="12"/>
  <c r="C156" i="11"/>
  <c r="F31" i="12"/>
  <c r="C38" i="12"/>
  <c r="F38" i="12" s="1"/>
  <c r="C36" i="12"/>
  <c r="F36" i="12" s="1"/>
  <c r="C31" i="12"/>
  <c r="C30" i="12"/>
  <c r="F30" i="12" s="1"/>
  <c r="E56" i="12"/>
  <c r="E159" i="11"/>
  <c r="D149" i="11"/>
  <c r="C149" i="11"/>
  <c r="E49" i="11"/>
  <c r="C118" i="3"/>
  <c r="D73" i="11"/>
  <c r="E12" i="7"/>
  <c r="E73" i="11" s="1"/>
  <c r="G46" i="11"/>
  <c r="G14" i="10"/>
  <c r="C102" i="11" s="1"/>
  <c r="C119" i="3"/>
  <c r="F9" i="7"/>
  <c r="F70" i="11" s="1"/>
  <c r="E47" i="11"/>
  <c r="G47" i="11"/>
  <c r="G43" i="11"/>
  <c r="E43" i="11"/>
  <c r="G44" i="11"/>
  <c r="E44" i="11"/>
  <c r="I9" i="7"/>
  <c r="H70" i="11" s="1"/>
  <c r="D70" i="11"/>
  <c r="E45" i="11"/>
  <c r="G45" i="11"/>
  <c r="C20" i="10"/>
  <c r="E20" i="10" s="1"/>
  <c r="C18" i="10"/>
  <c r="E18" i="10" s="1"/>
  <c r="C15" i="10"/>
  <c r="E15" i="10" s="1"/>
  <c r="C21" i="10"/>
  <c r="C17" i="10"/>
  <c r="E17" i="10" s="1"/>
  <c r="F17" i="10" s="1"/>
  <c r="G17" i="10" s="1"/>
  <c r="C19" i="10"/>
  <c r="E19" i="10" s="1"/>
  <c r="F19" i="10" s="1"/>
  <c r="G19" i="10" s="1"/>
  <c r="C16" i="10"/>
  <c r="E16" i="10" s="1"/>
  <c r="F16" i="10" s="1"/>
  <c r="G48" i="11"/>
  <c r="E48" i="11"/>
  <c r="I6" i="7"/>
  <c r="H67" i="11" s="1"/>
  <c r="E6" i="7"/>
  <c r="C117" i="3"/>
  <c r="F7" i="7"/>
  <c r="F68" i="11" s="1"/>
  <c r="I11" i="7"/>
  <c r="H72" i="11" s="1"/>
  <c r="E11" i="7"/>
  <c r="E72" i="11" s="1"/>
  <c r="F10" i="7"/>
  <c r="C120" i="3"/>
  <c r="I7" i="7"/>
  <c r="H68" i="11" s="1"/>
  <c r="E7" i="7"/>
  <c r="C10" i="5"/>
  <c r="C35" i="4"/>
  <c r="E35" i="4" s="1"/>
  <c r="H17" i="10" l="1"/>
  <c r="C151" i="11"/>
  <c r="C28" i="12"/>
  <c r="F28" i="12"/>
  <c r="C35" i="12"/>
  <c r="C37" i="12"/>
  <c r="D13" i="7"/>
  <c r="C71" i="4"/>
  <c r="E71" i="4" s="1"/>
  <c r="C15" i="14"/>
  <c r="C17" i="14" s="1"/>
  <c r="C19" i="14" s="1"/>
  <c r="E54" i="12"/>
  <c r="E36" i="12"/>
  <c r="G36" i="12"/>
  <c r="D156" i="11"/>
  <c r="C145" i="3"/>
  <c r="F145" i="3" s="1"/>
  <c r="D54" i="12"/>
  <c r="G38" i="12"/>
  <c r="E158" i="11"/>
  <c r="E55" i="12"/>
  <c r="E35" i="12"/>
  <c r="G35" i="12"/>
  <c r="F35" i="12"/>
  <c r="G37" i="12"/>
  <c r="E37" i="12"/>
  <c r="F37" i="12"/>
  <c r="E156" i="11"/>
  <c r="E53" i="12"/>
  <c r="E38" i="12"/>
  <c r="D55" i="12"/>
  <c r="D158" i="11"/>
  <c r="H19" i="10"/>
  <c r="E68" i="11"/>
  <c r="B83" i="11"/>
  <c r="E67" i="11"/>
  <c r="B82" i="11"/>
  <c r="E21" i="10"/>
  <c r="C106" i="11"/>
  <c r="G16" i="10"/>
  <c r="H16" i="10" s="1"/>
  <c r="F18" i="10"/>
  <c r="G18" i="10" s="1"/>
  <c r="H18" i="10" s="1"/>
  <c r="F20" i="10"/>
  <c r="G20" i="10" s="1"/>
  <c r="H20" i="10" s="1"/>
  <c r="E15" i="11"/>
  <c r="C5" i="3"/>
  <c r="C114" i="3"/>
  <c r="C18" i="11" s="1"/>
  <c r="C15" i="11"/>
  <c r="E5" i="3"/>
  <c r="F15" i="10"/>
  <c r="G15" i="10"/>
  <c r="H15" i="10" s="1"/>
  <c r="F71" i="11"/>
  <c r="C13" i="5"/>
  <c r="C26" i="2"/>
  <c r="C14" i="5" s="1"/>
  <c r="G13" i="7" l="1"/>
  <c r="G74" i="11" s="1"/>
  <c r="D74" i="11"/>
  <c r="I13" i="7"/>
  <c r="D15" i="7"/>
  <c r="E13" i="7"/>
  <c r="E74" i="11" s="1"/>
  <c r="F13" i="7"/>
  <c r="F74" i="11" s="1"/>
  <c r="D14" i="7"/>
  <c r="C66" i="4"/>
  <c r="E66" i="4" s="1"/>
  <c r="C125" i="3"/>
  <c r="F21" i="10"/>
  <c r="C107" i="11" s="1"/>
  <c r="G21" i="10"/>
  <c r="I14" i="7" l="1"/>
  <c r="H75" i="11" s="1"/>
  <c r="D75" i="11"/>
  <c r="F15" i="7"/>
  <c r="F76" i="11" s="1"/>
  <c r="I15" i="7"/>
  <c r="H76" i="11" s="1"/>
  <c r="G15" i="7"/>
  <c r="G76" i="11" s="1"/>
  <c r="D76" i="11"/>
  <c r="E15" i="7"/>
  <c r="E76" i="11" s="1"/>
  <c r="D23" i="7"/>
  <c r="D78" i="11" s="1"/>
  <c r="E50" i="11"/>
  <c r="C126" i="3" a="1"/>
  <c r="C126" i="3" s="1"/>
  <c r="F126" i="3" s="1"/>
  <c r="H74" i="11"/>
  <c r="G14" i="7"/>
  <c r="G75" i="11" s="1"/>
  <c r="B89" i="11"/>
  <c r="E14" i="7"/>
  <c r="F14" i="7"/>
  <c r="C67" i="4"/>
  <c r="E67" i="4" s="1"/>
  <c r="C16" i="5"/>
  <c r="E51" i="11"/>
  <c r="C20" i="11"/>
  <c r="C108" i="11"/>
  <c r="H21" i="10"/>
  <c r="C109" i="11" s="1"/>
  <c r="B91" i="11" l="1"/>
  <c r="E23" i="7"/>
  <c r="E78" i="11" s="1"/>
  <c r="E75" i="11"/>
  <c r="C21" i="11"/>
  <c r="C123" i="3"/>
  <c r="G50" i="11" s="1"/>
  <c r="C114" i="11"/>
  <c r="F23" i="7"/>
  <c r="F78" i="11" s="1"/>
  <c r="F75" i="11"/>
  <c r="I23" i="7"/>
  <c r="H78" i="11" s="1"/>
  <c r="B90" i="11"/>
  <c r="C124" i="3"/>
  <c r="C61" i="4" s="1"/>
  <c r="E61" i="4" s="1"/>
  <c r="C60" i="4"/>
  <c r="E60" i="4" s="1"/>
  <c r="C68" i="4"/>
  <c r="E68" i="4" s="1"/>
  <c r="C128" i="3" l="1"/>
  <c r="C62" i="4" s="1"/>
  <c r="E62" i="4" s="1"/>
  <c r="G51" i="11"/>
  <c r="C15" i="5"/>
  <c r="C19" i="11"/>
  <c r="C129" i="3"/>
  <c r="C63" i="4" s="1"/>
  <c r="E63" i="4" s="1"/>
  <c r="C27" i="11"/>
  <c r="C69" i="4"/>
  <c r="E69" i="4" s="1"/>
  <c r="C29" i="14"/>
  <c r="C49" i="14" s="1"/>
  <c r="C28" i="14"/>
  <c r="C48" i="14" s="1"/>
  <c r="C116" i="11"/>
  <c r="F128" i="3" l="1"/>
  <c r="C23" i="11"/>
  <c r="C17" i="5"/>
  <c r="C25" i="11"/>
  <c r="C18" i="5"/>
  <c r="C24" i="11"/>
  <c r="C115" i="11"/>
  <c r="B26" i="7"/>
  <c r="D27" i="1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<sst xmlns="http://schemas.openxmlformats.org/spreadsheetml/2006/main" count="1319" uniqueCount="929">
  <si>
    <t>Azure Local / Storage Spaces Direct — Capacity Planning Tool</t>
  </si>
  <si>
    <t>This workbook helps you plan storage for an Azure Local cluster using Storage Spaces Direct (S2D). Enter your hardware specs and planned workloads — the calculator tells you how much usable storage you get and whether everything fits. You do NOT need to be a storage expert.</t>
  </si>
  <si>
    <t>QUICK START — 3 STEPS</t>
  </si>
  <si>
    <t>STEP 1</t>
  </si>
  <si>
    <t>Go to 'Hardware Inputs'. Use the DROPDOWN MENUS to enter: node count, drive type, drives per node, and drive size. The calculator IMMEDIATELY shows your available storage in a big green number.</t>
  </si>
  <si>
    <t>STEP 2</t>
  </si>
  <si>
    <t>STEP 3</t>
  </si>
  <si>
    <t>Review 'Capacity Report' and 'Volume Detail'. Print or share these with your team or customer. The report explains all the numbers and includes key concepts if anyone asks questions.</t>
  </si>
  <si>
    <t>COLOR GUIDE</t>
  </si>
  <si>
    <t>Blue on Yellow</t>
  </si>
  <si>
    <t>YOUR INPUT — only cells you edit. All have dropdowns or accept numbers.</t>
  </si>
  <si>
    <t>Green</t>
  </si>
  <si>
    <t>GOOD NEWS — available capacity, passing checks. Bigger green number = better.</t>
  </si>
  <si>
    <t>Blue on Light Blue</t>
  </si>
  <si>
    <t>CALCULATED — auto-calculated values. Do not edit.</t>
  </si>
  <si>
    <t>Red / Pink</t>
  </si>
  <si>
    <t>WARNING — footprint numbers, overcommit alerts, capacity exceeded.</t>
  </si>
  <si>
    <t>Orange</t>
  </si>
  <si>
    <t>CAUTION — reserve capacity, infrastructure overhead.</t>
  </si>
  <si>
    <t>Gray</t>
  </si>
  <si>
    <t>LABELS — descriptions explaining what each row means.</t>
  </si>
  <si>
    <t>TABS IN THIS WORKBOOK</t>
  </si>
  <si>
    <t>1. Hardware Inputs</t>
  </si>
  <si>
    <t>WHERE YOU START. Enter cluster hardware with dropdowns. See your available capacity instantly. Shows TB vs TiB conversion for Windows Admin Center. Includes N+1 compute reminder.</t>
  </si>
  <si>
    <t>WHAT YOU SHARE. Executive summary, capacity term glossary, reserve explanation, drive sizing advisory, N+1 compute reminder. Print this for project documentation.</t>
  </si>
  <si>
    <t>READ IF CONSIDERING THIN. Risks, when acceptable, monitoring commands, best practices checklist.</t>
  </si>
  <si>
    <t>COMMON QUESTIONS</t>
  </si>
  <si>
    <t>Why does Windows show different numbers?</t>
  </si>
  <si>
    <t>Calculator uses TB (decimal). Windows uses TiB (binary). 1 TB = 0.909 TiB. Both are correct. Row 26 on Hardware Inputs shows TiB equivalent.</t>
  </si>
  <si>
    <t>Why is so much capacity 'lost'?</t>
  </si>
  <si>
    <t>Three-way mirror = 3 copies = 33% efficiency. This is WHY data survives 2 failures. Two-way = 50%. Dual Parity = 50-80% at 4+ nodes.</t>
  </si>
  <si>
    <t>Why can't I use all my pool?</t>
  </si>
  <si>
    <t>Three deductions: Drive overhead (~8%), Reserve (~1 drive/node for auto-repair), Infrastructure volume (~250 GB for Azure Local system).</t>
  </si>
  <si>
    <t>What if workloads don't fit?</t>
  </si>
  <si>
    <t>Should I use thin provisioning?</t>
  </si>
  <si>
    <t>Production: NO, use Fixed. Thin risks pool exhaustion = VMs crash. OK for dev/test and FSLogix with monitoring. See Thin Provisioning tab.</t>
  </si>
  <si>
    <t>NVMe+SSD vs All-NVMe?</t>
  </si>
  <si>
    <t>NVMe+SSD: NVMe becomes CACHE (not capacity). Only SSD counts. All-NVMe: all drives are capacity. Most common for new Azure Local deployments.</t>
  </si>
  <si>
    <t>Can I add drives/nodes later?</t>
  </si>
  <si>
    <t>Yes. New drives auto-join pool. Adding 3rd node unlocks three-way mirror. But sizing correctly upfront is simpler than expanding later.</t>
  </si>
  <si>
    <t>What does N+1 compute mean?</t>
  </si>
  <si>
    <t>Size VMs to fit on N-1 nodes. If 1 node goes down, all VMs must failover to remaining nodes. This is CPU/RAM, separate from storage.</t>
  </si>
  <si>
    <t>TIPS</t>
  </si>
  <si>
    <t>1.</t>
  </si>
  <si>
    <t>Start with Hardware Inputs before planning workloads. Know what you have before planning what to put on it.</t>
  </si>
  <si>
    <t>2.</t>
  </si>
  <si>
    <t>Use dropdown menus — don't type resiliency types manually. Typos break formulas.</t>
  </si>
  <si>
    <t>3.</t>
  </si>
  <si>
    <t>Include ALL disks when estimating VM sizes (OS + data disks). Typical Windows Server = 80 GB OS + 100 GB data = 180 GB.</t>
  </si>
  <si>
    <t>4.</t>
  </si>
  <si>
    <t>For FSLogix, start at 5 GB/user if no data. Measure after 30 days and adjust.</t>
  </si>
  <si>
    <t>5.</t>
  </si>
  <si>
    <t>Keep pool utilization below 70%. Above 70% = limited rebuild headroom. Above 90% = danger zone.</t>
  </si>
  <si>
    <t>6.</t>
  </si>
  <si>
    <t>Consider Dual Parity for backup/archive on 4+ node clusters: 50-80% efficiency vs 33% for three-way mirror.</t>
  </si>
  <si>
    <t>7.</t>
  </si>
  <si>
    <t>Print the Capacity Report tab for project documentation.</t>
  </si>
  <si>
    <t>8.</t>
  </si>
  <si>
    <t>This calculator uses TB. Windows uses TiB. Numbers WILL look different. Both are correct.</t>
  </si>
  <si>
    <t>Cluster Hardware Configuration</t>
  </si>
  <si>
    <t>INSTRUCTIONS: Enter values in BLUE cells (dropdowns provided). Everything else auto-calculates.</t>
  </si>
  <si>
    <t>STEP 1: ENTER YOUR CLUSTER HARDWARE</t>
  </si>
  <si>
    <t>Number of Cluster Nodes (Servers)</t>
  </si>
  <si>
    <t>Select 1-16</t>
  </si>
  <si>
    <t>Physical servers in the Azure Local cluster.</t>
  </si>
  <si>
    <t>Drive Media Configuration</t>
  </si>
  <si>
    <t>All-NVMe (No Cache)</t>
  </si>
  <si>
    <t>Select type</t>
  </si>
  <si>
    <t>All-NVMe: all drives are capacity. NVMe+SSD: NVMe is CACHE only.</t>
  </si>
  <si>
    <t>Capacity Drives per Node</t>
  </si>
  <si>
    <t>Minimum: 2</t>
  </si>
  <si>
    <t>Size of Each Capacity Drive (TB)</t>
  </si>
  <si>
    <t>e.g. 1.6, 3.2, 7.68</t>
  </si>
  <si>
    <t>Vendor-advertised drive size in TB.</t>
  </si>
  <si>
    <t>Cache Drives per Node (NVMe+SSD only)</t>
  </si>
  <si>
    <t>Only if NVMe+SSD</t>
  </si>
  <si>
    <t>NVMe cache drives per node. These do NOT add capacity.</t>
  </si>
  <si>
    <t>Default Volume Provisioning</t>
  </si>
  <si>
    <t>Fixed (Thick)</t>
  </si>
  <si>
    <t>RECOMMENDED: Fixed. See Thin Provisioning tab for risks.</t>
  </si>
  <si>
    <t>STEP 2: YOUR AVAILABLE STORAGE (Auto-Calculated)</t>
  </si>
  <si>
    <t>Total Capacity Drives</t>
  </si>
  <si>
    <t>drives</t>
  </si>
  <si>
    <t>Nodes x Capacity Drives (excludes cache)</t>
  </si>
  <si>
    <t>Cache Drives (if applicable)</t>
  </si>
  <si>
    <t>Cache drives do NOT count toward capacity.</t>
  </si>
  <si>
    <t>Total Raw Capacity (Advertised)</t>
  </si>
  <si>
    <t>TB</t>
  </si>
  <si>
    <t>Capacity Drives x Drive Size.</t>
  </si>
  <si>
    <t>Usable Capacity per Drive</t>
  </si>
  <si>
    <t>After NVMe overhead (~8%). See Advanced Settings tab.</t>
  </si>
  <si>
    <t>Total Usable Pool (Before Reserve)</t>
  </si>
  <si>
    <t>All capacity drives pooled after overhead.</t>
  </si>
  <si>
    <t>Reserve (drive failure repair)</t>
  </si>
  <si>
    <t>1 drive per node (max 4) for auto-repair.</t>
  </si>
  <si>
    <t>Infrastructure Volume (Azure Local)</t>
  </si>
  <si>
    <t>TB footprint</t>
  </si>
  <si>
    <t>System volume created during deployment (~250 GB).</t>
  </si>
  <si>
    <t>YOUR AVAILABLE CAPACITY FOR VOLUMES</t>
  </si>
  <si>
    <t>Pool minus reserve minus infra = what you can use.</t>
  </si>
  <si>
    <t>What Windows Admin Center shows (TiB):</t>
  </si>
  <si>
    <t>TiB (approx)</t>
  </si>
  <si>
    <t>Windows uses TiB (binary). 1 TB = ~0.909 TiB. Numbers WILL differ.</t>
  </si>
  <si>
    <t>RESILIENCY REFERENCE</t>
  </si>
  <si>
    <t>Type</t>
  </si>
  <si>
    <t>Efficiency</t>
  </si>
  <si>
    <t>Min Nodes</t>
  </si>
  <si>
    <t>Fault Tolerance</t>
  </si>
  <si>
    <t>Two-Way Mirror</t>
  </si>
  <si>
    <t>50.0%</t>
  </si>
  <si>
    <t>1 failure</t>
  </si>
  <si>
    <t>Three-Way Mirror</t>
  </si>
  <si>
    <t>33.3%</t>
  </si>
  <si>
    <t>2 failures</t>
  </si>
  <si>
    <t>Dual Parity (4-6)</t>
  </si>
  <si>
    <t>Dual Parity (7-8)</t>
  </si>
  <si>
    <t>66.7%</t>
  </si>
  <si>
    <t>Dual Parity (9-15 flash)</t>
  </si>
  <si>
    <t>75.0%</t>
  </si>
  <si>
    <t>Dual Parity (16 flash)</t>
  </si>
  <si>
    <t>80.0%</t>
  </si>
  <si>
    <t>Nested Two-Way</t>
  </si>
  <si>
    <t>25.0%</t>
  </si>
  <si>
    <t>1 server+1 drive</t>
  </si>
  <si>
    <t>AVAILABLE POOL CAPACITY:</t>
  </si>
  <si>
    <t>VMs</t>
  </si>
  <si>
    <t>GB</t>
  </si>
  <si>
    <t>Logical / efficiency = pool space consumed.</t>
  </si>
  <si>
    <t>users</t>
  </si>
  <si>
    <t>overhead</t>
  </si>
  <si>
    <t>Buffer for growth. 20-50% recommended.</t>
  </si>
  <si>
    <t>Yes</t>
  </si>
  <si>
    <t>Dual Parity</t>
  </si>
  <si>
    <t>CAPACITY SUMMARY</t>
  </si>
  <si>
    <t>Available Pool Capacity</t>
  </si>
  <si>
    <t>Total pool capacity for volumes.</t>
  </si>
  <si>
    <t>TOTAL PHYSICAL FOOTPRINT</t>
  </si>
  <si>
    <t>Must be LESS than available pool.</t>
  </si>
  <si>
    <t>TOTAL USABLE VOLUME CAPACITY</t>
  </si>
  <si>
    <t>Logical capacity you get to use.</t>
  </si>
  <si>
    <t>Volume Count</t>
  </si>
  <si>
    <t>volumes</t>
  </si>
  <si>
    <t>REMAINING POOL CAPACITY</t>
  </si>
  <si>
    <t>Pool Utilization</t>
  </si>
  <si>
    <t>ADVANCED SETTINGS</t>
  </si>
  <si>
    <t>DRIVE CAPACITY EFFICIENCY FACTOR</t>
  </si>
  <si>
    <t>Manufacturers label drives in decimal TB (1 TB = 1,000,000,000,000 bytes). Windows reports in binary TiB (1 TiB = 1,099,511,627,776 bytes). A 7.68 TB drive shows as ~6.98 TiB. Plus NVMe reserves 1-3% for wear leveling. Combined: ~8% reduction.</t>
  </si>
  <si>
    <t>Example: 7.68 TB at 92%:</t>
  </si>
  <si>
    <t>TB usable</t>
  </si>
  <si>
    <t>What S2D pool reports per drive.</t>
  </si>
  <si>
    <t>Capacity Efficiency Factor</t>
  </si>
  <si>
    <t>Default: 92%</t>
  </si>
  <si>
    <t>Only change if vendor provides specific formatted capacity.</t>
  </si>
  <si>
    <t>INFRASTRUCTURE VOLUME</t>
  </si>
  <si>
    <t>Azure Local creates an infrastructure volume during deployment (~250 GB) for system metadata. This uses the same resiliency as workload volumes, so its footprint is larger.</t>
  </si>
  <si>
    <t>Infrastructure Volume Logical Size</t>
  </si>
  <si>
    <t>TB (~250 GB)</t>
  </si>
  <si>
    <t>Size of the infrastructure volume.</t>
  </si>
  <si>
    <t>Infrastructure Volume Footprint</t>
  </si>
  <si>
    <t>TB in pool</t>
  </si>
  <si>
    <t>Three-way mirror (3+ nodes) or two-way mirror (2 nodes).</t>
  </si>
  <si>
    <t>TB vs TiB CONVERSION TABLE</t>
  </si>
  <si>
    <t>Windows Admin Center, PowerShell, and Disk Management show TiB (binary). This calculator uses TB (decimal). Use this table to cross-check.</t>
  </si>
  <si>
    <t>1 TB (decimal) =</t>
  </si>
  <si>
    <t>TiB (binary)</t>
  </si>
  <si>
    <t>What Windows will show.</t>
  </si>
  <si>
    <t>5 TB (decimal) =</t>
  </si>
  <si>
    <t>10 TB (decimal) =</t>
  </si>
  <si>
    <t>25 TB (decimal) =</t>
  </si>
  <si>
    <t>50 TB (decimal) =</t>
  </si>
  <si>
    <t>100 TB (decimal) =</t>
  </si>
  <si>
    <t>S2D CAPACITY REPORT</t>
  </si>
  <si>
    <t>EXECUTIVE SUMMARY</t>
  </si>
  <si>
    <t>Cluster Nodes</t>
  </si>
  <si>
    <t>servers</t>
  </si>
  <si>
    <t>Drive Config</t>
  </si>
  <si>
    <t>Capacity Drives</t>
  </si>
  <si>
    <t>Drive Size</t>
  </si>
  <si>
    <t>TB each</t>
  </si>
  <si>
    <t>Raw Capacity</t>
  </si>
  <si>
    <t>After Overhead</t>
  </si>
  <si>
    <t>Pool Reserve</t>
  </si>
  <si>
    <t>Infra Volume</t>
  </si>
  <si>
    <t>AVAILABLE POOL</t>
  </si>
  <si>
    <t>WAC Display</t>
  </si>
  <si>
    <t>TiB</t>
  </si>
  <si>
    <t>Workload Footprint</t>
  </si>
  <si>
    <t>Usable Volume Capacity</t>
  </si>
  <si>
    <t>Remaining Free</t>
  </si>
  <si>
    <t>CAPACITY TERMS</t>
  </si>
  <si>
    <t>Drive label size. Manufacturer's decimal number.</t>
  </si>
  <si>
    <t>Usable Capacity</t>
  </si>
  <si>
    <t>After ~8% overhead (TB-to-TiB + NVMe reserves).</t>
  </si>
  <si>
    <t>Pool Capacity</t>
  </si>
  <si>
    <t>All usable capacity pooled. Excludes cache.</t>
  </si>
  <si>
    <t>Reserve</t>
  </si>
  <si>
    <t>1 drive/node (max 4) for auto-repair.</t>
  </si>
  <si>
    <t>~250 GB for Azure Local system metadata.</t>
  </si>
  <si>
    <t>Available Pool</t>
  </si>
  <si>
    <t>Pool - reserve - infra. What you allocate.</t>
  </si>
  <si>
    <t>Volume Size</t>
  </si>
  <si>
    <t>Logical size you request. What OS shows.</t>
  </si>
  <si>
    <t>Footprint</t>
  </si>
  <si>
    <t>Physical pool space. 1TB 3-way mirror = 3TB.</t>
  </si>
  <si>
    <t>Usable/footprint. 2-way=50%, 3-way=33%.</t>
  </si>
  <si>
    <t>TB vs TiB</t>
  </si>
  <si>
    <t>Manufacturers=TB. Windows=TiB. 1TB=0.909TiB.</t>
  </si>
  <si>
    <t>WHY RESERVE IS CRITICAL</t>
  </si>
  <si>
    <t>Drive fails:</t>
  </si>
  <si>
    <t>S2D rebuilds lost data onto other drives. Needs FREE pool space.</t>
  </si>
  <si>
    <t>No reserve:</t>
  </si>
  <si>
    <t>Must wait for replacement drive. Reduced redundancy = risk.</t>
  </si>
  <si>
    <t>With reserve:</t>
  </si>
  <si>
    <t>Rebuild starts IMMEDIATELY. Full resiliency in minutes, not days.</t>
  </si>
  <si>
    <t>DRIVE SIZING ADVISORY</t>
  </si>
  <si>
    <t>Cost</t>
  </si>
  <si>
    <t>Smaller drives cheaper per TB.</t>
  </si>
  <si>
    <t>Rebuild Speed</t>
  </si>
  <si>
    <t>3.84 TB rebuilds ~half the time of 7.68 TB.</t>
  </si>
  <si>
    <t>Parallelism</t>
  </si>
  <si>
    <t>More drives = more IOPS. 8 drives/node &gt; 4.</t>
  </si>
  <si>
    <t>Reserve Cost</t>
  </si>
  <si>
    <t>Smaller drive = smaller reserve = more for volumes.</t>
  </si>
  <si>
    <t>Slots</t>
  </si>
  <si>
    <t>Limited NVMe slots per server. Check hardware spec.</t>
  </si>
  <si>
    <t>THIN PROVISIONING — RISKS &amp; GUIDANCE</t>
  </si>
  <si>
    <t>DEFAULT: USE FIXED (THICK)</t>
  </si>
  <si>
    <t>Fixed allocates full footprint at creation. Guarantees capacity. STRONGLY recommended for production.</t>
  </si>
  <si>
    <t>WHEN THIN IS ACCEPTABLE</t>
  </si>
  <si>
    <t>Dev/Test</t>
  </si>
  <si>
    <t>Outages tolerable.</t>
  </si>
  <si>
    <t>FSLogix</t>
  </si>
  <si>
    <t>Slow growth. Monitor.</t>
  </si>
  <si>
    <t>Archive</t>
  </si>
  <si>
    <t>Infrequent access.</t>
  </si>
  <si>
    <t>Prototyping</t>
  </si>
  <si>
    <t>Right-size later.</t>
  </si>
  <si>
    <t>RISKS</t>
  </si>
  <si>
    <t>Pool Exhaustion</t>
  </si>
  <si>
    <t>Pool full = volumes OFFLINE = VMs crash. HARD STOP.</t>
  </si>
  <si>
    <t>Silent Overcommit</t>
  </si>
  <si>
    <t>Logical can exceed physical. No hard block.</t>
  </si>
  <si>
    <t>Growth Spikes</t>
  </si>
  <si>
    <t>Updates, snapshots consume GBs with no warning.</t>
  </si>
  <si>
    <t>No Reclaim</t>
  </si>
  <si>
    <t>Stretched clusters: TRIM disabled. Volumes only grow.</t>
  </si>
  <si>
    <t>Double-Thin</t>
  </si>
  <si>
    <t>Thin S2D + thin VHDX = two overcommit layers.</t>
  </si>
  <si>
    <t>Rebuild Blocked</t>
  </si>
  <si>
    <t>No pool space = rebuild fails = data at risk.</t>
  </si>
  <si>
    <t>MONITORING</t>
  </si>
  <si>
    <t>WAC Alerts</t>
  </si>
  <si>
    <t>Set threshold to 60% for thin pools.</t>
  </si>
  <si>
    <t>PS: Pool</t>
  </si>
  <si>
    <t>Get-StoragePool S2D* | Select Size, AllocatedSize</t>
  </si>
  <si>
    <t>PS: Volumes</t>
  </si>
  <si>
    <t>Get-VirtualDisk | Select Size, FootprintOnPool</t>
  </si>
  <si>
    <t>Azure Monitor</t>
  </si>
  <si>
    <t>Log Analytics for pool free space trending.</t>
  </si>
  <si>
    <t>Commit Ratio</t>
  </si>
  <si>
    <t>Logical/Physical. Alert 0.8, escalate 1.0.</t>
  </si>
  <si>
    <t>CHECKLIST</t>
  </si>
  <si>
    <t>Never double-thin (S2D + VHDX).</t>
  </si>
  <si>
    <t>WAC alert at 60% for thin.</t>
  </si>
  <si>
    <t>Pool below 70% always.</t>
  </si>
  <si>
    <t>Weekly: Get-StoragePool reports.</t>
  </si>
  <si>
    <t>Azure Monitor for alerting.</t>
  </si>
  <si>
    <t>Capacity response plan documented.</t>
  </si>
  <si>
    <t>Quarterly: simulate drive failure.</t>
  </si>
  <si>
    <t>Production = FIXED. Thin = dev/test only.</t>
  </si>
  <si>
    <t>9.</t>
  </si>
  <si>
    <t>Commit ratio: alert 0.8, escalate 1.0.</t>
  </si>
  <si>
    <t>Resiliency</t>
  </si>
  <si>
    <t>Copies</t>
  </si>
  <si>
    <t>Custom</t>
  </si>
  <si>
    <t>TOTALS</t>
  </si>
  <si>
    <t>FIT CHECK</t>
  </si>
  <si>
    <t>MICROSOFT REFERENCES</t>
  </si>
  <si>
    <t>Topic</t>
  </si>
  <si>
    <t>URL</t>
  </si>
  <si>
    <t>Plan Volumes</t>
  </si>
  <si>
    <t>https://learn.microsoft.com/en-us/windows-server/storage/storage-spaces/plan-volumes</t>
  </si>
  <si>
    <t>https://learn.microsoft.com/en-us/windows-server/storage/storage-spaces/fault-tolerance</t>
  </si>
  <si>
    <t>S2D Overview</t>
  </si>
  <si>
    <t>https://learn.microsoft.com/en-us/windows-server/storage/storage-spaces/storage-spaces-direct-overview</t>
  </si>
  <si>
    <t>Hardware Reqs</t>
  </si>
  <si>
    <t>https://learn.microsoft.com/en-us/windows-server/storage/storage-spaces/storage-spaces-direct-hardware-requirements</t>
  </si>
  <si>
    <t>Cache</t>
  </si>
  <si>
    <t>https://learn.microsoft.com/en-us/windows-server/storage/storage-spaces/cache</t>
  </si>
  <si>
    <t>Nested Resiliency</t>
  </si>
  <si>
    <t>https://learn.microsoft.com/en-us/windows-server/storage/storage-spaces/nested-resiliency</t>
  </si>
  <si>
    <t>Thin Provisioning</t>
  </si>
  <si>
    <t>https://learn.microsoft.com/en-us/azure-stack/hci/manage/thin-provisioning</t>
  </si>
  <si>
    <t>Azure Local Baseline</t>
  </si>
  <si>
    <t>https://learn.microsoft.com/en-us/azure/architecture/hybrid/azure-local-baseline</t>
  </si>
  <si>
    <t>Azure Local Deploy</t>
  </si>
  <si>
    <t>https://learn.microsoft.com/en-us/azure/azure-local/deploy/deploy-via-portal</t>
  </si>
  <si>
    <t>Well-Architected</t>
  </si>
  <si>
    <t>https://learn.microsoft.com/en-us/azure/well-architected/service-guides/azure-local</t>
  </si>
  <si>
    <t>No</t>
  </si>
  <si>
    <t>DRIVE LAYOUT COMPARISON</t>
  </si>
  <si>
    <t>Same total raw capacity — different drive counts. See how reserve and available capacity change.</t>
  </si>
  <si>
    <t>YOUR CURRENT CONFIGURATION</t>
  </si>
  <si>
    <t>nodes</t>
  </si>
  <si>
    <t>Drive Size (Advertised)</t>
  </si>
  <si>
    <t>Total Raw Capacity</t>
  </si>
  <si>
    <t>This stays constant across all alternatives.</t>
  </si>
  <si>
    <t>From Advanced Settings tab.</t>
  </si>
  <si>
    <t>ALTERNATIVE DRIVE LAYOUTS</t>
  </si>
  <si>
    <t>Drives
per Node</t>
  </si>
  <si>
    <t>Drive Size
(TB)</t>
  </si>
  <si>
    <t>Total
Drives</t>
  </si>
  <si>
    <t>Usable per
Drive (TB)</t>
  </si>
  <si>
    <t>Reserve
(TB)</t>
  </si>
  <si>
    <t>Available
Capacity (TB)</t>
  </si>
  <si>
    <t>vs Current</t>
  </si>
  <si>
    <t>← Current</t>
  </si>
  <si>
    <t>KEY INSIGHT</t>
  </si>
  <si>
    <t>More drives per node = smaller drive size = smaller reserve. The reserve is always 1 drive per node (max 4), so smaller drives mean less capacity "locked up" for repair. The trade-off: more drives cost more and use more slots.</t>
  </si>
  <si>
    <t>Note: All alternatives maintain the same total raw capacity. Drive sizes shown are calculated (raw ÷ total drives) — actual drives must be purchased in available sizes (e.g., 1.6, 3.2, 3.84, 7.68 TB).</t>
  </si>
  <si>
    <t>WHAT-IF TOOL. Same total raw capacity, different drive counts per node. Shows how using more, smaller drives reduces reserve and increases available capacity. All formulas linked to Hardware Inputs — updates automatically.</t>
  </si>
  <si>
    <t>Options: fewer VMs, Two-Way instead of Three-Way where OK, more/smaller drives (see Drive Layout Comparison tab), more nodes, Dual Parity for archives.</t>
  </si>
  <si>
    <t>SCENARIO-BASED WORKLOAD PLANNER</t>
  </si>
  <si>
    <t>Plan storage by workload type — AVD, AKS, Infrastructure, Dev/Test, and more</t>
  </si>
  <si>
    <t>Enable AVD scenario?</t>
  </si>
  <si>
    <t>Set to No to skip this scenario.</t>
  </si>
  <si>
    <t>Number of AVD session host VMs</t>
  </si>
  <si>
    <t>Total session host VMs across all host pools.</t>
  </si>
  <si>
    <t>OS disk per host (GB)</t>
  </si>
  <si>
    <t>Typical: 127 GB (Windows 11 multi-session).</t>
  </si>
  <si>
    <t>Data/temp disk per host (GB)</t>
  </si>
  <si>
    <t>Additional data disks. Set to 0 if none.</t>
  </si>
  <si>
    <t>Host resiliency type</t>
  </si>
  <si>
    <t>Session host volume (logical)</t>
  </si>
  <si>
    <t>Session host footprint in pool</t>
  </si>
  <si>
    <t>Total AVD users</t>
  </si>
  <si>
    <t>All users who have a profile container.</t>
  </si>
  <si>
    <t>Concurrent (connected) users</t>
  </si>
  <si>
    <t>Profile container size per user (GB)</t>
  </si>
  <si>
    <t>Growth buffer (%)</t>
  </si>
  <si>
    <t>Profile resiliency type</t>
  </si>
  <si>
    <t>Profile volume (logical)</t>
  </si>
  <si>
    <t>Profile footprint in pool</t>
  </si>
  <si>
    <t>AVD TOTAL FOOTPRINT</t>
  </si>
  <si>
    <t>SCENARIO 2: AKS ON AZURE LOCAL</t>
  </si>
  <si>
    <t>Enable AKS scenario?</t>
  </si>
  <si>
    <t xml:space="preserve">  AKS Cluster VMs</t>
  </si>
  <si>
    <t>Number of AKS clusters</t>
  </si>
  <si>
    <t>clusters</t>
  </si>
  <si>
    <t>AKS Arc clusters on this Azure Local instance.</t>
  </si>
  <si>
    <t>Control plane nodes (total across clusters)</t>
  </si>
  <si>
    <t>Typically 1 or 3 per cluster (HA = 3).</t>
  </si>
  <si>
    <t>Worker nodes (total across clusters)</t>
  </si>
  <si>
    <t>All worker nodes across all node pools.</t>
  </si>
  <si>
    <t>OS disk per node (GB)</t>
  </si>
  <si>
    <t>Default: 200 GB (Azure Local 2509+).</t>
  </si>
  <si>
    <t xml:space="preserve">  Persistent Volumes &amp; Data Services</t>
  </si>
  <si>
    <t>Persistent volume storage estimate (TB)</t>
  </si>
  <si>
    <t>Total PVC storage for apps. Varies by workload.</t>
  </si>
  <si>
    <t>Data services storage estimate (TB)</t>
  </si>
  <si>
    <t>SQL MI, PostgreSQL, etc. via Arc Data Services.</t>
  </si>
  <si>
    <t>AKS resiliency type</t>
  </si>
  <si>
    <t>AKS volume (logical)</t>
  </si>
  <si>
    <t>AKS TOTAL FOOTPRINT</t>
  </si>
  <si>
    <t>Node VMs + PVs + Data Services combined.</t>
  </si>
  <si>
    <t>SCENARIO 3: INFRASTRUCTURE VMs</t>
  </si>
  <si>
    <t>Enable Infrastructure VMs?</t>
  </si>
  <si>
    <t>DCs, SQL, file servers, management VMs, etc.</t>
  </si>
  <si>
    <t>Number of infrastructure VMs</t>
  </si>
  <si>
    <t>Total infra VMs (all roles combined).</t>
  </si>
  <si>
    <t>Average total disk per VM (GB)</t>
  </si>
  <si>
    <t>OS + data disks combined. Typical: 150-300 GB.</t>
  </si>
  <si>
    <t>Infrastructure resiliency type</t>
  </si>
  <si>
    <t>Infra volume (logical)</t>
  </si>
  <si>
    <t>INFRA TOTAL FOOTPRINT</t>
  </si>
  <si>
    <t>SCENARIO 4: DEV/TEST VMs</t>
  </si>
  <si>
    <t>Enable Dev/Test?</t>
  </si>
  <si>
    <t>Number of dev/test VMs</t>
  </si>
  <si>
    <t>Dev/Test resiliency type</t>
  </si>
  <si>
    <t>Dev/Test volume (logical)</t>
  </si>
  <si>
    <t>DEV/TEST TOTAL FOOTPRINT</t>
  </si>
  <si>
    <t>SCENARIO 5: BACKUP / ARCHIVE</t>
  </si>
  <si>
    <t>Enable Backup/Archive?</t>
  </si>
  <si>
    <t>Backup volume size (TB)</t>
  </si>
  <si>
    <t>Backup resiliency type</t>
  </si>
  <si>
    <t>Backup volume (logical)</t>
  </si>
  <si>
    <t>BACKUP TOTAL FOOTPRINT</t>
  </si>
  <si>
    <t>SCENARIO 6: CUSTOM (Optional)</t>
  </si>
  <si>
    <t>Exact volume size (TB)</t>
  </si>
  <si>
    <t>Any other volume not covered above.</t>
  </si>
  <si>
    <t>Custom resiliency type</t>
  </si>
  <si>
    <t>Custom volume (logical)</t>
  </si>
  <si>
    <t>CUSTOM TOTAL FOOTPRINT</t>
  </si>
  <si>
    <t>S1: AVD Session Hosts — Footprint</t>
  </si>
  <si>
    <t>S1: AVD FSLogix Profiles — Footprint</t>
  </si>
  <si>
    <t>S2: AKS on Azure Local — Footprint</t>
  </si>
  <si>
    <t>S3: Infrastructure VMs — Footprint</t>
  </si>
  <si>
    <t>S4: Dev/Test VMs — Footprint</t>
  </si>
  <si>
    <t>S5: Backup/Archive — Footprint</t>
  </si>
  <si>
    <t>S6: Custom — Footprint</t>
  </si>
  <si>
    <t>Logical (TB)</t>
  </si>
  <si>
    <t>Footprint (TB)</t>
  </si>
  <si>
    <t>Status</t>
  </si>
  <si>
    <t>AVD Session Hosts</t>
  </si>
  <si>
    <t>AVD FSLogix Profiles</t>
  </si>
  <si>
    <t>VOLUME DETAIL — DEPLOYMENT REFERENCE</t>
  </si>
  <si>
    <t>Use this table when creating volumes in Windows Admin Center or PowerShell. Copy volume names and sizes directly.</t>
  </si>
  <si>
    <t>Volume Name</t>
  </si>
  <si>
    <t>Create Size
(TB)</t>
  </si>
  <si>
    <t>Create Size
(TiB)*</t>
  </si>
  <si>
    <t>Pool Footprint
(TB)</t>
  </si>
  <si>
    <t>AVD-SessionHosts</t>
  </si>
  <si>
    <t>AVD-Profiles</t>
  </si>
  <si>
    <t>AKS-Cluster</t>
  </si>
  <si>
    <t>Infra-VMs</t>
  </si>
  <si>
    <t>DevTest-VMs</t>
  </si>
  <si>
    <t>Backup-Archive</t>
  </si>
  <si>
    <t>* TiB column: What Windows/PowerShell will report. This calculator uses TB (decimal) everywhere else. 1 TB = ~0.909 TiB. Both are correct — different units for the same bytes.</t>
  </si>
  <si>
    <t>Enable Custom?</t>
  </si>
  <si>
    <t>S2D CAPACITY CALCULATOR — FINAL REPORT</t>
  </si>
  <si>
    <t>SECTION 1: CLUSTER HARDWARE SUMMARY</t>
  </si>
  <si>
    <t>Drive Configuration</t>
  </si>
  <si>
    <t>Usable Pool (after ~8% NVMe overhead)</t>
  </si>
  <si>
    <t>Infrastructure Volume</t>
  </si>
  <si>
    <t>AVAILABLE CAPACITY FOR VOLUMES</t>
  </si>
  <si>
    <t>per node</t>
  </si>
  <si>
    <t>SECTION 2: CAPACITY ALLOCATION</t>
  </si>
  <si>
    <t>Total Physical Footprint (all scenarios)</t>
  </si>
  <si>
    <t>Total Usable Volume Capacity (logical)</t>
  </si>
  <si>
    <t>Fit Check</t>
  </si>
  <si>
    <t>SECTION 3: SCENARIO BREAKDOWN</t>
  </si>
  <si>
    <t>Scenario</t>
  </si>
  <si>
    <t>S1: AVD Session Hosts</t>
  </si>
  <si>
    <t>S1: AVD FSLogix Profiles</t>
  </si>
  <si>
    <t>S2: AKS on Azure Local</t>
  </si>
  <si>
    <t>S3: Infrastructure VMs</t>
  </si>
  <si>
    <t>S4: Dev/Test VMs</t>
  </si>
  <si>
    <t>S5: Backup / Archive</t>
  </si>
  <si>
    <t>S6: Custom</t>
  </si>
  <si>
    <t>SECTION 4: VOLUME CREATION TABLE — DEPLOYMENT REFERENCE</t>
  </si>
  <si>
    <t>Create Size (TB)</t>
  </si>
  <si>
    <t>Create Size (TiB)*</t>
  </si>
  <si>
    <t>Pool Footprint (TB)</t>
  </si>
  <si>
    <t>* TiB (binary) = what Windows Admin Center and PowerShell report. 1 TB ≈ 0.909 TiB. Use TiB values when creating volumes via WAC or PowerShell.</t>
  </si>
  <si>
    <t>SECTION 5: DRIVE LAYOUT INSIGHT</t>
  </si>
  <si>
    <t>Your Current Configuration</t>
  </si>
  <si>
    <t>Drives per Node</t>
  </si>
  <si>
    <t>Available Capacity</t>
  </si>
  <si>
    <t>Best Alternative (more drives = less reserve)</t>
  </si>
  <si>
    <t>Drives per Node (max shown)</t>
  </si>
  <si>
    <t>Drive Size (calculated)</t>
  </si>
  <si>
    <t>Additional Capacity vs Current</t>
  </si>
  <si>
    <t>TB more</t>
  </si>
  <si>
    <t>Note: More drives per node reduces reserve but costs more and uses more physical slots. Calculated drive sizes are theoretical — actual drives come in standard sizes (1.6, 3.2, 3.84, 7.68 TB).</t>
  </si>
  <si>
    <t>SECTION 6: BEST PRACTICE NOTES &amp; GUIDANCE</t>
  </si>
  <si>
    <t>Rebuild Headroom</t>
  </si>
  <si>
    <t>Provisioning</t>
  </si>
  <si>
    <t>N+1 Compute</t>
  </si>
  <si>
    <t>Volume Size Limit</t>
  </si>
  <si>
    <t>Used</t>
  </si>
  <si>
    <t>Remaining</t>
  </si>
  <si>
    <t>SCENARIO INPUT DETAILS (enabled scenarios only)</t>
  </si>
  <si>
    <t xml:space="preserve">  Session host VMs</t>
  </si>
  <si>
    <t xml:space="preserve">  OS disk per host</t>
  </si>
  <si>
    <t xml:space="preserve">  Data/temp disk per host</t>
  </si>
  <si>
    <t xml:space="preserve">  Resiliency</t>
  </si>
  <si>
    <t xml:space="preserve">  Total AVD users</t>
  </si>
  <si>
    <t xml:space="preserve">  Profile size per user</t>
  </si>
  <si>
    <t xml:space="preserve">  Growth buffer</t>
  </si>
  <si>
    <t>POWERSHELL VOLUME CREATION COMMANDS (copy/paste ready)</t>
  </si>
  <si>
    <t>Run these commands in an elevated PowerShell session on any cluster node. Adjust -StoragePoolFriendlyName if your pool has a custom name. Use -ProvisioningType Thin only if you understand the risks (see Thin Provisioning tab).</t>
  </si>
  <si>
    <t>STEP 3: CLUSTER COMPUTE HARDWARE</t>
  </si>
  <si>
    <t>Physical CPU Cores per Node</t>
  </si>
  <si>
    <t>cores</t>
  </si>
  <si>
    <t>Physical cores per server (check CPU spec).</t>
  </si>
  <si>
    <t>Hyperthreading (SMT) Enabled?</t>
  </si>
  <si>
    <t>Yes/No</t>
  </si>
  <si>
    <t>If Yes, logical cores = physical × 2.</t>
  </si>
  <si>
    <t>RAM per Node (GB)</t>
  </si>
  <si>
    <t>Total physical RAM per node.</t>
  </si>
  <si>
    <t>Host OS / Management Reserved RAM (GB)</t>
  </si>
  <si>
    <t>Reserved for Hyper-V host OS, agents, S2D. Typical: 16-32 GB.</t>
  </si>
  <si>
    <t>COMPUTE CAPACITY (Auto-Calculated)</t>
  </si>
  <si>
    <t>Logical vCPU per Node</t>
  </si>
  <si>
    <t>vCPU</t>
  </si>
  <si>
    <t>Logical cores available per node for VMs.</t>
  </si>
  <si>
    <t>Usable RAM per Node (GB)</t>
  </si>
  <si>
    <t>RAM minus host OS reservation.</t>
  </si>
  <si>
    <t>Total Cluster vCPU (all nodes)</t>
  </si>
  <si>
    <t>All nodes combined.</t>
  </si>
  <si>
    <t>Total Cluster Usable RAM (all nodes)</t>
  </si>
  <si>
    <t>N+1 Available vCPU (1 node down)</t>
  </si>
  <si>
    <t>N+1 Available RAM (1 node down)</t>
  </si>
  <si>
    <t>RAM capacity with 1 node down.</t>
  </si>
  <si>
    <t>All usable RAM across cluster.</t>
  </si>
  <si>
    <t>With 1 node down for maintenance/failover.</t>
  </si>
  <si>
    <t xml:space="preserve">  AVD Compute Planning</t>
  </si>
  <si>
    <t>vCPU per session host VM</t>
  </si>
  <si>
    <t>Typical: 4-8 vCPU per session host. Size per VM SKU.</t>
  </si>
  <si>
    <t>RAM per session host VM (GB)</t>
  </si>
  <si>
    <t>Typical: 16-32 GB per session host VM.</t>
  </si>
  <si>
    <t>ratio</t>
  </si>
  <si>
    <t>vCPU per user</t>
  </si>
  <si>
    <t>Allocation per concurrent user. Light=1, Medium=2, Power=4.</t>
  </si>
  <si>
    <t>RAM per user (GB)</t>
  </si>
  <si>
    <t>Physical RAM per user. Light=2, Medium=4, Power=8 GB.</t>
  </si>
  <si>
    <t>Users per session host (max)</t>
  </si>
  <si>
    <t>users/host</t>
  </si>
  <si>
    <t>Min of vCPU and RAM constraints per host.</t>
  </si>
  <si>
    <t>Session hosts needed (for concurrent users)</t>
  </si>
  <si>
    <t>Concurrent users ÷ users per host (rounded up).</t>
  </si>
  <si>
    <t>Session host VM check</t>
  </si>
  <si>
    <t>Total AVD vCPU demand</t>
  </si>
  <si>
    <t>Session host VMs × vCPU per host.</t>
  </si>
  <si>
    <t xml:space="preserve">  AVD Compute Fit Check</t>
  </si>
  <si>
    <t>4:1</t>
  </si>
  <si>
    <t xml:space="preserve">  AKS Compute Planning</t>
  </si>
  <si>
    <t>vCPU per control plane node</t>
  </si>
  <si>
    <t>Default AKS control plane: 4 vCPU.</t>
  </si>
  <si>
    <t>RAM per control plane node (GB)</t>
  </si>
  <si>
    <t>Default AKS control plane: 16 GB.</t>
  </si>
  <si>
    <t>vCPU per worker node</t>
  </si>
  <si>
    <t>Size based on workload. Typical: 4-16 vCPU.</t>
  </si>
  <si>
    <t>RAM per worker node (GB)</t>
  </si>
  <si>
    <t>Size based on workload. Typical: 16-64 GB.</t>
  </si>
  <si>
    <t>Total AKS vCPU demand</t>
  </si>
  <si>
    <t>Control plane + worker node vCPU.</t>
  </si>
  <si>
    <t xml:space="preserve">  Infrastructure Compute Planning</t>
  </si>
  <si>
    <t>Average vCPU per VM</t>
  </si>
  <si>
    <t>Average across all infrastructure VMs.</t>
  </si>
  <si>
    <t>Average RAM per VM (GB)</t>
  </si>
  <si>
    <t>Average RAM per infra VM.</t>
  </si>
  <si>
    <t>Total Infra vCPU demand</t>
  </si>
  <si>
    <t>VMs × vCPU per VM.</t>
  </si>
  <si>
    <t xml:space="preserve">  Dev/Test Compute Planning</t>
  </si>
  <si>
    <t>Average across all dev/test VMs.</t>
  </si>
  <si>
    <t>Average RAM per dev/test VM.</t>
  </si>
  <si>
    <t>Total Dev/Test vCPU demand</t>
  </si>
  <si>
    <t>COMPUTE SUMMARY</t>
  </si>
  <si>
    <t>Cluster Total vCPU</t>
  </si>
  <si>
    <t>Total logical vCPU across all nodes.</t>
  </si>
  <si>
    <t>Cluster Total Usable RAM</t>
  </si>
  <si>
    <t>Total usable RAM (after host OS reserve).</t>
  </si>
  <si>
    <t>TOTAL vCPU DEMAND</t>
  </si>
  <si>
    <t>Must be LESS than cluster vCPU.</t>
  </si>
  <si>
    <t>REMAINING vCPU</t>
  </si>
  <si>
    <t>REMAINING RAM</t>
  </si>
  <si>
    <t>N+1 FAILOVER CHECK (1 node in maintenance)</t>
  </si>
  <si>
    <t>N+1 vCPU available</t>
  </si>
  <si>
    <t>N+1 RAM available</t>
  </si>
  <si>
    <t>N+1 vCPU fit</t>
  </si>
  <si>
    <t>N+1 RAM fit</t>
  </si>
  <si>
    <t>Overcommit Ratio</t>
  </si>
  <si>
    <t>Fit (N+1)</t>
  </si>
  <si>
    <t>Notes</t>
  </si>
  <si>
    <t>1:1 (no overcommit)</t>
  </si>
  <si>
    <t>Moderate. Knowledge workers.</t>
  </si>
  <si>
    <t>SECTION 7: COMPUTE CAPACITY ANALYSIS</t>
  </si>
  <si>
    <t>Cluster Hardware</t>
  </si>
  <si>
    <t xml:space="preserve">  Physical cores per node</t>
  </si>
  <si>
    <t xml:space="preserve">  Hyperthreading</t>
  </si>
  <si>
    <t xml:space="preserve">  Logical vCPU per node</t>
  </si>
  <si>
    <t xml:space="preserve">  RAM per node</t>
  </si>
  <si>
    <t>GB total</t>
  </si>
  <si>
    <t xml:space="preserve">  Usable RAM per node</t>
  </si>
  <si>
    <t>Cluster Totals</t>
  </si>
  <si>
    <t xml:space="preserve">  Total cluster vCPU</t>
  </si>
  <si>
    <t xml:space="preserve">  Total cluster usable RAM</t>
  </si>
  <si>
    <t xml:space="preserve">  N+1 vCPU (1 node down)</t>
  </si>
  <si>
    <t xml:space="preserve">  N+1 RAM (1 node down)</t>
  </si>
  <si>
    <t>Compute Demand by Scenario</t>
  </si>
  <si>
    <t>RAM (GB)</t>
  </si>
  <si>
    <t>Overcommit</t>
  </si>
  <si>
    <t>S2: AKS</t>
  </si>
  <si>
    <t>S3: Infrastructure</t>
  </si>
  <si>
    <t>S4: Dev/Test</t>
  </si>
  <si>
    <t>Compute Fit Analysis</t>
  </si>
  <si>
    <t>Check</t>
  </si>
  <si>
    <t>Details</t>
  </si>
  <si>
    <t>vCPU (all nodes)</t>
  </si>
  <si>
    <t>N+1 vCPU (1 node down)</t>
  </si>
  <si>
    <t>Ratio</t>
  </si>
  <si>
    <t>1:1</t>
  </si>
  <si>
    <t>2:1</t>
  </si>
  <si>
    <t>3:1</t>
  </si>
  <si>
    <t>COMPUTE CAPACITY REPORT</t>
  </si>
  <si>
    <t>CLUSTER COMPUTE HARDWARE</t>
  </si>
  <si>
    <t>RAM per Node</t>
  </si>
  <si>
    <t>Usable RAM per Node</t>
  </si>
  <si>
    <t>After host OS reservation.</t>
  </si>
  <si>
    <t>Total Cluster vCPU</t>
  </si>
  <si>
    <t>Total Cluster Usable RAM</t>
  </si>
  <si>
    <t>Plan workloads to survive this scenario.</t>
  </si>
  <si>
    <t>COMPUTE DEMAND BY SCENARIO</t>
  </si>
  <si>
    <t>CAPACITY RESULT</t>
  </si>
  <si>
    <t>vCPU Utilization</t>
  </si>
  <si>
    <t>RAM Utilization</t>
  </si>
  <si>
    <t>N+1 FAILOVER ANALYSIS (1 node in maintenance)</t>
  </si>
  <si>
    <t>Demand</t>
  </si>
  <si>
    <t>Available</t>
  </si>
  <si>
    <t>Utilization</t>
  </si>
  <si>
    <t>Headroom</t>
  </si>
  <si>
    <t>AVD SESSION HOST DETAIL</t>
  </si>
  <si>
    <t>VM spec: vCPU per host</t>
  </si>
  <si>
    <t>VM spec: RAM per host</t>
  </si>
  <si>
    <t>User allocation: vCPU per user</t>
  </si>
  <si>
    <t>User allocation: RAM per user</t>
  </si>
  <si>
    <t>Concurrent users to support</t>
  </si>
  <si>
    <t>Session hosts NEEDED</t>
  </si>
  <si>
    <t>Session hosts CONFIGURED</t>
  </si>
  <si>
    <t>Guidance</t>
  </si>
  <si>
    <t>6. Capacity Report</t>
  </si>
  <si>
    <t>AVD Sizing</t>
  </si>
  <si>
    <t>https://learn.microsoft.com/en-us/azure/virtual-desktop/prerequisites</t>
  </si>
  <si>
    <t>AKS on Azure Local</t>
  </si>
  <si>
    <t>https://learn.microsoft.com/en-us/azure/aks/hybrid/aks-hci-network-requirements</t>
  </si>
  <si>
    <t>Compute Sizing</t>
  </si>
  <si>
    <t>https://learn.microsoft.com/en-us/azure/azure-local/plan/choose-server-hardware</t>
  </si>
  <si>
    <t>https://learn.microsoft.com/en-us/windows-server/virtualization/hyper-v/best-practices-for-running-hyper-v</t>
  </si>
  <si>
    <t>Volume Planning</t>
  </si>
  <si>
    <t>https://learn.microsoft.com/en-us/azure-stack/hci/manage/create-volumes</t>
  </si>
  <si>
    <t>SCENARIO 1: AVD DEPLOYMENT</t>
  </si>
  <si>
    <t>S1: AVD</t>
  </si>
  <si>
    <t xml:space="preserve">  Session Hosts — Storage</t>
  </si>
  <si>
    <t xml:space="preserve">  FSLogix Profiles — Storage</t>
  </si>
  <si>
    <t>vCPU overcommit ratio</t>
  </si>
  <si>
    <t>vCPU overcommit. 1:1 = no overcommit. 4:1 = 4 vCPU share 1 physical core. Hyper-V supports vCPU overcommit; memory cannot be overcommitted.</t>
  </si>
  <si>
    <t>Total AVD RAM demand (GB)</t>
  </si>
  <si>
    <t>Effective vCPU (with overcommit)</t>
  </si>
  <si>
    <t>Total physical RAM needed. Hyper-V reserves full RAM per VM (no overcommit).</t>
  </si>
  <si>
    <t>Physical cores needed after vCPU overcommit ratio applied.</t>
  </si>
  <si>
    <t>RAM fit (all nodes)</t>
  </si>
  <si>
    <t>AVD total RAM vs cluster RAM. Full reservation required (no overcommit).</t>
  </si>
  <si>
    <t>AVD effective vCPU (after overcommit) vs total cluster vCPU.</t>
  </si>
  <si>
    <t>vCPU fit (all nodes, with overcommit)</t>
  </si>
  <si>
    <t>N+1 vCPU fit (with overcommit)</t>
  </si>
  <si>
    <t>Effective vCPU with 1 node down (patching/failover).</t>
  </si>
  <si>
    <t>N+1 RAM fit (1 node down)</t>
  </si>
  <si>
    <t>RAM with 1 node down. Full reservation (no overcommit).</t>
  </si>
  <si>
    <t>Note: Hyper-V supports vCPU overcommit (standard for AVD). Memory is NOT overcommitted — Hyper-V physically reserves full RAM per VM.</t>
  </si>
  <si>
    <t>No overcommit. Full core per vCPU.</t>
  </si>
  <si>
    <t>Conservative. 2 vCPU per core.</t>
  </si>
  <si>
    <t>Standard AVD. Task/office workers.</t>
  </si>
  <si>
    <t>Note: Hyper-V supports vCPU overcommit (standard for AVD). Memory is NOT overcommitted — full RAM reserved per VM.</t>
  </si>
  <si>
    <t>RAM (all nodes)</t>
  </si>
  <si>
    <t>N+1 vCPU (with overcommit)</t>
  </si>
  <si>
    <t>N+1 RAM (1 node down)</t>
  </si>
  <si>
    <t>Eff. vCPU</t>
  </si>
  <si>
    <t>vCPU Overcommit</t>
  </si>
  <si>
    <t>vCPU (all nodes, with overcommit)</t>
  </si>
  <si>
    <t>vCPU overcommit. 1:1 = no overcommit. 4:1 = standard.</t>
  </si>
  <si>
    <t>Effective AKS vCPU (with overcommit)</t>
  </si>
  <si>
    <t>Physical cores needed after vCPU overcommit.</t>
  </si>
  <si>
    <t>Effective Infra vCPU (with overcommit)</t>
  </si>
  <si>
    <t>Effective Dev/Test vCPU (with overcommit)</t>
  </si>
  <si>
    <t>TOTAL EFFECTIVE vCPU (with overcommit)</t>
  </si>
  <si>
    <t>Must be LESS than cluster vCPU (with overcommit applied).</t>
  </si>
  <si>
    <t>Hyper-V Best Practices</t>
  </si>
  <si>
    <t>Profile storage location</t>
  </si>
  <si>
    <t>S2D Volume (local)</t>
  </si>
  <si>
    <t>If profiles on external/cloud storage, footprint = 0 in pool.</t>
  </si>
  <si>
    <t>Value</t>
  </si>
  <si>
    <t>vCPU per session host</t>
  </si>
  <si>
    <t>RAM per session host (GB)</t>
  </si>
  <si>
    <t>Effective vCPU per host (after overcommit)</t>
  </si>
  <si>
    <t>Max Users Per Host</t>
  </si>
  <si>
    <t>CPU-limited</t>
  </si>
  <si>
    <t>RAM-limited</t>
  </si>
  <si>
    <t>Binding Constraint</t>
  </si>
  <si>
    <t>At your current settings</t>
  </si>
  <si>
    <t>Sensitivity: vCPU / User →</t>
  </si>
  <si>
    <t>Max users (CPU-limited)</t>
  </si>
  <si>
    <t>Effective max (lower of CPU/RAM)</t>
  </si>
  <si>
    <t>How many session hosts you need for your concurrent user target.</t>
  </si>
  <si>
    <t>Pool Planning</t>
  </si>
  <si>
    <t>Total registered users</t>
  </si>
  <si>
    <t>Concurrent users (peak)</t>
  </si>
  <si>
    <t>Concurrency ratio</t>
  </si>
  <si>
    <t>= concurrent ÷ registered</t>
  </si>
  <si>
    <t>Users per host (at your settings)</t>
  </si>
  <si>
    <t>Session hosts needed (concurrent)</t>
  </si>
  <si>
    <t>= ⌈ concurrent ÷ users/host ⌉</t>
  </si>
  <si>
    <t>+1 host for N+1 redundancy</t>
  </si>
  <si>
    <t>Best practice: N+1 per pool</t>
  </si>
  <si>
    <t>User Type</t>
  </si>
  <si>
    <t>Profile Size (GB)</t>
  </si>
  <si>
    <t>% of Users</t>
  </si>
  <si>
    <t>User Count</t>
  </si>
  <si>
    <t>Total (TB)</t>
  </si>
  <si>
    <t>Task Worker (Office web apps, basic)</t>
  </si>
  <si>
    <t>Knowledge Worker (full Office, Teams)</t>
  </si>
  <si>
    <t>Power User (CAD, dev tools, large cache)</t>
  </si>
  <si>
    <t>Mix total</t>
  </si>
  <si>
    <t>Weighted avg profile size (GB)</t>
  </si>
  <si>
    <t>Total profile storage (TB)</t>
  </si>
  <si>
    <t>Estimates peak network bandwidth for AVD sessions. Microsoft recommends 1.5 Mbps per single-monitor session, 3+ Mbps for multi-monitor.</t>
  </si>
  <si>
    <t>Bandwidth Planning</t>
  </si>
  <si>
    <t>Bandwidth per session (Mbps)</t>
  </si>
  <si>
    <t>← Adjust: 1.5 (single monitor) to 8+ (4K multi)</t>
  </si>
  <si>
    <t>Concurrent sessions</t>
  </si>
  <si>
    <t>Peak bandwidth needed (Mbps)</t>
  </si>
  <si>
    <t>Per-node bandwidth (Mbps)</t>
  </si>
  <si>
    <t>Component</t>
  </si>
  <si>
    <t>Your Value (GB)</t>
  </si>
  <si>
    <t>Typical Range</t>
  </si>
  <si>
    <t>OS disk (Windows + updates)</t>
  </si>
  <si>
    <t>80 – 127 GB</t>
  </si>
  <si>
    <t>Data disk (apps, temp, pagefile)</t>
  </si>
  <si>
    <t>0 – 100 GB</t>
  </si>
  <si>
    <t>Total per VM</t>
  </si>
  <si>
    <t>80 – 227 GB</t>
  </si>
  <si>
    <t>💡 Tip: Use VHDX deduplication or shared image galleries to reduce per-host OS footprint when running identical gold images.</t>
  </si>
  <si>
    <t>Detail</t>
  </si>
  <si>
    <t>Enough VMs for concurrent users?</t>
  </si>
  <si>
    <t>User mix % totals 100%?</t>
  </si>
  <si>
    <t>Profile storage location set?</t>
  </si>
  <si>
    <t>Network bandwidth per node &lt; 10 GbE?</t>
  </si>
  <si>
    <t>7. Compute Report</t>
  </si>
  <si>
    <t>10. Thin Provisioning</t>
  </si>
  <si>
    <t>11. References</t>
  </si>
  <si>
    <t>SOFS Planner — Separate File Server Cluster for FSLogix Profiles</t>
  </si>
  <si>
    <t>Sizes a dedicated SOFS cluster (separate from compute cluster) for hosting FSLogix profile containers via CA SMB shares backed by S2D.</t>
  </si>
  <si>
    <t>SOFS CLUSTER HARDWARE</t>
  </si>
  <si>
    <t>SOFS node count</t>
  </si>
  <si>
    <t>Minimum 2 nodes for SOFS + cloud witness. Microsoft supported production model.</t>
  </si>
  <si>
    <t>Drives per SOFS node</t>
  </si>
  <si>
    <t>NVMe or SSD recommended for FSLogix IOPS. Same count per node required.</t>
  </si>
  <si>
    <t>Drive capacity (each)</t>
  </si>
  <si>
    <t>Resiliency type</t>
  </si>
  <si>
    <t>Capacity efficiency factor</t>
  </si>
  <si>
    <t>S2D filesystem overhead. Default 92% (same as compute cluster).</t>
  </si>
  <si>
    <t>SOFS STORAGE POOL</t>
  </si>
  <si>
    <t>Total raw capacity</t>
  </si>
  <si>
    <t>Nodes × drives/node × drive size.</t>
  </si>
  <si>
    <t>Resiliency efficiency</t>
  </si>
  <si>
    <t>Data fraction after mirror/parity overhead.</t>
  </si>
  <si>
    <t>Usable capacity (after resiliency + overhead)</t>
  </si>
  <si>
    <t>Raw × resiliency efficiency × capacity efficiency factor.</t>
  </si>
  <si>
    <t>Drive reserve (largest drive capacity)</t>
  </si>
  <si>
    <t>S2D reserves capacity of largest drive for rebuild. Deducted from raw.</t>
  </si>
  <si>
    <t>Available for volumes</t>
  </si>
  <si>
    <t>Usable minus drive reserve. This is what you can allocate to FSLogix volumes.</t>
  </si>
  <si>
    <t>FSLOGIX PROFILE DEMAND</t>
  </si>
  <si>
    <t>Profile storage location (from WP)</t>
  </si>
  <si>
    <t>Linked from Workload Planner C17. SOFS tab relevant when NOT "S2D Volume (local)".</t>
  </si>
  <si>
    <t>Linked from Workload Planner.</t>
  </si>
  <si>
    <t>Profile size per user</t>
  </si>
  <si>
    <t>Growth buffer</t>
  </si>
  <si>
    <t>Profile logical demand</t>
  </si>
  <si>
    <t>Users × profile size × (1 + growth buffer) / 1024.</t>
  </si>
  <si>
    <t>Profile footprint on SOFS (after resiliency)</t>
  </si>
  <si>
    <t>Logical demand ÷ resiliency efficiency. This is the actual pool space consumed.</t>
  </si>
  <si>
    <t>Remaining SOFS capacity after profiles</t>
  </si>
  <si>
    <t>Available minus footprint. Negative = need more drives/nodes.</t>
  </si>
  <si>
    <t>Capacity utilization</t>
  </si>
  <si>
    <t>Keep under 80% for S2D performance headroom.</t>
  </si>
  <si>
    <t>IOPS ESTIMATE</t>
  </si>
  <si>
    <t>Steady-state IOPS per user</t>
  </si>
  <si>
    <t>IOPS</t>
  </si>
  <si>
    <t>Typical FSLogix steady state: ~10 IOPS per active session.</t>
  </si>
  <si>
    <t>Login/logoff storm IOPS per user</t>
  </si>
  <si>
    <t>Peak during login/logoff: ~50 IOPS per user (VHD mount/dismount).</t>
  </si>
  <si>
    <t>Concurrent users</t>
  </si>
  <si>
    <t>Login storm % (simultaneous logins)</t>
  </si>
  <si>
    <t>% of users logging in simultaneously during peak (e.g., 9 AM). 10-30% typical.</t>
  </si>
  <si>
    <t>Steady-state total IOPS</t>
  </si>
  <si>
    <t>Peak storm IOPS</t>
  </si>
  <si>
    <t>Steady users × steady IOPS + storm users × storm IOPS. Plan storage to handle this.</t>
  </si>
  <si>
    <t>SOFS READINESS CHECKLIST</t>
  </si>
  <si>
    <t>Capacity: SOFS can hold all profiles?</t>
  </si>
  <si>
    <t>Available capacity &gt;= profile footprint.</t>
  </si>
  <si>
    <t>Utilization: Under 80% threshold?</t>
  </si>
  <si>
    <t>S2D performance degrades above 80% utilization.</t>
  </si>
  <si>
    <t>Node count: Matches resiliency type?</t>
  </si>
  <si>
    <t>2-Way Mirror = 2+ nodes, 3-Way Mirror = 3+ nodes.</t>
  </si>
  <si>
    <t>Separate cluster: Not sharing with VM compute?</t>
  </si>
  <si>
    <t>MS does not support SOFS + VM workloads on same cluster for production.</t>
  </si>
  <si>
    <t>VERIFY</t>
  </si>
  <si>
    <t>IMPORTANT NOTES</t>
  </si>
  <si>
    <t>⚠️ Microsoft does NOT support running SOFS and VM workloads on the same Azure Local cluster for production.</t>
  </si>
  <si>
    <t>✅ Supported: Dedicated SOFS cluster (2+ nodes) with its own S2D pool, serving CA SMB shares for FSLogix profiles.</t>
  </si>
  <si>
    <t>ℹ️ SOFS exposes continuously available (CA) SMB shares — node failovers are transparent to FSLogix sessions.</t>
  </si>
  <si>
    <t>ℹ️ FSLogix profile containers default to 30 GB max per VHD(X). Use Redirections.xml to exclude caches (Teams, browser) and keep profiles lean.</t>
  </si>
  <si>
    <t>ℹ️ For alternative storage options (Azure Files, ANF, NAS), set the profile storage location in Workload Planner and this tab becomes informational.</t>
  </si>
  <si>
    <t>Scale-Out File Server (SOFS)</t>
  </si>
  <si>
    <t>https://learn.microsoft.com/en-us/windows-server/failover-clustering/sofs-overview</t>
  </si>
  <si>
    <t>FSLogix Configuration</t>
  </si>
  <si>
    <t>https://learn.microsoft.com/en-us/fslogix/concepts-configuration-examples</t>
  </si>
  <si>
    <t>AVD PLANNING — SINGLE SOURCE FOR ALL AVD CONFIGURATION</t>
  </si>
  <si>
    <t>All AVD inputs are entered here. Workload Planner, Compute Report, Final Report, Volume Detail, and SOFS Planner all pull from this tab.</t>
  </si>
  <si>
    <t>SECTION 1: AVD SCENARIO INPUTS</t>
  </si>
  <si>
    <t>Set to No to skip AVD entirely. All downstream tabs respect this flag.</t>
  </si>
  <si>
    <t>S2D = local cluster volume. SOFS = dedicated file server (see SOFS Planner). External/Azure = 0 pool footprint.</t>
  </si>
  <si>
    <t>Peak concurrent sessions.</t>
  </si>
  <si>
    <t>Start at 5 GB if unknown. Measure after 30 days. See Section 3 estimator below.</t>
  </si>
  <si>
    <t>AVD TOTAL STORAGE FOOTPRINT</t>
  </si>
  <si>
    <t>SECTION 2: SESSION HOST DENSITY MATRIX</t>
  </si>
  <si>
    <t>Shows maximum users per host at different vCPU/user ratios, using your inputs above.</t>
  </si>
  <si>
    <t>Max users (RAM-limited @ your RAM/user)</t>
  </si>
  <si>
    <t>SECTION 3: HOST POOL SCALE-OUT</t>
  </si>
  <si>
    <t>From inputs above</t>
  </si>
  <si>
    <t>From Section 2 matrix</t>
  </si>
  <si>
    <t>Matches configured VM count?</t>
  </si>
  <si>
    <t>vs configured VMs (C9)</t>
  </si>
  <si>
    <t>SECTION 4: FSLOGIX PROFILE STORAGE ESTIMATOR</t>
  </si>
  <si>
    <t>Estimates total profile volume size based on user type mix. Adjust the mix to model your environment. Compare with your input in Section 1 (C20).</t>
  </si>
  <si>
    <t>Profile volume comparison</t>
  </si>
  <si>
    <t>This estimator</t>
  </si>
  <si>
    <t>Your input (C20)</t>
  </si>
  <si>
    <t>SECTION 5: NETWORK BANDWIDTH ESTIMATOR</t>
  </si>
  <si>
    <t>SECTION 6: GOLD IMAGE SIZING REFERENCE</t>
  </si>
  <si>
    <t>Typical OS disk sizes for session hosts. Your values are set in Section 1 above.</t>
  </si>
  <si>
    <t>SECTION 7: AVD READINESS CHECKLIST</t>
  </si>
  <si>
    <t>Automated checks against your inputs and Hardware Inputs settings.</t>
  </si>
  <si>
    <t>Weighted profile size ≈ input setting?</t>
  </si>
  <si>
    <t>vCPU fit (all nodes, with overcommit)?</t>
  </si>
  <si>
    <t>RAM fit (all nodes)?</t>
  </si>
  <si>
    <t>➡ All AVD inputs have moved to the AVD Planning tab.</t>
  </si>
  <si>
    <t>Profile size per user (GB)</t>
  </si>
  <si>
    <t xml:space="preserve">  AVD Compute Summary</t>
  </si>
  <si>
    <t>Session hosts needed</t>
  </si>
  <si>
    <t>Linked from AVD Planning tab.</t>
  </si>
  <si>
    <t>Click AVD Planning tab for all session host, profile, and compute inputs.</t>
  </si>
  <si>
    <t xml:space="preserve">  FSLogix Profiles — Summary</t>
  </si>
  <si>
    <t>SINGLE SOURCE FOR ALL AVD. Enter ALL session host, profile, and compute settings here. Density matrix, host pool scale-out, FSLogix profile estimator, network bandwidth, gold image sizing, readiness checklist. All downstream tabs pull from this tab.</t>
  </si>
  <si>
    <t>Go to 'Workload Planner'. Choose your scenarios: AKS, Infrastructure VMs, Dev/Test, Backup, or Custom. For AVD, go to the 'AVD Planning' tab — all AVD inputs live there. Running counter shows remaining capacity.</t>
  </si>
  <si>
    <t>CELL PROTECTION OVERRIDES</t>
  </si>
  <si>
    <t>⚠️ You accept all risk when unlocking.</t>
  </si>
  <si>
    <t>12. Advanced Settings</t>
  </si>
  <si>
    <t>⚠️ All formula cells on input tabs are PERMANENTLY LOCKED. If you need to override a calculated value, enter it below. The override value feeds into the system in place of the formula.</t>
  </si>
  <si>
    <t>HOW TO USE: Enter an override value in column D. Leave blank to use the normal formula. The "Active Value" column shows what the system is currently using.</t>
  </si>
  <si>
    <t>HARDWARE INPUTS — Calculated Fields</t>
  </si>
  <si>
    <t>Current Value</t>
  </si>
  <si>
    <t>Override (leave blank = use formula)</t>
  </si>
  <si>
    <t>Active Value</t>
  </si>
  <si>
    <t>Total Raw Capacity (TB)</t>
  </si>
  <si>
    <t>Total Usable Pool Before Reserve (TB)</t>
  </si>
  <si>
    <t>Reserve (TB)</t>
  </si>
  <si>
    <t>Available Capacity for Volumes (TB)</t>
  </si>
  <si>
    <t>Total Cluster Usable RAM (GB)</t>
  </si>
  <si>
    <t>N+1 Available vCPU</t>
  </si>
  <si>
    <t>N+1 Available RAM (GB)</t>
  </si>
  <si>
    <t>AVD PLANNING — Calculated Fields</t>
  </si>
  <si>
    <t>Override</t>
  </si>
  <si>
    <t>Session host volume logical (TB)</t>
  </si>
  <si>
    <t>Session host footprint in pool (TB)</t>
  </si>
  <si>
    <t>Profile volume logical (TB)</t>
  </si>
  <si>
    <t>Profile footprint in pool (TB)</t>
  </si>
  <si>
    <t>AVD total storage footprint (TB)</t>
  </si>
  <si>
    <t>SOFS-Node1-Vol</t>
  </si>
  <si>
    <t>SOFS VM Volumes — Footprint</t>
  </si>
  <si>
    <t>TO DO — REMAINING TASKS</t>
  </si>
  <si>
    <t>#</t>
  </si>
  <si>
    <t>Task Description</t>
  </si>
  <si>
    <t>Linked To / Dependencies</t>
  </si>
  <si>
    <t>WORKLOAD AND STORAGE CALCULATOR — Azure Local</t>
  </si>
  <si>
    <t>WORKLOAD AND STORAGE CALCULATOR — HOW TO USE</t>
  </si>
  <si>
    <t>DONE</t>
  </si>
  <si>
    <t>Linked from AVD Planning C22. Change profile resiliency there.</t>
  </si>
  <si>
    <t>Profile container type</t>
  </si>
  <si>
    <t>Single</t>
  </si>
  <si>
    <t>SOFS volume resiliency on main cluster</t>
  </si>
  <si>
    <t>Resiliency for the SOFS VM storage volumes on the Azure Local compute cluster. Independent from SOFS internal resiliency.</t>
  </si>
  <si>
    <t>QUESTIONS &amp; ANSWERS LOG</t>
  </si>
  <si>
    <t>Question</t>
  </si>
  <si>
    <t>Answer</t>
  </si>
  <si>
    <t>Single = 1 VHD per user (profile+Office combined). Split = 3 VHDs per user (profile + Office/ODFC + other). Split triples IOPS and volume count.</t>
  </si>
  <si>
    <t>Auto-calculated from profile demand. Drive size = pool needed ÷ (nodes × drives × resiliency eff × cap eff - 1 drive reserve).</t>
  </si>
  <si>
    <t>WORKLOAD PLANNER — Scenario Footprints</t>
  </si>
  <si>
    <t>S1: AVD total footprint (TB)</t>
  </si>
  <si>
    <t>S2: AKS total footprint (TB)</t>
  </si>
  <si>
    <t>S3: Infra total footprint (TB)</t>
  </si>
  <si>
    <t>S4: Dev/Test total footprint (TB)</t>
  </si>
  <si>
    <t>S5: Backup/Archive total footprint (TB)</t>
  </si>
  <si>
    <t>S6: Custom total footprint (TB)</t>
  </si>
  <si>
    <t>SOFS VM volumes footprint (TB)</t>
  </si>
  <si>
    <t>Total physical footprint (TB)</t>
  </si>
  <si>
    <t>Remaining pool capacity (TB)</t>
  </si>
  <si>
    <t>Pool utilization (%)</t>
  </si>
  <si>
    <t>SOFS PLANNER — Calculated Fields</t>
  </si>
  <si>
    <t>Drive capacity auto-calc (TB)</t>
  </si>
  <si>
    <t>Total raw capacity (TB)</t>
  </si>
  <si>
    <t>Usable capacity (TB)</t>
  </si>
  <si>
    <t>Available for volumes (TB)</t>
  </si>
  <si>
    <t>Profile logical demand (TB)</t>
  </si>
  <si>
    <t>Profile footprint on SOFS (TB)</t>
  </si>
  <si>
    <t>SOFS VM COMPUTE (on main cluster)</t>
  </si>
  <si>
    <t>vCPU per SOFS VM</t>
  </si>
  <si>
    <t>Typical SOFS VM: 4-8 vCPU. Depends on concurrent SMB sessions.</t>
  </si>
  <si>
    <t>RAM per SOFS VM</t>
  </si>
  <si>
    <t>Typical SOFS VM: 8-16 GB. More for large concurrent profile mounts.</t>
  </si>
  <si>
    <t>SOFS VM count</t>
  </si>
  <si>
    <t>Equals SOFS node count. Each node = 1 VM on the Azure Local cluster.</t>
  </si>
  <si>
    <t>Total SOFS vCPU demand</t>
  </si>
  <si>
    <t>Total vCPU consumed on main cluster by SOFS VMs.</t>
  </si>
  <si>
    <t>Total SOFS RAM demand</t>
  </si>
  <si>
    <t>Total RAM consumed on main cluster by SOFS VMs.</t>
  </si>
  <si>
    <t>SOFS VMs</t>
  </si>
  <si>
    <t>Enabled</t>
  </si>
  <si>
    <t>SOFS VM Volumes</t>
  </si>
  <si>
    <t>2. Workload Planner</t>
  </si>
  <si>
    <t>3. AVD Planning</t>
  </si>
  <si>
    <t>4. SOFS Planner</t>
  </si>
  <si>
    <t>5. Volume Detail</t>
  </si>
  <si>
    <t>8. Final Report</t>
  </si>
  <si>
    <t>9. Drive Layout Comparison</t>
  </si>
  <si>
    <t>SEPARATE SOFS CLUSTER SIZING. Hardware inputs, S2D pool calculation, FSLogix demand linked from Workload Planner (which pulls from AVD Planning), IOPS estimates, SOFS VM compute demand, readiness checklist. Use when profile storage is on a dedicated file server cluster.</t>
  </si>
  <si>
    <t>PER-VOLUME TABLE. Name, resiliency, efficiency, logical size, footprint, usable capacity. PASS/FAIL check. Includes SOFS VM volumes.</t>
  </si>
  <si>
    <t>COMPUTE ANALYSIS. CPU and RAM capacity vs demand by scenario (including SOFS VMs). N+1 failover analysis, session host sizing, vCPU overcommit sensitivity table. All formula-linked to Hardware Inputs and Workload Planner.</t>
  </si>
  <si>
    <t>ONE-PAGE SUMMARY. Hardware config, capacity allocation, scenario breakdown, volume creation table (TB + TiB), PowerShell commands, drive layout insight, compute analysis, best practice checks. All formula-linked — prints or shares as a snapshot.</t>
  </si>
  <si>
    <t>DOCUMENTATION LINKS. Microsoft Learn pages covering S2D, Azure Local, compute sizing, AVD, AKS, SOFS, and FSLogix topics.</t>
  </si>
  <si>
    <t>ADMIN ONLY. Capacity efficiency factor, infrastructure volume size, TB-to-TiB reference table. Override section for Workload Planner and SOFS Planner calculated fields. Also contains the CELL PROTECTION OVERRIDE switch.</t>
  </si>
  <si>
    <t>S1: AVD — vCPU demand</t>
  </si>
  <si>
    <t>Eff. vCPU (with overcommit) | RAM (GB)</t>
  </si>
  <si>
    <t>S2: AKS — vCPU demand</t>
  </si>
  <si>
    <t>S3: Infrastructure — vCPU demand</t>
  </si>
  <si>
    <t>S4: Dev/Test — vCPU demand</t>
  </si>
  <si>
    <t>SOFS VMs — vCPU demand</t>
  </si>
  <si>
    <t>1:1 overcommit — SOFS VMs are not overcommitted</t>
  </si>
  <si>
    <t>Raw vCPU</t>
  </si>
  <si>
    <t>TOTAL RAM DEMAND</t>
  </si>
  <si>
    <t>Must be LESS than cluster RAM.</t>
  </si>
  <si>
    <t>vCPU OVERCOMMIT SENSITIVITY (ALL SCENARIOS)</t>
  </si>
  <si>
    <t>AVD Eff. vCPU</t>
  </si>
  <si>
    <t>Total Eff. vCPU</t>
  </si>
  <si>
    <t>Fit (All)</t>
  </si>
  <si>
    <t>WHERE YOU PLAN VOLUMES. Scenario-based: AVD summary (linked from AVD Planning), AKS (clusters + worker nodes + PVs + data services), Infrastructure VMs, Dev/Test, Backup/Archive, Custom. Enable/disable each scenario. Running capacity counter. Compute summary tracks vCPU AND RAM demand per scenario with N+1 failover checks. Overcommit sensitivity table covers all scenarios.</t>
  </si>
  <si>
    <t>vCPU Overcommit Sensitivity (All Scenarios)</t>
  </si>
  <si>
    <t>Drives per node used for CAPACITY. Min 4 drives or more recommended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</si>
</sst>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quot; TB available from your cluster&quot;"/>
    <numFmt numFmtId="165" formatCode="0.0%"/>
    <numFmt numFmtId="166" formatCode="\+0.00&quot; TB&quot;;\-0.00&quot; TB&quot;;&quot;—&quot;"/>
    <numFmt numFmtId="167" formatCode="0.0"/>
    <numFmt numFmtId="168" formatCode="0.00&quot; TB&quot;"/>
  </numFmts>
  <fonts count="96" x14ac:knownFonts="1">
    <font>
      <sz val="11"/>
      <color theme="1"/>
      <name val="Calibri"/>
      <family val="2"/>
      <charset val="1"/>
    </font>
    <font>
      <b/>
      <sz val="14"/>
      <color rgb="FFFFFFFF"/>
      <name val="Arial"/>
      <charset val="1"/>
    </font>
    <font>
      <b/>
      <sz val="10"/>
      <color rgb="FFFFFFFF"/>
      <name val="Arial"/>
      <charset val="1"/>
    </font>
    <font>
      <sz val="10"/>
      <name val="Arial"/>
      <charset val="1"/>
    </font>
    <font>
      <b/>
      <sz val="13"/>
      <color rgb="FFFFFFFF"/>
      <name val="Arial"/>
      <charset val="1"/>
    </font>
    <font>
      <b/>
      <sz val="12"/>
      <color rgb="FF2E7D32"/>
      <name val="Arial"/>
      <charset val="1"/>
    </font>
    <font>
      <b/>
      <sz val="11"/>
      <color rgb="FF0000FF"/>
      <name val="Arial"/>
      <charset val="1"/>
    </font>
    <font>
      <b/>
      <sz val="11"/>
      <color rgb="FF1B3A5C"/>
      <name val="Arial"/>
      <charset val="1"/>
    </font>
    <font>
      <b/>
      <sz val="11"/>
      <color rgb="FFC62828"/>
      <name val="Arial"/>
      <charset val="1"/>
    </font>
    <font>
      <b/>
      <sz val="11"/>
      <color rgb="FFE65100"/>
      <name val="Arial"/>
      <charset val="1"/>
    </font>
    <font>
      <b/>
      <sz val="10"/>
      <name val="Arial"/>
      <charset val="1"/>
    </font>
    <font>
      <i/>
      <sz val="9"/>
      <color rgb="FF888888"/>
      <name val="Arial"/>
      <charset val="1"/>
    </font>
    <font>
      <b/>
      <sz val="10"/>
      <color rgb="FF0000FF"/>
      <name val="Arial"/>
      <charset val="1"/>
    </font>
    <font>
      <b/>
      <sz val="16"/>
      <color rgb="FF2E7D32"/>
      <name val="Arial"/>
      <charset val="1"/>
    </font>
    <font>
      <b/>
      <sz val="11"/>
      <color rgb="FFFFFFFF"/>
      <name val="Arial"/>
      <charset val="1"/>
    </font>
    <font>
      <u/>
      <sz val="9"/>
      <color rgb="FF0563C1"/>
      <name val="Arial"/>
      <charset val="1"/>
    </font>
    <font>
      <b/>
      <sz val="14"/>
      <color rgb="FFFFFFFF"/>
      <name val="Arial"/>
    </font>
    <font>
      <b/>
      <sz val="10"/>
      <color rgb="FFFFFFFF"/>
      <name val="Arial"/>
    </font>
    <font>
      <sz val="10"/>
      <color theme="1"/>
      <name val="Arial"/>
    </font>
    <font>
      <b/>
      <sz val="10"/>
      <color theme="1"/>
      <name val="Arial"/>
    </font>
    <font>
      <b/>
      <sz val="11"/>
      <color rgb="FF1B3A5C"/>
      <name val="Arial"/>
    </font>
    <font>
      <i/>
      <sz val="9"/>
      <color rgb="FF888888"/>
      <name val="Arial"/>
    </font>
    <font>
      <b/>
      <sz val="11"/>
      <color rgb="FF2E7D32"/>
      <name val="Arial"/>
    </font>
    <font>
      <b/>
      <sz val="11"/>
      <color rgb="FFE65100"/>
      <name val="Arial"/>
    </font>
    <font>
      <b/>
      <sz val="14"/>
      <color rgb="FF2E7D32"/>
      <name val="Arial"/>
    </font>
    <font>
      <b/>
      <sz val="10"/>
      <color rgb="FF2E7D32"/>
      <name val="Arial"/>
    </font>
    <font>
      <sz val="10"/>
      <color rgb="FF1B3A5C"/>
      <name val="Arial"/>
    </font>
    <font>
      <b/>
      <sz val="10"/>
      <color rgb="FF1B3A5C"/>
      <name val="Arial"/>
    </font>
    <font>
      <b/>
      <sz val="10"/>
      <color rgb="FF00695C"/>
      <name val="Arial"/>
    </font>
    <font>
      <sz val="10"/>
      <color rgb="FF000000"/>
      <name val="Arial"/>
    </font>
    <font>
      <b/>
      <sz val="9"/>
      <color rgb="FFFFFFFF"/>
      <name val="Arial"/>
    </font>
    <font>
      <b/>
      <sz val="12"/>
      <color rgb="FF2E7D32"/>
      <name val="Arial"/>
    </font>
    <font>
      <b/>
      <sz val="16"/>
      <color rgb="FF2E7D32"/>
      <name val="Arial"/>
    </font>
    <font>
      <b/>
      <sz val="10"/>
      <color rgb="FF0000FF"/>
      <name val="Arial"/>
    </font>
    <font>
      <b/>
      <sz val="11"/>
      <color rgb="FF0000FF"/>
      <name val="Arial"/>
    </font>
    <font>
      <b/>
      <sz val="11"/>
      <color rgb="FFC62828"/>
      <name val="Arial"/>
    </font>
    <font>
      <b/>
      <sz val="12"/>
      <color rgb="FF1B3A5C"/>
      <name val="Arial"/>
    </font>
    <font>
      <b/>
      <sz val="12"/>
      <color rgb="FFC62828"/>
      <name val="Arial"/>
    </font>
    <font>
      <b/>
      <sz val="11"/>
      <color rgb="FFFFFFFF"/>
      <name val="Arial"/>
    </font>
    <font>
      <b/>
      <sz val="11"/>
      <color theme="1"/>
      <name val="Arial"/>
    </font>
    <font>
      <sz val="10"/>
      <color rgb="FFC62828"/>
      <name val="Arial"/>
    </font>
    <font>
      <b/>
      <sz val="10"/>
      <color rgb="FF000000"/>
      <name val="Arial"/>
    </font>
    <font>
      <b/>
      <sz val="14"/>
      <color rgb="FFFFFFFF"/>
      <name val="Calibri"/>
      <family val="2"/>
      <charset val="1"/>
    </font>
    <font>
      <i/>
      <sz val="9"/>
      <color rgb="FF666666"/>
      <name val="Calibri"/>
      <family val="2"/>
      <charset val="1"/>
    </font>
    <font>
      <b/>
      <sz val="11"/>
      <color rgb="FFFFFFFF"/>
      <name val="Calibri"/>
      <family val="2"/>
      <charset val="1"/>
    </font>
    <font>
      <i/>
      <sz val="9"/>
      <color rgb="FF888888"/>
      <name val="Calibri"/>
      <family val="2"/>
      <charset val="1"/>
    </font>
    <font>
      <b/>
      <sz val="10"/>
      <color rgb="FF375623"/>
      <name val="Arial"/>
    </font>
    <font>
      <i/>
      <sz val="9"/>
      <color rgb="FF555555"/>
      <name val="Calibri"/>
      <family val="2"/>
      <charset val="1"/>
    </font>
    <font>
      <b/>
      <sz val="9"/>
      <color theme="1"/>
      <name val="Arial"/>
    </font>
    <font>
      <b/>
      <sz val="10"/>
      <color rgb="FF1B3A5C"/>
      <name val="Calibri"/>
      <family val="2"/>
      <charset val="1"/>
    </font>
    <font>
      <b/>
      <sz val="10"/>
      <color rgb="FF2C5F8A"/>
      <name val="Arial"/>
    </font>
    <font>
      <b/>
      <i/>
      <sz val="10"/>
      <color rgb="FF888888"/>
      <name val="Arial"/>
    </font>
    <font>
      <b/>
      <sz val="10"/>
      <color rgb="FFFFFFFF"/>
      <name val="Calibri"/>
      <family val="2"/>
      <charset val="1"/>
    </font>
    <font>
      <i/>
      <sz val="9"/>
      <color rgb="FFD4D4D4"/>
      <name val="Consolas"/>
    </font>
    <font>
      <sz val="11"/>
      <color rgb="FF000000"/>
      <name val="Calibri"/>
      <family val="2"/>
      <charset val="1"/>
    </font>
    <font>
      <b/>
      <i/>
      <sz val="9"/>
      <color rgb="FF888888"/>
      <name val="Arial"/>
    </font>
    <font>
      <sz val="10"/>
      <color rgb="FF2E7D32"/>
      <name val="Arial"/>
    </font>
    <font>
      <b/>
      <sz val="11"/>
      <color rgb="FF000000"/>
      <name val="Arial"/>
    </font>
    <font>
      <sz val="11"/>
      <color rgb="FF000000"/>
      <name val="Arial"/>
    </font>
    <font>
      <i/>
      <sz val="11"/>
      <color rgb="FF000000"/>
      <name val="Arial"/>
    </font>
    <font>
      <b/>
      <sz val="10"/>
      <color rgb="FFC62828"/>
      <name val="Arial"/>
    </font>
    <font>
      <b/>
      <sz val="11"/>
      <color rgb="FF00695C"/>
      <name val="Arial"/>
    </font>
    <font>
      <b/>
      <sz val="11"/>
      <color rgb="FFFFFFFF"/>
      <name val="Calibri"/>
    </font>
    <font>
      <sz val="10"/>
      <color rgb="FF00695C"/>
      <name val="Arial"/>
    </font>
    <font>
      <b/>
      <sz val="12"/>
      <color rgb="FF00695C"/>
      <name val="Arial"/>
    </font>
    <font>
      <b/>
      <sz val="18"/>
      <color rgb="FF2E7D32"/>
      <name val="Arial"/>
    </font>
    <font>
      <b/>
      <sz val="14"/>
      <color rgb="FFC62828"/>
      <name val="Arial"/>
    </font>
    <font>
      <b/>
      <sz val="14"/>
      <color rgb="FF1B3A5C"/>
      <name val="Arial"/>
    </font>
    <font>
      <i/>
      <sz val="9"/>
      <color rgb="FF666666"/>
      <name val="Calibri"/>
    </font>
    <font>
      <u/>
      <sz val="9"/>
      <color rgb="FF0563C1"/>
      <name val="Arial"/>
    </font>
    <font>
      <b/>
      <i/>
      <sz val="10"/>
      <color rgb="FFFFFFFF"/>
      <name val="Arial"/>
    </font>
    <font>
      <sz val="10"/>
      <color rgb="FF888888"/>
      <name val="Arial"/>
    </font>
    <font>
      <sz val="9"/>
      <color rgb="FF888888"/>
      <name val="Arial"/>
    </font>
    <font>
      <i/>
      <sz val="9"/>
      <color rgb="FF1B3A5C"/>
      <name val="Arial"/>
    </font>
    <font>
      <b/>
      <i/>
      <sz val="10"/>
      <color rgb="FF1B3A5C"/>
      <name val="Arial"/>
    </font>
    <font>
      <sz val="10"/>
      <color rgb="FFE65100"/>
      <name val="Arial"/>
    </font>
    <font>
      <i/>
      <sz val="9"/>
      <color rgb="FFE65100"/>
      <name val="Arial"/>
    </font>
    <font>
      <sz val="10"/>
      <color rgb="FF0000FF"/>
      <name val="Arial"/>
    </font>
    <font>
      <sz val="9"/>
      <color rgb="FF1B3A5C"/>
      <name val="Arial"/>
    </font>
    <font>
      <b/>
      <sz val="9"/>
      <color rgb="FF1B3A5C"/>
      <name val="Arial"/>
    </font>
    <font>
      <i/>
      <sz val="9"/>
      <color rgb="FF666666"/>
      <name val="Arial"/>
    </font>
    <font>
      <b/>
      <sz val="10"/>
      <color rgb="FFE65100"/>
      <name val="Arial"/>
    </font>
    <font>
      <b/>
      <sz val="9"/>
      <color rgb="FFC62828"/>
      <name val="Arial"/>
    </font>
    <font>
      <b/>
      <i/>
      <sz val="9"/>
      <color rgb="FFC62828"/>
      <name val="Arial"/>
    </font>
    <font>
      <sz val="9"/>
      <color rgb="FF000000"/>
      <name val="Arial"/>
    </font>
    <font>
      <sz val="9"/>
      <color rgb="FF0000FF"/>
      <name val="Arial"/>
    </font>
    <font>
      <b/>
      <sz val="9"/>
      <color rgb="FF000000"/>
      <name val="Arial"/>
    </font>
    <font>
      <i/>
      <sz val="9"/>
      <color rgb="FF000000"/>
      <name val="Arial"/>
    </font>
    <font>
      <b/>
      <sz val="10"/>
      <color rgb="FF2E7D32"/>
      <name val="Arial"/>
      <family val="2"/>
    </font>
    <font>
      <b/>
      <sz val="10"/>
      <color rgb="FF1B3A5C"/>
      <name val="Arial"/>
      <family val="2"/>
    </font>
    <font>
      <sz val="10"/>
      <color theme="1"/>
      <name val="Arial"/>
      <family val="2"/>
    </font>
    <font>
      <sz val="9"/>
      <color rgb="FF1B3A5C"/>
      <name val="Calibri"/>
      <family val="2"/>
      <charset val="1"/>
    </font>
    <font>
      <sz val="9"/>
      <color rgb="FF0000FF"/>
      <name val="Calibri"/>
      <family val="2"/>
      <charset val="1"/>
    </font>
    <font>
      <b/>
      <sz val="9"/>
      <color rgb="FF1B3A5C"/>
      <name val="Calibri"/>
      <family val="2"/>
      <charset val="1"/>
    </font>
    <font>
      <sz val="10"/>
      <color rgb="FF006100"/>
      <name val="Arial"/>
    </font>
    <font>
      <b/>
      <i/>
      <sz val="10"/>
      <color rgb="FF000000"/>
      <name val="Arial"/>
    </font>
  </fonts>
  <fills count="31">
    <fill>
      <patternFill patternType="none"/>
    </fill>
    <fill>
      <patternFill patternType="gray125"/>
    </fill>
    <fill>
      <patternFill patternType="solid">
        <fgColor rgb="FF1B3A5C"/>
        <bgColor rgb="FF333333"/>
      </patternFill>
    </fill>
    <fill>
      <patternFill patternType="solid">
        <fgColor rgb="FF2C5F8A"/>
        <bgColor rgb="FF1565C0"/>
      </patternFill>
    </fill>
    <fill>
      <patternFill patternType="solid">
        <fgColor rgb="FF2E7D32"/>
        <bgColor rgb="FF008000"/>
      </patternFill>
    </fill>
    <fill>
      <patternFill patternType="solid">
        <fgColor rgb="FFE8F5E9"/>
        <bgColor rgb="FFF2F2F2"/>
      </patternFill>
    </fill>
    <fill>
      <patternFill patternType="solid">
        <fgColor rgb="FFD6E4F0"/>
        <bgColor rgb="FFE8F5E9"/>
      </patternFill>
    </fill>
    <fill>
      <patternFill patternType="solid">
        <fgColor rgb="FFFFF2CC"/>
        <bgColor rgb="FFFFF3E0"/>
      </patternFill>
    </fill>
    <fill>
      <patternFill patternType="solid">
        <fgColor rgb="FFFCE4EC"/>
        <bgColor rgb="FFF2F2F2"/>
      </patternFill>
    </fill>
    <fill>
      <patternFill patternType="solid">
        <fgColor rgb="FFFFF3E0"/>
        <bgColor rgb="FFFFF2CC"/>
      </patternFill>
    </fill>
    <fill>
      <patternFill patternType="solid">
        <fgColor rgb="FFF2F2F2"/>
        <bgColor rgb="FFE8F5E9"/>
      </patternFill>
    </fill>
    <fill>
      <patternFill patternType="solid">
        <fgColor rgb="FFB71C1C"/>
        <bgColor rgb="FFC62828"/>
      </patternFill>
    </fill>
    <fill>
      <patternFill patternType="solid">
        <fgColor rgb="FF1B3A5C"/>
        <bgColor indexed="64"/>
      </patternFill>
    </fill>
    <fill>
      <patternFill patternType="solid">
        <fgColor rgb="FF2C5F8A"/>
        <bgColor indexed="64"/>
      </patternFill>
    </fill>
    <fill>
      <patternFill patternType="solid">
        <fgColor rgb="FFF2F2F2"/>
        <bgColor indexed="64"/>
      </patternFill>
    </fill>
    <fill>
      <patternFill patternType="solid">
        <fgColor rgb="FFD6E4F0"/>
        <bgColor indexed="64"/>
      </patternFill>
    </fill>
    <fill>
      <patternFill patternType="solid">
        <fgColor rgb="FFE8F5E9"/>
        <bgColor indexed="64"/>
      </patternFill>
    </fill>
    <fill>
      <patternFill patternType="solid">
        <fgColor rgb="FFFFFFFF"/>
        <bgColor indexed="64"/>
      </patternFill>
    </fill>
    <fill>
      <patternFill patternType="solid">
        <fgColor rgb="FF00695C"/>
        <bgColor indexed="64"/>
      </patternFill>
    </fill>
    <fill>
      <patternFill patternType="solid">
        <fgColor rgb="FFFFF2CC"/>
        <bgColor indexed="64"/>
      </patternFill>
    </fill>
    <fill>
      <patternFill patternType="solid">
        <fgColor rgb="FFFCE4EC"/>
        <bgColor indexed="64"/>
      </patternFill>
    </fill>
    <fill>
      <patternFill patternType="solid">
        <fgColor rgb="FF4472C4"/>
        <bgColor indexed="64"/>
      </patternFill>
    </fill>
    <fill>
      <patternFill patternType="solid">
        <fgColor rgb="FFF2F7FB"/>
        <bgColor indexed="64"/>
      </patternFill>
    </fill>
    <fill>
      <patternFill patternType="solid">
        <fgColor rgb="FFE2EFDA"/>
        <bgColor indexed="64"/>
      </patternFill>
    </fill>
    <fill>
      <patternFill patternType="solid">
        <fgColor rgb="FFE8EEF4"/>
        <bgColor indexed="64"/>
      </patternFill>
    </fill>
    <fill>
      <patternFill patternType="solid">
        <fgColor rgb="FF1E1E1E"/>
        <bgColor indexed="64"/>
      </patternFill>
    </fill>
    <fill>
      <patternFill patternType="solid">
        <fgColor rgb="FFFFF3E0"/>
        <bgColor indexed="64"/>
      </patternFill>
    </fill>
    <fill>
      <patternFill patternType="solid">
        <fgColor rgb="FFE0F2F1"/>
        <bgColor indexed="64"/>
      </patternFill>
    </fill>
    <fill>
      <patternFill patternType="solid">
        <fgColor rgb="FF3A5F8A"/>
        <bgColor indexed="64"/>
      </patternFill>
    </fill>
    <fill>
      <patternFill patternType="solid">
        <fgColor rgb="FFC62828"/>
        <bgColor indexed="64"/>
      </patternFill>
    </fill>
    <fill>
      <patternFill patternType="solid">
        <fgColor rgb="FFC6EFCE"/>
        <bgColor indexed="64"/>
      </patternFill>
    </fill>
  </fills>
  <borders count="22">
    <border>
      <left/>
      <right/>
      <top/>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right/>
      <top/>
      <bottom style="thin">
        <color rgb="FFCCCCCC"/>
      </bottom>
      <diagonal/>
    </border>
    <border>
      <left/>
      <right/>
      <top style="thin">
        <color rgb="FFCCCCCC"/>
      </top>
      <bottom style="thin">
        <color rgb="FFCCCCCC"/>
      </bottom>
      <diagonal/>
    </border>
    <border>
      <left/>
      <right/>
      <top style="thin">
        <color rgb="FFCCCCCC"/>
      </top>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right/>
      <top style="medium">
        <color rgb="FF1B3A5C"/>
      </top>
      <bottom/>
      <diagonal/>
    </border>
    <border>
      <left/>
      <right/>
      <top/>
      <bottom style="thin">
        <color rgb="FFE0E0E0"/>
      </bottom>
      <diagonal/>
    </border>
    <border>
      <left/>
      <right/>
      <top style="thin">
        <color rgb="FFE0E0E0"/>
      </top>
      <bottom style="thin">
        <color rgb="FFE0E0E0"/>
      </bottom>
      <diagonal/>
    </border>
    <border>
      <left/>
      <right/>
      <top style="thin">
        <color rgb="FFE0E0E0"/>
      </top>
      <bottom/>
      <diagonal/>
    </border>
    <border>
      <left style="thin">
        <color rgb="FFCCCCCC"/>
      </left>
      <right/>
      <top/>
      <bottom/>
      <diagonal/>
    </border>
    <border>
      <left style="thin">
        <color rgb="FFCCCCCC"/>
      </left>
      <right style="thin">
        <color rgb="FFCCCCCC"/>
      </right>
      <top/>
      <bottom/>
      <diagonal/>
    </border>
    <border>
      <left style="thin">
        <color rgb="FFCCCCCC"/>
      </left>
      <right style="thin">
        <color rgb="FFCCCCCC"/>
      </right>
      <top style="medium">
        <color rgb="FF1B3A5C"/>
      </top>
      <bottom style="thin">
        <color rgb="FFCCCCCC"/>
      </bottom>
      <diagonal/>
    </border>
    <border>
      <left/>
      <right style="thin">
        <color rgb="FFCCCCCC"/>
      </right>
      <top/>
      <bottom/>
      <diagonal/>
    </border>
    <border>
      <left/>
      <right/>
      <top/>
      <bottom style="thin">
        <color rgb="FFB0B0B0"/>
      </bottom>
      <diagonal/>
    </border>
  </borders>
  <cellStyleXfs count="1">
    <xf numFmtId="0" fontId="0" fillId="0" borderId="0"/>
  </cellStyleXfs>
  <cellXfs count="534">
    <xf numFmtId="0" fontId="0" fillId="0" borderId="0" xfId="0"/>
    <xf numFmtId="0" fontId="0" fillId="0" borderId="0" xfId="0" applyAlignment="1">
      <alignment wrapText="1"/>
    </xf>
    <xf numFmtId="0" fontId="0" fillId="29" borderId="0" xfId="0" applyFill="1"/>
    <xf numFmtId="0" fontId="6" fillId="7" borderId="2" xfId="0" applyFont="1" applyFill="1" applyBorder="1" applyAlignment="1" applyProtection="1">
      <alignment horizontal="center"/>
      <protection locked="0"/>
    </xf>
    <xf numFmtId="0" fontId="12" fillId="7" borderId="2" xfId="0" applyFont="1" applyFill="1" applyBorder="1" applyAlignment="1" applyProtection="1">
      <alignment horizontal="center"/>
      <protection locked="0"/>
    </xf>
    <xf numFmtId="2" fontId="6" fillId="7" borderId="2" xfId="0" applyNumberFormat="1" applyFont="1" applyFill="1" applyBorder="1" applyAlignment="1" applyProtection="1">
      <alignment horizontal="center"/>
      <protection locked="0"/>
    </xf>
    <xf numFmtId="0" fontId="34" fillId="19" borderId="2" xfId="0" applyFont="1" applyFill="1" applyBorder="1" applyAlignment="1" applyProtection="1">
      <alignment horizontal="center"/>
      <protection locked="0"/>
    </xf>
    <xf numFmtId="0" fontId="33" fillId="19" borderId="2" xfId="0" applyFont="1" applyFill="1" applyBorder="1" applyAlignment="1" applyProtection="1">
      <alignment horizontal="center"/>
      <protection locked="0"/>
    </xf>
    <xf numFmtId="0" fontId="33" fillId="19" borderId="0" xfId="0" applyFont="1" applyFill="1" applyAlignment="1" applyProtection="1">
      <alignment horizontal="center"/>
      <protection locked="0"/>
    </xf>
    <xf numFmtId="0" fontId="34" fillId="19" borderId="0" xfId="0" applyFont="1" applyFill="1" applyAlignment="1" applyProtection="1">
      <alignment horizontal="center"/>
      <protection locked="0"/>
    </xf>
    <xf numFmtId="1" fontId="34" fillId="19" borderId="0" xfId="0" applyNumberFormat="1" applyFont="1" applyFill="1" applyAlignment="1" applyProtection="1">
      <alignment horizontal="center"/>
      <protection locked="0"/>
    </xf>
    <xf numFmtId="9" fontId="34" fillId="19" borderId="0" xfId="0" applyNumberFormat="1" applyFont="1" applyFill="1" applyAlignment="1" applyProtection="1">
      <alignment horizontal="center"/>
      <protection locked="0"/>
    </xf>
    <xf numFmtId="2" fontId="34" fillId="19" borderId="0" xfId="0" applyNumberFormat="1" applyFont="1" applyFill="1" applyAlignment="1" applyProtection="1">
      <alignment horizontal="center"/>
      <protection locked="0"/>
    </xf>
    <xf numFmtId="49" fontId="33" fillId="19" borderId="0" xfId="0" applyNumberFormat="1" applyFont="1" applyFill="1" applyAlignment="1" applyProtection="1">
      <alignment horizontal="center"/>
      <protection locked="0"/>
    </xf>
    <xf numFmtId="0" fontId="77" fillId="19" borderId="0" xfId="0" applyFont="1" applyFill="1" applyAlignment="1" applyProtection="1">
      <alignment horizontal="center"/>
      <protection locked="0"/>
    </xf>
    <xf numFmtId="9" fontId="77" fillId="19" borderId="0" xfId="0" applyNumberFormat="1" applyFont="1" applyFill="1" applyAlignment="1" applyProtection="1">
      <alignment horizontal="center"/>
      <protection locked="0"/>
    </xf>
    <xf numFmtId="0" fontId="33" fillId="19" borderId="18" xfId="0" applyFont="1" applyFill="1" applyBorder="1" applyAlignment="1" applyProtection="1">
      <alignment horizontal="center"/>
      <protection locked="0"/>
    </xf>
    <xf numFmtId="1" fontId="34" fillId="19" borderId="2" xfId="0" applyNumberFormat="1" applyFont="1" applyFill="1" applyBorder="1" applyAlignment="1" applyProtection="1">
      <alignment horizontal="center"/>
      <protection locked="0"/>
    </xf>
    <xf numFmtId="2" fontId="34" fillId="19" borderId="2" xfId="0" applyNumberFormat="1" applyFont="1" applyFill="1" applyBorder="1" applyAlignment="1" applyProtection="1">
      <alignment horizontal="center"/>
      <protection locked="0"/>
    </xf>
    <xf numFmtId="49" fontId="33" fillId="19" borderId="2" xfId="0" applyNumberFormat="1" applyFont="1" applyFill="1" applyBorder="1" applyAlignment="1" applyProtection="1">
      <alignment horizontal="center"/>
      <protection locked="0"/>
    </xf>
    <xf numFmtId="0" fontId="33" fillId="19" borderId="11" xfId="0" applyFont="1" applyFill="1" applyBorder="1" applyAlignment="1" applyProtection="1">
      <alignment horizontal="center"/>
      <protection locked="0"/>
    </xf>
    <xf numFmtId="9" fontId="6" fillId="7" borderId="2" xfId="0" applyNumberFormat="1" applyFont="1" applyFill="1" applyBorder="1" applyAlignment="1" applyProtection="1">
      <alignment horizontal="center"/>
      <protection locked="0"/>
    </xf>
    <xf numFmtId="0" fontId="85" fillId="19" borderId="0" xfId="0" applyFont="1" applyFill="1" applyAlignment="1" applyProtection="1">
      <alignment horizontal="center"/>
      <protection locked="0"/>
    </xf>
    <xf numFmtId="0" fontId="17" fillId="12" borderId="0" xfId="0" applyFont="1" applyFill="1"/>
    <xf numFmtId="0" fontId="17" fillId="12" borderId="0" xfId="0" applyFont="1" applyFill="1" applyAlignment="1">
      <alignment horizontal="center"/>
    </xf>
    <xf numFmtId="0" fontId="16" fillId="29" borderId="0" xfId="0" applyFont="1" applyFill="1" applyAlignment="1">
      <alignment horizontal="left"/>
    </xf>
    <xf numFmtId="0" fontId="27" fillId="14" borderId="0" xfId="0" applyFont="1" applyFill="1" applyAlignment="1">
      <alignment horizontal="center" vertical="top"/>
    </xf>
    <xf numFmtId="0" fontId="29" fillId="17" borderId="0" xfId="0" applyFont="1" applyFill="1" applyAlignment="1">
      <alignment vertical="top" wrapText="1"/>
    </xf>
    <xf numFmtId="0" fontId="60" fillId="20" borderId="0" xfId="0" applyFont="1" applyFill="1" applyAlignment="1">
      <alignment horizontal="center" vertical="top" wrapText="1"/>
    </xf>
    <xf numFmtId="0" fontId="27" fillId="15" borderId="0" xfId="0" applyFont="1" applyFill="1" applyAlignment="1">
      <alignment horizontal="center" vertical="top"/>
    </xf>
    <xf numFmtId="0" fontId="18" fillId="17" borderId="0" xfId="0" applyFont="1" applyFill="1" applyAlignment="1">
      <alignment vertical="top" wrapText="1"/>
    </xf>
    <xf numFmtId="0" fontId="25" fillId="16" borderId="0" xfId="0" applyFont="1" applyFill="1" applyAlignment="1">
      <alignment vertical="top" wrapText="1"/>
    </xf>
    <xf numFmtId="0" fontId="27" fillId="15" borderId="0" xfId="0" applyFont="1" applyFill="1" applyAlignment="1">
      <alignment horizontal="center" vertical="top" wrapText="1"/>
    </xf>
    <xf numFmtId="0" fontId="29" fillId="14" borderId="0" xfId="0" applyFont="1" applyFill="1" applyAlignment="1">
      <alignment vertical="top" wrapText="1"/>
    </xf>
    <xf numFmtId="0" fontId="17" fillId="12" borderId="0" xfId="0" applyFont="1" applyFill="1" applyAlignment="1">
      <alignment horizontal="center" wrapText="1"/>
    </xf>
    <xf numFmtId="0" fontId="18" fillId="0" borderId="0" xfId="0" applyFont="1" applyAlignment="1">
      <alignment vertical="top" wrapText="1"/>
    </xf>
    <xf numFmtId="0" fontId="88" fillId="16" borderId="0" xfId="0" applyFont="1" applyFill="1" applyAlignment="1">
      <alignment horizontal="center" vertical="top" wrapText="1"/>
    </xf>
    <xf numFmtId="0" fontId="89" fillId="14" borderId="0" xfId="0" applyFont="1" applyFill="1" applyAlignment="1">
      <alignment horizontal="center" vertical="top"/>
    </xf>
    <xf numFmtId="0" fontId="90" fillId="17" borderId="0" xfId="0" applyFont="1" applyFill="1" applyAlignment="1">
      <alignment vertical="top" wrapText="1"/>
    </xf>
    <xf numFmtId="0" fontId="88" fillId="16" borderId="0" xfId="0" applyFont="1" applyFill="1" applyAlignment="1">
      <alignment wrapText="1"/>
    </xf>
    <xf numFmtId="0" fontId="16" fillId="12" borderId="0" xfId="0" applyFont="1" applyFill="1" applyAlignment="1">
      <alignment horizontal="left"/>
    </xf>
    <xf numFmtId="0" fontId="27" fillId="15" borderId="0" xfId="0" applyFont="1" applyFill="1" applyAlignment="1" applyProtection="1">
      <alignment horizontal="center"/>
      <protection locked="0"/>
    </xf>
    <xf numFmtId="2" fontId="27" fillId="15" borderId="0" xfId="0" applyNumberFormat="1" applyFont="1" applyFill="1" applyAlignment="1" applyProtection="1">
      <alignment horizontal="center"/>
    </xf>
    <xf numFmtId="0" fontId="16" fillId="12" borderId="1" xfId="0" applyFont="1" applyFill="1" applyBorder="1" applyAlignment="1" applyProtection="1">
      <alignment horizontal="center" vertical="center"/>
    </xf>
    <xf numFmtId="0" fontId="1" fillId="2" borderId="1" xfId="0" applyFont="1" applyFill="1" applyBorder="1" applyAlignment="1" applyProtection="1">
      <alignment horizontal="center" vertical="center"/>
    </xf>
    <xf numFmtId="0" fontId="2" fillId="3" borderId="1" xfId="0" applyFont="1" applyFill="1" applyBorder="1" applyAlignment="1" applyProtection="1">
      <alignment horizontal="center" vertical="center"/>
    </xf>
    <xf numFmtId="0" fontId="0" fillId="0" borderId="0" xfId="0" applyProtection="1"/>
    <xf numFmtId="0" fontId="11" fillId="0" borderId="2" xfId="0" applyFont="1" applyBorder="1" applyProtection="1"/>
    <xf numFmtId="0" fontId="10" fillId="10" borderId="2" xfId="0" applyFont="1" applyFill="1" applyBorder="1" applyProtection="1"/>
    <xf numFmtId="0" fontId="6" fillId="7" borderId="2" xfId="0" applyFont="1" applyFill="1" applyBorder="1" applyAlignment="1" applyProtection="1">
      <alignment horizontal="center"/>
    </xf>
    <xf numFmtId="1" fontId="7" fillId="6" borderId="2" xfId="0" applyNumberFormat="1" applyFont="1" applyFill="1" applyBorder="1" applyAlignment="1" applyProtection="1">
      <alignment horizontal="center"/>
    </xf>
    <xf numFmtId="0" fontId="3" fillId="0" borderId="2" xfId="0" applyFont="1" applyBorder="1" applyProtection="1"/>
    <xf numFmtId="2" fontId="7" fillId="6" borderId="2" xfId="0" applyNumberFormat="1" applyFont="1" applyFill="1" applyBorder="1" applyAlignment="1" applyProtection="1">
      <alignment horizontal="center"/>
    </xf>
    <xf numFmtId="0" fontId="10" fillId="9" borderId="2" xfId="0" applyFont="1" applyFill="1" applyBorder="1" applyProtection="1"/>
    <xf numFmtId="2" fontId="9" fillId="9" borderId="2" xfId="0" applyNumberFormat="1" applyFont="1" applyFill="1" applyBorder="1" applyAlignment="1" applyProtection="1">
      <alignment horizontal="center"/>
    </xf>
    <xf numFmtId="0" fontId="13" fillId="5" borderId="2" xfId="0" applyFont="1" applyFill="1" applyBorder="1" applyProtection="1"/>
    <xf numFmtId="2" fontId="13" fillId="5" borderId="2" xfId="0" applyNumberFormat="1" applyFont="1" applyFill="1" applyBorder="1" applyAlignment="1" applyProtection="1">
      <alignment horizontal="center"/>
    </xf>
    <xf numFmtId="0" fontId="5" fillId="5" borderId="2" xfId="0" applyFont="1" applyFill="1" applyBorder="1" applyProtection="1"/>
    <xf numFmtId="0" fontId="10" fillId="6" borderId="2" xfId="0" applyFont="1" applyFill="1" applyBorder="1" applyProtection="1"/>
    <xf numFmtId="0" fontId="17" fillId="13" borderId="2" xfId="0" applyFont="1" applyFill="1" applyBorder="1" applyAlignment="1" applyProtection="1">
      <alignment horizontal="center"/>
    </xf>
    <xf numFmtId="0" fontId="0" fillId="13" borderId="2" xfId="0" applyFill="1" applyBorder="1" applyProtection="1"/>
    <xf numFmtId="0" fontId="0" fillId="13" borderId="1" xfId="0" applyFill="1" applyBorder="1" applyProtection="1"/>
    <xf numFmtId="0" fontId="0" fillId="13" borderId="17" xfId="0" applyFill="1" applyBorder="1" applyProtection="1"/>
    <xf numFmtId="0" fontId="41" fillId="14" borderId="2" xfId="0" applyFont="1" applyFill="1" applyBorder="1" applyProtection="1"/>
    <xf numFmtId="0" fontId="34" fillId="19" borderId="2" xfId="0" applyFont="1" applyFill="1" applyBorder="1" applyAlignment="1" applyProtection="1">
      <alignment horizontal="center"/>
    </xf>
    <xf numFmtId="0" fontId="29" fillId="17" borderId="1" xfId="0" applyFont="1" applyFill="1" applyBorder="1" applyProtection="1"/>
    <xf numFmtId="0" fontId="21" fillId="17" borderId="17" xfId="0" applyFont="1" applyFill="1" applyBorder="1" applyProtection="1"/>
    <xf numFmtId="0" fontId="21" fillId="17" borderId="1" xfId="0" applyFont="1" applyFill="1" applyBorder="1" applyProtection="1"/>
    <xf numFmtId="0" fontId="0" fillId="17" borderId="2" xfId="0" applyFill="1" applyBorder="1" applyProtection="1"/>
    <xf numFmtId="0" fontId="0" fillId="17" borderId="1" xfId="0" applyFill="1" applyBorder="1" applyProtection="1"/>
    <xf numFmtId="0" fontId="0" fillId="17" borderId="17" xfId="0" applyFill="1" applyBorder="1" applyProtection="1"/>
    <xf numFmtId="0" fontId="20" fillId="15" borderId="2" xfId="0" applyFont="1" applyFill="1" applyBorder="1" applyAlignment="1" applyProtection="1">
      <alignment horizontal="center"/>
    </xf>
    <xf numFmtId="0" fontId="41" fillId="15" borderId="2" xfId="0" applyFont="1" applyFill="1" applyBorder="1" applyProtection="1"/>
    <xf numFmtId="0" fontId="29" fillId="15" borderId="1" xfId="0" applyFont="1" applyFill="1" applyBorder="1" applyProtection="1"/>
    <xf numFmtId="0" fontId="41" fillId="15" borderId="2" xfId="0" applyFont="1" applyFill="1" applyBorder="1" applyAlignment="1" applyProtection="1">
      <alignment horizontal="center" vertical="center"/>
    </xf>
    <xf numFmtId="0" fontId="20" fillId="15" borderId="0" xfId="0" applyFont="1" applyFill="1" applyAlignment="1" applyProtection="1">
      <alignment horizontal="center"/>
    </xf>
    <xf numFmtId="0" fontId="41" fillId="15" borderId="1" xfId="0" applyFont="1" applyFill="1" applyBorder="1" applyAlignment="1" applyProtection="1">
      <alignment horizontal="center" vertical="center"/>
    </xf>
    <xf numFmtId="0" fontId="55" fillId="17" borderId="1" xfId="0" applyFont="1" applyFill="1" applyBorder="1" applyAlignment="1" applyProtection="1">
      <alignment horizontal="center" vertical="center"/>
    </xf>
    <xf numFmtId="0" fontId="41" fillId="16" borderId="2" xfId="0" applyFont="1" applyFill="1" applyBorder="1" applyAlignment="1" applyProtection="1">
      <alignment vertical="top" wrapText="1"/>
    </xf>
    <xf numFmtId="0" fontId="31" fillId="16" borderId="0" xfId="0" applyFont="1" applyFill="1" applyAlignment="1" applyProtection="1">
      <alignment horizontal="center"/>
    </xf>
    <xf numFmtId="0" fontId="25" fillId="16" borderId="1" xfId="0" applyFont="1" applyFill="1" applyBorder="1" applyAlignment="1" applyProtection="1">
      <alignment vertical="top" wrapText="1"/>
    </xf>
    <xf numFmtId="0" fontId="55" fillId="17" borderId="1" xfId="0" applyFont="1" applyFill="1" applyBorder="1" applyAlignment="1" applyProtection="1">
      <alignment vertical="top" wrapText="1"/>
    </xf>
    <xf numFmtId="0" fontId="41" fillId="16" borderId="2" xfId="0" applyFont="1" applyFill="1" applyBorder="1" applyProtection="1"/>
    <xf numFmtId="0" fontId="31" fillId="16" borderId="2" xfId="0" applyFont="1" applyFill="1" applyBorder="1" applyAlignment="1" applyProtection="1">
      <alignment horizontal="center"/>
    </xf>
    <xf numFmtId="0" fontId="56" fillId="16" borderId="1" xfId="0" applyFont="1" applyFill="1" applyBorder="1" applyProtection="1"/>
    <xf numFmtId="0" fontId="21" fillId="17" borderId="8" xfId="0" applyFont="1" applyFill="1" applyBorder="1" applyProtection="1"/>
    <xf numFmtId="0" fontId="41" fillId="17" borderId="8" xfId="0" applyFont="1" applyFill="1" applyBorder="1" applyProtection="1"/>
    <xf numFmtId="0" fontId="31" fillId="17" borderId="8" xfId="0" applyFont="1" applyFill="1" applyBorder="1" applyAlignment="1" applyProtection="1">
      <alignment horizontal="center"/>
    </xf>
    <xf numFmtId="0" fontId="56" fillId="17" borderId="8" xfId="0" applyFont="1" applyFill="1" applyBorder="1" applyProtection="1"/>
    <xf numFmtId="0" fontId="2" fillId="3" borderId="8" xfId="0" applyFont="1" applyFill="1" applyBorder="1" applyAlignment="1" applyProtection="1">
      <alignment horizontal="center" vertical="center"/>
    </xf>
    <xf numFmtId="0" fontId="2" fillId="3" borderId="2" xfId="0" applyFont="1" applyFill="1" applyBorder="1" applyAlignment="1" applyProtection="1">
      <alignment horizontal="center" vertical="center" wrapText="1"/>
    </xf>
    <xf numFmtId="0" fontId="3" fillId="0" borderId="2" xfId="0" applyFont="1" applyBorder="1" applyAlignment="1" applyProtection="1">
      <alignment horizontal="center"/>
    </xf>
    <xf numFmtId="0" fontId="3" fillId="0" borderId="1" xfId="0" applyFont="1" applyBorder="1" applyAlignment="1" applyProtection="1">
      <alignment vertical="top" wrapText="1"/>
    </xf>
    <xf numFmtId="0" fontId="4" fillId="4" borderId="1" xfId="0" applyFont="1" applyFill="1" applyBorder="1" applyAlignment="1" applyProtection="1">
      <alignment horizontal="center" vertical="center"/>
    </xf>
    <xf numFmtId="0" fontId="5" fillId="5" borderId="2" xfId="0" applyFont="1" applyFill="1" applyBorder="1" applyAlignment="1" applyProtection="1">
      <alignment horizontal="center"/>
    </xf>
    <xf numFmtId="0" fontId="3" fillId="5" borderId="2" xfId="0" applyFont="1" applyFill="1" applyBorder="1" applyAlignment="1" applyProtection="1">
      <alignment vertical="top" wrapText="1"/>
    </xf>
    <xf numFmtId="0" fontId="5" fillId="6" borderId="2" xfId="0" applyFont="1" applyFill="1" applyBorder="1" applyAlignment="1" applyProtection="1">
      <alignment horizontal="center"/>
    </xf>
    <xf numFmtId="0" fontId="29" fillId="16" borderId="2" xfId="0" applyFont="1" applyFill="1" applyBorder="1" applyAlignment="1" applyProtection="1">
      <alignment vertical="top" wrapText="1"/>
    </xf>
    <xf numFmtId="0" fontId="3" fillId="6" borderId="2" xfId="0" applyFont="1" applyFill="1" applyBorder="1" applyAlignment="1" applyProtection="1">
      <alignment vertical="top" wrapText="1"/>
    </xf>
    <xf numFmtId="0" fontId="6" fillId="7" borderId="2" xfId="0" applyFont="1" applyFill="1" applyBorder="1" applyProtection="1"/>
    <xf numFmtId="0" fontId="3" fillId="0" borderId="2" xfId="0" applyFont="1" applyBorder="1" applyAlignment="1" applyProtection="1">
      <alignment vertical="top" wrapText="1"/>
    </xf>
    <xf numFmtId="0" fontId="7" fillId="6" borderId="2" xfId="0" applyFont="1" applyFill="1" applyBorder="1" applyProtection="1"/>
    <xf numFmtId="0" fontId="7" fillId="6" borderId="2" xfId="0" applyFont="1" applyFill="1" applyBorder="1" applyAlignment="1" applyProtection="1">
      <alignment horizontal="center"/>
    </xf>
    <xf numFmtId="0" fontId="8" fillId="8" borderId="2" xfId="0" applyFont="1" applyFill="1" applyBorder="1" applyProtection="1"/>
    <xf numFmtId="0" fontId="8" fillId="8" borderId="2" xfId="0" applyFont="1" applyFill="1" applyBorder="1" applyAlignment="1" applyProtection="1">
      <alignment horizontal="center"/>
    </xf>
    <xf numFmtId="0" fontId="9" fillId="9" borderId="2" xfId="0" applyFont="1" applyFill="1" applyBorder="1" applyProtection="1"/>
    <xf numFmtId="0" fontId="9" fillId="9" borderId="2" xfId="0" applyFont="1" applyFill="1" applyBorder="1" applyAlignment="1" applyProtection="1">
      <alignment horizontal="center"/>
    </xf>
    <xf numFmtId="0" fontId="10" fillId="10" borderId="2" xfId="0" applyFont="1" applyFill="1" applyBorder="1" applyAlignment="1" applyProtection="1">
      <alignment horizontal="center"/>
    </xf>
    <xf numFmtId="0" fontId="41" fillId="15" borderId="2" xfId="0" applyFont="1" applyFill="1" applyBorder="1" applyAlignment="1" applyProtection="1">
      <alignment vertical="top" wrapText="1"/>
    </xf>
    <xf numFmtId="0" fontId="21" fillId="0" borderId="2" xfId="0" applyFont="1" applyBorder="1" applyAlignment="1" applyProtection="1">
      <alignment vertical="top" wrapText="1"/>
    </xf>
    <xf numFmtId="0" fontId="21" fillId="17" borderId="2" xfId="0" applyFont="1" applyFill="1" applyBorder="1" applyAlignment="1" applyProtection="1">
      <alignment vertical="top" wrapText="1"/>
    </xf>
    <xf numFmtId="0" fontId="41" fillId="15" borderId="11" xfId="0" applyFont="1" applyFill="1" applyBorder="1" applyAlignment="1" applyProtection="1">
      <alignment vertical="top" wrapText="1"/>
    </xf>
    <xf numFmtId="0" fontId="21" fillId="0" borderId="11" xfId="0" applyFont="1" applyBorder="1" applyAlignment="1" applyProtection="1">
      <alignment vertical="top" wrapText="1"/>
    </xf>
    <xf numFmtId="0" fontId="3" fillId="0" borderId="0" xfId="0" applyFont="1" applyProtection="1"/>
    <xf numFmtId="0" fontId="21" fillId="17" borderId="11" xfId="0" applyFont="1" applyFill="1" applyBorder="1" applyAlignment="1" applyProtection="1">
      <alignment vertical="top" wrapText="1"/>
    </xf>
    <xf numFmtId="0" fontId="29" fillId="17" borderId="0" xfId="0" applyFont="1" applyFill="1" applyProtection="1"/>
    <xf numFmtId="0" fontId="29" fillId="17" borderId="1" xfId="0" applyFont="1" applyFill="1" applyBorder="1" applyAlignment="1" applyProtection="1">
      <alignment horizontal="center" vertical="center"/>
    </xf>
    <xf numFmtId="0" fontId="41" fillId="15" borderId="8" xfId="0" applyFont="1" applyFill="1" applyBorder="1" applyAlignment="1" applyProtection="1">
      <alignment horizontal="left" vertical="center"/>
    </xf>
    <xf numFmtId="0" fontId="21" fillId="17" borderId="8" xfId="0" applyFont="1" applyFill="1" applyBorder="1" applyAlignment="1" applyProtection="1">
      <alignment horizontal="left" vertical="center"/>
    </xf>
    <xf numFmtId="0" fontId="17" fillId="13" borderId="1" xfId="0" applyFont="1" applyFill="1" applyBorder="1" applyAlignment="1" applyProtection="1">
      <alignment horizontal="center" vertical="center"/>
    </xf>
    <xf numFmtId="0" fontId="17" fillId="13" borderId="4" xfId="0" applyFont="1" applyFill="1" applyBorder="1" applyAlignment="1" applyProtection="1">
      <alignment horizontal="center" vertical="center"/>
    </xf>
    <xf numFmtId="0" fontId="10" fillId="6" borderId="2" xfId="0" applyFont="1" applyFill="1" applyBorder="1" applyAlignment="1" applyProtection="1">
      <alignment vertical="top" wrapText="1"/>
    </xf>
    <xf numFmtId="0" fontId="11" fillId="0" borderId="2" xfId="0" applyFont="1" applyBorder="1" applyAlignment="1" applyProtection="1">
      <alignment vertical="top" wrapText="1"/>
    </xf>
    <xf numFmtId="0" fontId="11" fillId="0" borderId="1" xfId="0" applyFont="1" applyBorder="1" applyAlignment="1" applyProtection="1">
      <alignment vertical="top" wrapText="1"/>
    </xf>
    <xf numFmtId="0" fontId="16" fillId="12" borderId="0" xfId="0" applyFont="1" applyFill="1" applyAlignment="1" applyProtection="1">
      <alignment horizontal="center"/>
    </xf>
    <xf numFmtId="0" fontId="0" fillId="12" borderId="0" xfId="0" applyFill="1" applyProtection="1"/>
    <xf numFmtId="0" fontId="17" fillId="13" borderId="0" xfId="0" applyFont="1" applyFill="1" applyAlignment="1" applyProtection="1">
      <alignment horizontal="center"/>
    </xf>
    <xf numFmtId="0" fontId="0" fillId="13" borderId="0" xfId="0" applyFill="1" applyProtection="1"/>
    <xf numFmtId="0" fontId="31" fillId="16" borderId="2" xfId="0" applyFont="1" applyFill="1" applyBorder="1" applyProtection="1"/>
    <xf numFmtId="2" fontId="32" fillId="16" borderId="2" xfId="0" applyNumberFormat="1" applyFont="1" applyFill="1" applyBorder="1" applyAlignment="1" applyProtection="1">
      <alignment horizontal="center"/>
    </xf>
    <xf numFmtId="164" fontId="31" fillId="16" borderId="0" xfId="0" applyNumberFormat="1" applyFont="1" applyFill="1" applyAlignment="1" applyProtection="1">
      <alignment horizontal="center"/>
    </xf>
    <xf numFmtId="0" fontId="0" fillId="16" borderId="0" xfId="0" applyFill="1" applyProtection="1"/>
    <xf numFmtId="0" fontId="41" fillId="14" borderId="0" xfId="0" applyFont="1" applyFill="1" applyProtection="1"/>
    <xf numFmtId="0" fontId="25" fillId="16" borderId="0" xfId="0" applyFont="1" applyFill="1" applyAlignment="1" applyProtection="1">
      <alignment horizontal="center"/>
    </xf>
    <xf numFmtId="0" fontId="21" fillId="0" borderId="0" xfId="0" applyFont="1" applyProtection="1"/>
    <xf numFmtId="0" fontId="27" fillId="26" borderId="0" xfId="0" applyFont="1" applyFill="1" applyProtection="1"/>
    <xf numFmtId="0" fontId="0" fillId="26" borderId="0" xfId="0" applyFill="1" applyProtection="1"/>
    <xf numFmtId="0" fontId="76" fillId="26" borderId="0" xfId="0" applyFont="1" applyFill="1" applyProtection="1"/>
    <xf numFmtId="0" fontId="22" fillId="16" borderId="0" xfId="0" applyFont="1" applyFill="1" applyAlignment="1" applyProtection="1">
      <alignment horizontal="center"/>
    </xf>
    <xf numFmtId="0" fontId="29" fillId="0" borderId="0" xfId="0" applyFont="1" applyProtection="1"/>
    <xf numFmtId="0" fontId="41" fillId="15" borderId="0" xfId="0" applyFont="1" applyFill="1" applyProtection="1"/>
    <xf numFmtId="2" fontId="20" fillId="15" borderId="0" xfId="0" applyNumberFormat="1" applyFont="1" applyFill="1" applyAlignment="1" applyProtection="1">
      <alignment horizontal="center"/>
    </xf>
    <xf numFmtId="0" fontId="29" fillId="15" borderId="0" xfId="0" applyFont="1" applyFill="1" applyProtection="1"/>
    <xf numFmtId="0" fontId="41" fillId="20" borderId="0" xfId="0" applyFont="1" applyFill="1" applyProtection="1"/>
    <xf numFmtId="2" fontId="35" fillId="20" borderId="0" xfId="0" applyNumberFormat="1" applyFont="1" applyFill="1" applyAlignment="1" applyProtection="1">
      <alignment horizontal="center"/>
    </xf>
    <xf numFmtId="0" fontId="29" fillId="20" borderId="0" xfId="0" applyFont="1" applyFill="1" applyProtection="1"/>
    <xf numFmtId="0" fontId="17" fillId="28" borderId="0" xfId="0" applyFont="1" applyFill="1" applyProtection="1"/>
    <xf numFmtId="0" fontId="0" fillId="28" borderId="0" xfId="0" applyFill="1" applyProtection="1"/>
    <xf numFmtId="0" fontId="20" fillId="15" borderId="0" xfId="0" applyFont="1" applyFill="1" applyProtection="1"/>
    <xf numFmtId="2" fontId="36" fillId="15" borderId="0" xfId="0" applyNumberFormat="1" applyFont="1" applyFill="1" applyAlignment="1" applyProtection="1">
      <alignment horizontal="center"/>
    </xf>
    <xf numFmtId="0" fontId="54" fillId="17" borderId="0" xfId="0" applyFont="1" applyFill="1" applyProtection="1"/>
    <xf numFmtId="2" fontId="0" fillId="28" borderId="0" xfId="0" applyNumberFormat="1" applyFill="1" applyProtection="1"/>
    <xf numFmtId="0" fontId="41" fillId="26" borderId="0" xfId="0" applyFont="1" applyFill="1" applyProtection="1"/>
    <xf numFmtId="0" fontId="41" fillId="26" borderId="0" xfId="0" applyFont="1" applyFill="1" applyAlignment="1" applyProtection="1">
      <alignment horizontal="center"/>
    </xf>
    <xf numFmtId="0" fontId="17" fillId="13" borderId="18" xfId="0" applyFont="1" applyFill="1" applyBorder="1" applyAlignment="1" applyProtection="1">
      <alignment horizontal="center"/>
    </xf>
    <xf numFmtId="0" fontId="41" fillId="13" borderId="18" xfId="0" applyFont="1" applyFill="1" applyBorder="1" applyProtection="1"/>
    <xf numFmtId="0" fontId="21" fillId="13" borderId="0" xfId="0" applyFont="1" applyFill="1" applyProtection="1"/>
    <xf numFmtId="0" fontId="19" fillId="14" borderId="18" xfId="0" applyFont="1" applyFill="1" applyBorder="1" applyProtection="1"/>
    <xf numFmtId="0" fontId="0" fillId="0" borderId="18" xfId="0" applyBorder="1" applyProtection="1"/>
    <xf numFmtId="0" fontId="27" fillId="15" borderId="11" xfId="0" applyFont="1" applyFill="1" applyBorder="1" applyProtection="1"/>
    <xf numFmtId="0" fontId="0" fillId="15" borderId="11" xfId="0" applyFill="1" applyBorder="1" applyProtection="1"/>
    <xf numFmtId="0" fontId="0" fillId="15" borderId="0" xfId="0" applyFill="1" applyProtection="1"/>
    <xf numFmtId="0" fontId="19" fillId="14" borderId="2" xfId="0" applyFont="1" applyFill="1" applyBorder="1" applyProtection="1"/>
    <xf numFmtId="0" fontId="18" fillId="0" borderId="2" xfId="0" applyFont="1" applyBorder="1" applyProtection="1"/>
    <xf numFmtId="0" fontId="27" fillId="15" borderId="2" xfId="0" applyFont="1" applyFill="1" applyBorder="1" applyProtection="1"/>
    <xf numFmtId="0" fontId="0" fillId="15" borderId="2" xfId="0" applyFill="1" applyBorder="1" applyProtection="1"/>
    <xf numFmtId="0" fontId="21" fillId="0" borderId="2" xfId="0" applyFont="1" applyBorder="1" applyProtection="1"/>
    <xf numFmtId="0" fontId="19" fillId="15" borderId="2" xfId="0" applyFont="1" applyFill="1" applyBorder="1" applyProtection="1"/>
    <xf numFmtId="2" fontId="20" fillId="15" borderId="2" xfId="0" applyNumberFormat="1" applyFont="1" applyFill="1" applyBorder="1" applyAlignment="1" applyProtection="1">
      <alignment horizontal="center"/>
    </xf>
    <xf numFmtId="0" fontId="18" fillId="15" borderId="2" xfId="0" applyFont="1" applyFill="1" applyBorder="1" applyProtection="1"/>
    <xf numFmtId="0" fontId="35" fillId="0" borderId="0" xfId="0" applyFont="1" applyProtection="1"/>
    <xf numFmtId="0" fontId="20" fillId="15" borderId="11" xfId="0" applyFont="1" applyFill="1" applyBorder="1" applyProtection="1"/>
    <xf numFmtId="2" fontId="36" fillId="15" borderId="11" xfId="0" applyNumberFormat="1" applyFont="1" applyFill="1" applyBorder="1" applyAlignment="1" applyProtection="1">
      <alignment horizontal="center"/>
    </xf>
    <xf numFmtId="0" fontId="19" fillId="15" borderId="11" xfId="0" applyFont="1" applyFill="1" applyBorder="1" applyProtection="1"/>
    <xf numFmtId="0" fontId="27" fillId="15" borderId="9" xfId="0" applyFont="1" applyFill="1" applyBorder="1" applyProtection="1"/>
    <xf numFmtId="2" fontId="58" fillId="15" borderId="2" xfId="0" applyNumberFormat="1" applyFont="1" applyFill="1" applyBorder="1" applyAlignment="1" applyProtection="1">
      <alignment horizontal="center"/>
    </xf>
    <xf numFmtId="0" fontId="58" fillId="15" borderId="1" xfId="0" applyFont="1" applyFill="1" applyBorder="1" applyProtection="1"/>
    <xf numFmtId="0" fontId="54" fillId="15" borderId="17" xfId="0" applyFont="1" applyFill="1" applyBorder="1" applyProtection="1"/>
    <xf numFmtId="0" fontId="59" fillId="15" borderId="0" xfId="0" applyFont="1" applyFill="1" applyProtection="1"/>
    <xf numFmtId="0" fontId="41" fillId="14" borderId="9" xfId="0" applyFont="1" applyFill="1" applyBorder="1" applyProtection="1"/>
    <xf numFmtId="0" fontId="54" fillId="17" borderId="17" xfId="0" applyFont="1" applyFill="1" applyBorder="1" applyProtection="1"/>
    <xf numFmtId="0" fontId="21" fillId="17" borderId="0" xfId="0" applyFont="1" applyFill="1" applyProtection="1"/>
    <xf numFmtId="0" fontId="41" fillId="15" borderId="9" xfId="0" applyFont="1" applyFill="1" applyBorder="1" applyProtection="1"/>
    <xf numFmtId="0" fontId="19" fillId="14" borderId="11" xfId="0" applyFont="1" applyFill="1" applyBorder="1" applyProtection="1"/>
    <xf numFmtId="0" fontId="0" fillId="0" borderId="11" xfId="0" applyBorder="1" applyProtection="1"/>
    <xf numFmtId="0" fontId="58" fillId="17" borderId="0" xfId="0" applyFont="1" applyFill="1" applyProtection="1"/>
    <xf numFmtId="2" fontId="58" fillId="17" borderId="0" xfId="0" applyNumberFormat="1" applyFont="1" applyFill="1" applyAlignment="1" applyProtection="1">
      <alignment horizontal="center"/>
    </xf>
    <xf numFmtId="0" fontId="59" fillId="17" borderId="0" xfId="0" applyFont="1" applyFill="1" applyProtection="1"/>
    <xf numFmtId="0" fontId="54" fillId="15" borderId="0" xfId="0" applyFont="1" applyFill="1" applyProtection="1"/>
    <xf numFmtId="0" fontId="20" fillId="15" borderId="2" xfId="0" applyFont="1" applyFill="1" applyBorder="1" applyProtection="1"/>
    <xf numFmtId="0" fontId="41" fillId="14" borderId="0" xfId="0" applyFont="1" applyFill="1" applyAlignment="1" applyProtection="1">
      <alignment horizontal="center"/>
    </xf>
    <xf numFmtId="0" fontId="33" fillId="19" borderId="0" xfId="0" applyFont="1" applyFill="1" applyAlignment="1" applyProtection="1">
      <alignment horizontal="center"/>
    </xf>
    <xf numFmtId="2" fontId="31" fillId="16" borderId="2" xfId="0" applyNumberFormat="1" applyFont="1" applyFill="1" applyBorder="1" applyAlignment="1" applyProtection="1">
      <alignment horizontal="center"/>
    </xf>
    <xf numFmtId="0" fontId="19" fillId="16" borderId="2" xfId="0" applyFont="1" applyFill="1" applyBorder="1" applyProtection="1"/>
    <xf numFmtId="0" fontId="41" fillId="14" borderId="18" xfId="0" applyFont="1" applyFill="1" applyBorder="1" applyProtection="1"/>
    <xf numFmtId="2" fontId="60" fillId="20" borderId="0" xfId="0" applyNumberFormat="1" applyFont="1" applyFill="1" applyAlignment="1" applyProtection="1">
      <alignment horizontal="center"/>
    </xf>
    <xf numFmtId="0" fontId="29" fillId="0" borderId="18" xfId="0" applyFont="1" applyBorder="1" applyProtection="1"/>
    <xf numFmtId="0" fontId="35" fillId="20" borderId="2" xfId="0" applyFont="1" applyFill="1" applyBorder="1" applyProtection="1"/>
    <xf numFmtId="2" fontId="37" fillId="20" borderId="2" xfId="0" applyNumberFormat="1" applyFont="1" applyFill="1" applyBorder="1" applyAlignment="1" applyProtection="1">
      <alignment horizontal="center"/>
    </xf>
    <xf numFmtId="0" fontId="19" fillId="20" borderId="2" xfId="0" applyFont="1" applyFill="1" applyBorder="1" applyProtection="1"/>
    <xf numFmtId="1" fontId="20" fillId="15" borderId="2" xfId="0" applyNumberFormat="1" applyFont="1" applyFill="1" applyBorder="1" applyAlignment="1" applyProtection="1">
      <alignment horizontal="center"/>
    </xf>
    <xf numFmtId="0" fontId="32" fillId="16" borderId="2" xfId="0" applyFont="1" applyFill="1" applyBorder="1" applyProtection="1"/>
    <xf numFmtId="0" fontId="31" fillId="16" borderId="0" xfId="0" applyFont="1" applyFill="1" applyProtection="1"/>
    <xf numFmtId="165" fontId="20" fillId="15" borderId="2" xfId="0" applyNumberFormat="1" applyFont="1" applyFill="1" applyBorder="1" applyAlignment="1" applyProtection="1">
      <alignment horizontal="center"/>
    </xf>
    <xf numFmtId="0" fontId="0" fillId="0" borderId="2" xfId="0" applyBorder="1" applyProtection="1"/>
    <xf numFmtId="0" fontId="16" fillId="12" borderId="9" xfId="0" applyFont="1" applyFill="1" applyBorder="1" applyAlignment="1" applyProtection="1">
      <alignment horizontal="center"/>
    </xf>
    <xf numFmtId="0" fontId="0" fillId="12" borderId="2" xfId="0" applyFill="1" applyBorder="1" applyProtection="1"/>
    <xf numFmtId="0" fontId="0" fillId="12" borderId="1" xfId="0" applyFill="1" applyBorder="1" applyProtection="1"/>
    <xf numFmtId="0" fontId="31" fillId="16" borderId="9" xfId="0" applyFont="1" applyFill="1" applyBorder="1" applyProtection="1"/>
    <xf numFmtId="0" fontId="41" fillId="16" borderId="1" xfId="0" applyFont="1" applyFill="1" applyBorder="1" applyProtection="1"/>
    <xf numFmtId="0" fontId="30" fillId="13" borderId="0" xfId="0" applyFont="1" applyFill="1" applyAlignment="1" applyProtection="1">
      <alignment horizontal="center"/>
    </xf>
    <xf numFmtId="1" fontId="20" fillId="15" borderId="1" xfId="0" applyNumberFormat="1" applyFont="1" applyFill="1" applyBorder="1" applyAlignment="1" applyProtection="1">
      <alignment horizontal="center"/>
    </xf>
    <xf numFmtId="0" fontId="21" fillId="17" borderId="4" xfId="0" applyFont="1" applyFill="1" applyBorder="1" applyProtection="1"/>
    <xf numFmtId="0" fontId="41" fillId="14" borderId="0" xfId="0" applyFont="1" applyFill="1" applyBorder="1" applyProtection="1"/>
    <xf numFmtId="1" fontId="20" fillId="15" borderId="0" xfId="0" applyNumberFormat="1" applyFont="1" applyFill="1" applyBorder="1" applyAlignment="1" applyProtection="1">
      <alignment horizontal="center"/>
    </xf>
    <xf numFmtId="0" fontId="21" fillId="17" borderId="0" xfId="0" applyFont="1" applyFill="1" applyBorder="1" applyProtection="1"/>
    <xf numFmtId="0" fontId="35" fillId="20" borderId="9" xfId="0" applyFont="1" applyFill="1" applyBorder="1" applyProtection="1"/>
    <xf numFmtId="0" fontId="37" fillId="20" borderId="2" xfId="0" applyFont="1" applyFill="1" applyBorder="1" applyAlignment="1" applyProtection="1">
      <alignment horizontal="center"/>
    </xf>
    <xf numFmtId="0" fontId="41" fillId="20" borderId="1" xfId="0" applyFont="1" applyFill="1" applyBorder="1" applyProtection="1"/>
    <xf numFmtId="0" fontId="0" fillId="0" borderId="17" xfId="0" applyBorder="1" applyProtection="1"/>
    <xf numFmtId="0" fontId="35" fillId="20" borderId="10" xfId="0" applyFont="1" applyFill="1" applyBorder="1" applyProtection="1"/>
    <xf numFmtId="0" fontId="37" fillId="20" borderId="11" xfId="0" applyFont="1" applyFill="1" applyBorder="1" applyAlignment="1" applyProtection="1">
      <alignment horizontal="center"/>
    </xf>
    <xf numFmtId="0" fontId="41" fillId="20" borderId="12" xfId="0" applyFont="1" applyFill="1" applyBorder="1" applyProtection="1"/>
    <xf numFmtId="0" fontId="35" fillId="20" borderId="4" xfId="0" applyFont="1" applyFill="1" applyBorder="1" applyProtection="1"/>
    <xf numFmtId="1" fontId="37" fillId="20" borderId="4" xfId="0" applyNumberFormat="1" applyFont="1" applyFill="1" applyBorder="1" applyAlignment="1" applyProtection="1">
      <alignment horizontal="center"/>
    </xf>
    <xf numFmtId="0" fontId="41" fillId="20" borderId="4" xfId="0" applyFont="1" applyFill="1" applyBorder="1" applyProtection="1"/>
    <xf numFmtId="0" fontId="32" fillId="16" borderId="9" xfId="0" applyFont="1" applyFill="1" applyBorder="1" applyProtection="1"/>
    <xf numFmtId="0" fontId="32" fillId="16" borderId="2" xfId="0" applyFont="1" applyFill="1" applyBorder="1" applyAlignment="1" applyProtection="1">
      <alignment horizontal="center"/>
    </xf>
    <xf numFmtId="0" fontId="25" fillId="16" borderId="1" xfId="0" applyFont="1" applyFill="1" applyBorder="1" applyProtection="1"/>
    <xf numFmtId="0" fontId="17" fillId="18" borderId="9" xfId="0" applyFont="1" applyFill="1" applyBorder="1" applyAlignment="1" applyProtection="1">
      <alignment horizontal="center"/>
    </xf>
    <xf numFmtId="0" fontId="0" fillId="18" borderId="2" xfId="0" applyFill="1" applyBorder="1" applyProtection="1"/>
    <xf numFmtId="0" fontId="0" fillId="18" borderId="1" xfId="0" applyFill="1" applyBorder="1" applyProtection="1"/>
    <xf numFmtId="0" fontId="0" fillId="18" borderId="0" xfId="0" applyFill="1" applyProtection="1"/>
    <xf numFmtId="0" fontId="41" fillId="27" borderId="9" xfId="0" applyFont="1" applyFill="1" applyBorder="1" applyProtection="1"/>
    <xf numFmtId="0" fontId="61" fillId="27" borderId="2" xfId="0" applyFont="1" applyFill="1" applyBorder="1" applyAlignment="1" applyProtection="1">
      <alignment horizontal="center"/>
    </xf>
    <xf numFmtId="0" fontId="29" fillId="27" borderId="1" xfId="0" applyFont="1" applyFill="1" applyBorder="1" applyProtection="1"/>
    <xf numFmtId="0" fontId="41" fillId="26" borderId="9" xfId="0" applyFont="1" applyFill="1" applyBorder="1" applyProtection="1"/>
    <xf numFmtId="0" fontId="41" fillId="26" borderId="2" xfId="0" applyFont="1" applyFill="1" applyBorder="1" applyProtection="1"/>
    <xf numFmtId="0" fontId="0" fillId="0" borderId="1" xfId="0" applyBorder="1" applyProtection="1"/>
    <xf numFmtId="0" fontId="30" fillId="13" borderId="2" xfId="0" applyFont="1" applyFill="1" applyBorder="1" applyAlignment="1" applyProtection="1">
      <alignment horizontal="center"/>
    </xf>
    <xf numFmtId="0" fontId="35" fillId="20" borderId="2" xfId="0" applyFont="1" applyFill="1" applyBorder="1" applyAlignment="1" applyProtection="1">
      <alignment horizontal="center"/>
    </xf>
    <xf numFmtId="0" fontId="41" fillId="15" borderId="2" xfId="0" applyFont="1" applyFill="1" applyBorder="1" applyAlignment="1" applyProtection="1">
      <alignment horizontal="center"/>
    </xf>
    <xf numFmtId="0" fontId="95" fillId="15" borderId="2" xfId="0" applyFont="1" applyFill="1" applyBorder="1" applyAlignment="1" applyProtection="1">
      <alignment horizontal="center"/>
    </xf>
    <xf numFmtId="49" fontId="41" fillId="14" borderId="2" xfId="0" applyNumberFormat="1" applyFont="1" applyFill="1" applyBorder="1" applyProtection="1"/>
    <xf numFmtId="0" fontId="25" fillId="16" borderId="0" xfId="0" applyFont="1" applyFill="1" applyAlignment="1" applyProtection="1">
      <alignment horizontal="center"/>
      <protection locked="0"/>
    </xf>
    <xf numFmtId="0" fontId="22" fillId="16" borderId="0" xfId="0" applyFont="1" applyFill="1" applyAlignment="1" applyProtection="1">
      <alignment horizontal="center"/>
      <protection locked="0"/>
    </xf>
    <xf numFmtId="1" fontId="22" fillId="16" borderId="0" xfId="0" applyNumberFormat="1" applyFont="1" applyFill="1" applyAlignment="1" applyProtection="1">
      <alignment horizontal="center"/>
      <protection locked="0"/>
    </xf>
    <xf numFmtId="9" fontId="22" fillId="16" borderId="0" xfId="0" applyNumberFormat="1" applyFont="1" applyFill="1" applyAlignment="1" applyProtection="1">
      <alignment horizontal="center"/>
      <protection locked="0"/>
    </xf>
    <xf numFmtId="2" fontId="22" fillId="16" borderId="0" xfId="0" applyNumberFormat="1" applyFont="1" applyFill="1" applyAlignment="1" applyProtection="1">
      <alignment horizontal="center"/>
      <protection locked="0"/>
    </xf>
    <xf numFmtId="49" fontId="25" fillId="16" borderId="0" xfId="0" applyNumberFormat="1" applyFont="1" applyFill="1" applyAlignment="1" applyProtection="1">
      <alignment horizontal="center"/>
      <protection locked="0"/>
    </xf>
    <xf numFmtId="0" fontId="0" fillId="15" borderId="2" xfId="0" applyFill="1" applyBorder="1" applyProtection="1">
      <protection locked="0"/>
    </xf>
    <xf numFmtId="2" fontId="20" fillId="15" borderId="2" xfId="0" applyNumberFormat="1" applyFont="1" applyFill="1" applyBorder="1" applyAlignment="1" applyProtection="1">
      <alignment horizontal="center"/>
      <protection locked="0"/>
    </xf>
    <xf numFmtId="2" fontId="36" fillId="15" borderId="2" xfId="0" applyNumberFormat="1" applyFont="1" applyFill="1" applyBorder="1" applyAlignment="1" applyProtection="1">
      <alignment horizontal="center"/>
      <protection locked="0"/>
    </xf>
    <xf numFmtId="0" fontId="38" fillId="28" borderId="0" xfId="0" applyFont="1" applyFill="1" applyProtection="1"/>
    <xf numFmtId="0" fontId="0" fillId="17" borderId="0" xfId="0" applyFill="1" applyProtection="1"/>
    <xf numFmtId="0" fontId="34" fillId="19" borderId="0" xfId="0" applyFont="1" applyFill="1" applyAlignment="1" applyProtection="1">
      <alignment horizontal="center"/>
    </xf>
    <xf numFmtId="1" fontId="34" fillId="19" borderId="0" xfId="0" applyNumberFormat="1" applyFont="1" applyFill="1" applyAlignment="1" applyProtection="1">
      <alignment horizontal="center"/>
    </xf>
    <xf numFmtId="0" fontId="41" fillId="0" borderId="0" xfId="0" applyFont="1" applyProtection="1"/>
    <xf numFmtId="2" fontId="41" fillId="26" borderId="0" xfId="0" applyNumberFormat="1" applyFont="1" applyFill="1" applyAlignment="1" applyProtection="1">
      <alignment horizontal="center"/>
    </xf>
    <xf numFmtId="2" fontId="41" fillId="14" borderId="0" xfId="0" applyNumberFormat="1" applyFont="1" applyFill="1" applyAlignment="1" applyProtection="1">
      <alignment horizontal="left"/>
    </xf>
    <xf numFmtId="0" fontId="41" fillId="26" borderId="0" xfId="0" applyFont="1" applyFill="1" applyAlignment="1" applyProtection="1">
      <alignment horizontal="left"/>
    </xf>
    <xf numFmtId="0" fontId="27" fillId="15" borderId="0" xfId="0" applyFont="1" applyFill="1" applyProtection="1"/>
    <xf numFmtId="1" fontId="27" fillId="15" borderId="0" xfId="0" applyNumberFormat="1" applyFont="1" applyFill="1" applyAlignment="1" applyProtection="1">
      <alignment horizontal="center"/>
    </xf>
    <xf numFmtId="0" fontId="27" fillId="15" borderId="0" xfId="0" applyFont="1" applyFill="1" applyAlignment="1" applyProtection="1">
      <alignment horizontal="center"/>
    </xf>
    <xf numFmtId="0" fontId="74" fillId="15" borderId="0" xfId="0" applyFont="1" applyFill="1" applyAlignment="1" applyProtection="1">
      <alignment horizontal="center"/>
    </xf>
    <xf numFmtId="0" fontId="27" fillId="22" borderId="0" xfId="0" applyFont="1" applyFill="1" applyProtection="1"/>
    <xf numFmtId="0" fontId="60" fillId="20" borderId="0" xfId="0" applyFont="1" applyFill="1" applyAlignment="1" applyProtection="1">
      <alignment horizontal="center"/>
    </xf>
    <xf numFmtId="0" fontId="26" fillId="22" borderId="0" xfId="0" applyFont="1" applyFill="1" applyProtection="1"/>
    <xf numFmtId="0" fontId="26" fillId="15" borderId="0" xfId="0" applyFont="1" applyFill="1" applyAlignment="1" applyProtection="1">
      <alignment horizontal="center"/>
    </xf>
    <xf numFmtId="0" fontId="26" fillId="0" borderId="0" xfId="0" applyFont="1" applyProtection="1"/>
    <xf numFmtId="0" fontId="27" fillId="16" borderId="0" xfId="0" applyFont="1" applyFill="1" applyProtection="1"/>
    <xf numFmtId="3" fontId="26" fillId="15" borderId="0" xfId="0" applyNumberFormat="1" applyFont="1" applyFill="1" applyAlignment="1" applyProtection="1">
      <alignment horizontal="center"/>
    </xf>
    <xf numFmtId="165" fontId="26" fillId="15" borderId="0" xfId="0" applyNumberFormat="1" applyFont="1" applyFill="1" applyAlignment="1" applyProtection="1">
      <alignment horizontal="center"/>
    </xf>
    <xf numFmtId="0" fontId="21" fillId="0" borderId="0" xfId="0" quotePrefix="1" applyFont="1" applyProtection="1"/>
    <xf numFmtId="0" fontId="75" fillId="26" borderId="0" xfId="0" applyFont="1" applyFill="1" applyProtection="1"/>
    <xf numFmtId="0" fontId="23" fillId="26" borderId="0" xfId="0" applyFont="1" applyFill="1" applyAlignment="1" applyProtection="1">
      <alignment horizontal="center"/>
    </xf>
    <xf numFmtId="0" fontId="76" fillId="0" borderId="0" xfId="0" applyFont="1" applyProtection="1"/>
    <xf numFmtId="0" fontId="27" fillId="16" borderId="0" xfId="0" applyFont="1" applyFill="1" applyAlignment="1" applyProtection="1">
      <alignment horizontal="center"/>
    </xf>
    <xf numFmtId="2" fontId="26" fillId="15" borderId="0" xfId="0" applyNumberFormat="1" applyFont="1" applyFill="1" applyAlignment="1" applyProtection="1">
      <alignment horizontal="center"/>
    </xf>
    <xf numFmtId="0" fontId="27" fillId="0" borderId="0" xfId="0" applyFont="1" applyProtection="1"/>
    <xf numFmtId="9" fontId="27" fillId="15" borderId="0" xfId="0" applyNumberFormat="1" applyFont="1" applyFill="1" applyAlignment="1" applyProtection="1">
      <alignment horizontal="center"/>
    </xf>
    <xf numFmtId="3" fontId="27" fillId="15" borderId="0" xfId="0" applyNumberFormat="1" applyFont="1" applyFill="1" applyAlignment="1" applyProtection="1">
      <alignment horizontal="center"/>
    </xf>
    <xf numFmtId="167" fontId="27" fillId="15" borderId="0" xfId="0" applyNumberFormat="1" applyFont="1" applyFill="1" applyAlignment="1" applyProtection="1">
      <alignment horizontal="center"/>
    </xf>
    <xf numFmtId="0" fontId="79" fillId="15" borderId="0" xfId="0" applyFont="1" applyFill="1" applyAlignment="1" applyProtection="1">
      <alignment horizontal="center"/>
    </xf>
    <xf numFmtId="168" fontId="26" fillId="15" borderId="0" xfId="0" applyNumberFormat="1" applyFont="1" applyFill="1" applyAlignment="1" applyProtection="1">
      <alignment horizontal="center"/>
    </xf>
    <xf numFmtId="0" fontId="77" fillId="19" borderId="0" xfId="0" applyFont="1" applyFill="1" applyProtection="1"/>
    <xf numFmtId="0" fontId="27" fillId="0" borderId="0" xfId="0" applyFont="1" applyAlignment="1" applyProtection="1">
      <alignment horizontal="center"/>
    </xf>
    <xf numFmtId="0" fontId="71" fillId="0" borderId="0" xfId="0" applyFont="1" applyAlignment="1" applyProtection="1">
      <alignment horizontal="center"/>
    </xf>
    <xf numFmtId="0" fontId="73" fillId="26" borderId="0" xfId="0" applyFont="1" applyFill="1" applyProtection="1"/>
    <xf numFmtId="0" fontId="41" fillId="0" borderId="0" xfId="0" applyFont="1" applyAlignment="1" applyProtection="1">
      <alignment horizontal="center"/>
    </xf>
    <xf numFmtId="0" fontId="72" fillId="0" borderId="0" xfId="0" applyFont="1" applyProtection="1"/>
    <xf numFmtId="0" fontId="16" fillId="12" borderId="0" xfId="0" applyFont="1" applyFill="1" applyProtection="1"/>
    <xf numFmtId="0" fontId="18" fillId="12" borderId="0" xfId="0" applyFont="1" applyFill="1" applyProtection="1"/>
    <xf numFmtId="0" fontId="18" fillId="0" borderId="0" xfId="0" applyFont="1" applyProtection="1"/>
    <xf numFmtId="0" fontId="80" fillId="0" borderId="0" xfId="0" applyFont="1" applyProtection="1"/>
    <xf numFmtId="0" fontId="38" fillId="28" borderId="13" xfId="0" applyFont="1" applyFill="1" applyBorder="1" applyProtection="1"/>
    <xf numFmtId="0" fontId="18" fillId="28" borderId="13" xfId="0" applyFont="1" applyFill="1" applyBorder="1" applyProtection="1"/>
    <xf numFmtId="0" fontId="18" fillId="0" borderId="13" xfId="0" applyFont="1" applyBorder="1" applyProtection="1"/>
    <xf numFmtId="0" fontId="29" fillId="14" borderId="0" xfId="0" applyFont="1" applyFill="1" applyProtection="1"/>
    <xf numFmtId="0" fontId="71" fillId="14" borderId="0" xfId="0" applyFont="1" applyFill="1" applyProtection="1"/>
    <xf numFmtId="0" fontId="71" fillId="17" borderId="0" xfId="0" applyFont="1" applyFill="1" applyProtection="1"/>
    <xf numFmtId="0" fontId="0" fillId="14" borderId="0" xfId="0" applyFill="1" applyProtection="1"/>
    <xf numFmtId="9" fontId="33" fillId="19" borderId="0" xfId="0" applyNumberFormat="1" applyFont="1" applyFill="1" applyAlignment="1" applyProtection="1">
      <alignment horizontal="center"/>
    </xf>
    <xf numFmtId="0" fontId="41" fillId="17" borderId="21" xfId="0" applyFont="1" applyFill="1" applyBorder="1" applyProtection="1"/>
    <xf numFmtId="0" fontId="0" fillId="17" borderId="21" xfId="0" applyFill="1" applyBorder="1" applyProtection="1"/>
    <xf numFmtId="0" fontId="21" fillId="0" borderId="21" xfId="0" applyFont="1" applyBorder="1" applyProtection="1"/>
    <xf numFmtId="2" fontId="81" fillId="26" borderId="0" xfId="0" applyNumberFormat="1" applyFont="1" applyFill="1" applyAlignment="1" applyProtection="1">
      <alignment horizontal="center"/>
    </xf>
    <xf numFmtId="0" fontId="41" fillId="16" borderId="0" xfId="0" applyFont="1" applyFill="1" applyProtection="1"/>
    <xf numFmtId="2" fontId="25" fillId="16" borderId="0" xfId="0" applyNumberFormat="1" applyFont="1" applyFill="1" applyAlignment="1" applyProtection="1">
      <alignment horizontal="center"/>
    </xf>
    <xf numFmtId="0" fontId="71" fillId="16" borderId="0" xfId="0" applyFont="1" applyFill="1" applyProtection="1"/>
    <xf numFmtId="0" fontId="18" fillId="14" borderId="0" xfId="0" applyFont="1" applyFill="1" applyProtection="1"/>
    <xf numFmtId="0" fontId="18" fillId="17" borderId="0" xfId="0" applyFont="1" applyFill="1" applyProtection="1"/>
    <xf numFmtId="165" fontId="27" fillId="15" borderId="0" xfId="0" applyNumberFormat="1" applyFont="1" applyFill="1" applyAlignment="1" applyProtection="1">
      <alignment horizontal="center"/>
    </xf>
    <xf numFmtId="3" fontId="60" fillId="20" borderId="0" xfId="0" applyNumberFormat="1" applyFont="1" applyFill="1" applyAlignment="1" applyProtection="1">
      <alignment horizontal="center"/>
    </xf>
    <xf numFmtId="0" fontId="71" fillId="20" borderId="0" xfId="0" applyFont="1" applyFill="1" applyProtection="1"/>
    <xf numFmtId="0" fontId="18" fillId="15" borderId="0" xfId="0" applyFont="1" applyFill="1" applyProtection="1"/>
    <xf numFmtId="0" fontId="19" fillId="0" borderId="0" xfId="0" applyFont="1" applyAlignment="1" applyProtection="1">
      <alignment horizontal="center"/>
    </xf>
    <xf numFmtId="0" fontId="18" fillId="0" borderId="5" xfId="0" applyFont="1" applyBorder="1" applyProtection="1"/>
    <xf numFmtId="0" fontId="19" fillId="0" borderId="5" xfId="0" applyFont="1" applyBorder="1" applyAlignment="1" applyProtection="1">
      <alignment horizontal="center"/>
    </xf>
    <xf numFmtId="0" fontId="18" fillId="0" borderId="4" xfId="0" applyFont="1" applyBorder="1" applyProtection="1"/>
    <xf numFmtId="0" fontId="81" fillId="26" borderId="4" xfId="0" applyFont="1" applyFill="1" applyBorder="1" applyAlignment="1" applyProtection="1">
      <alignment horizontal="center"/>
    </xf>
    <xf numFmtId="0" fontId="18" fillId="28" borderId="0" xfId="0" applyFont="1" applyFill="1" applyProtection="1"/>
    <xf numFmtId="0" fontId="60" fillId="20" borderId="0" xfId="0" applyFont="1" applyFill="1" applyProtection="1"/>
    <xf numFmtId="0" fontId="56" fillId="16" borderId="0" xfId="0" applyFont="1" applyFill="1" applyProtection="1"/>
    <xf numFmtId="0" fontId="26" fillId="15" borderId="0" xfId="0" applyFont="1" applyFill="1" applyProtection="1"/>
    <xf numFmtId="49" fontId="33" fillId="19" borderId="21" xfId="0" applyNumberFormat="1" applyFont="1" applyFill="1" applyBorder="1" applyAlignment="1" applyProtection="1">
      <alignment horizontal="center"/>
      <protection locked="0"/>
    </xf>
    <xf numFmtId="0" fontId="16" fillId="12" borderId="0" xfId="0" applyFont="1" applyFill="1" applyAlignment="1" applyProtection="1">
      <alignment horizontal="left"/>
    </xf>
    <xf numFmtId="0" fontId="17" fillId="13" borderId="0" xfId="0" applyFont="1" applyFill="1" applyAlignment="1" applyProtection="1">
      <alignment horizontal="left"/>
    </xf>
    <xf numFmtId="0" fontId="17" fillId="12" borderId="2" xfId="0" applyFont="1" applyFill="1" applyBorder="1" applyAlignment="1" applyProtection="1">
      <alignment horizontal="center" wrapText="1"/>
    </xf>
    <xf numFmtId="0" fontId="33" fillId="14" borderId="2" xfId="0" applyFont="1" applyFill="1" applyBorder="1" applyProtection="1"/>
    <xf numFmtId="0" fontId="18" fillId="0" borderId="2" xfId="0" applyFont="1" applyBorder="1" applyAlignment="1" applyProtection="1">
      <alignment horizontal="center"/>
    </xf>
    <xf numFmtId="2" fontId="39" fillId="0" borderId="2" xfId="0" applyNumberFormat="1" applyFont="1" applyBorder="1" applyAlignment="1" applyProtection="1">
      <alignment horizontal="center"/>
    </xf>
    <xf numFmtId="2" fontId="26" fillId="0" borderId="2" xfId="0" applyNumberFormat="1" applyFont="1" applyBorder="1" applyAlignment="1" applyProtection="1">
      <alignment horizontal="center"/>
    </xf>
    <xf numFmtId="2" fontId="40" fillId="0" borderId="2" xfId="0" applyNumberFormat="1" applyFont="1" applyBorder="1" applyAlignment="1" applyProtection="1">
      <alignment horizontal="center"/>
    </xf>
    <xf numFmtId="9" fontId="18" fillId="0" borderId="2" xfId="0" applyNumberFormat="1" applyFont="1" applyBorder="1" applyAlignment="1" applyProtection="1">
      <alignment horizontal="center"/>
    </xf>
    <xf numFmtId="0" fontId="19" fillId="0" borderId="2" xfId="0" applyFont="1" applyBorder="1" applyAlignment="1" applyProtection="1">
      <alignment horizontal="center"/>
    </xf>
    <xf numFmtId="0" fontId="33" fillId="17" borderId="2" xfId="0" applyFont="1" applyFill="1" applyBorder="1" applyProtection="1"/>
    <xf numFmtId="0" fontId="27" fillId="14" borderId="2" xfId="0" applyFont="1" applyFill="1" applyBorder="1" applyProtection="1"/>
    <xf numFmtId="0" fontId="26" fillId="15" borderId="2" xfId="0" applyFont="1" applyFill="1" applyBorder="1" applyAlignment="1" applyProtection="1">
      <alignment horizontal="center"/>
    </xf>
    <xf numFmtId="2" fontId="27" fillId="15" borderId="2" xfId="0" applyNumberFormat="1" applyFont="1" applyFill="1" applyBorder="1" applyAlignment="1" applyProtection="1">
      <alignment horizontal="center"/>
    </xf>
    <xf numFmtId="2" fontId="26" fillId="15" borderId="2" xfId="0" applyNumberFormat="1" applyFont="1" applyFill="1" applyBorder="1" applyAlignment="1" applyProtection="1">
      <alignment horizontal="center"/>
    </xf>
    <xf numFmtId="0" fontId="38" fillId="12" borderId="2" xfId="0" applyFont="1" applyFill="1" applyBorder="1" applyAlignment="1" applyProtection="1">
      <alignment horizontal="center"/>
    </xf>
    <xf numFmtId="2" fontId="38" fillId="12" borderId="2" xfId="0" applyNumberFormat="1" applyFont="1" applyFill="1" applyBorder="1" applyAlignment="1" applyProtection="1">
      <alignment horizontal="center"/>
    </xf>
    <xf numFmtId="0" fontId="17" fillId="12" borderId="2" xfId="0" applyFont="1" applyFill="1" applyBorder="1" applyAlignment="1" applyProtection="1">
      <alignment horizontal="center"/>
    </xf>
    <xf numFmtId="0" fontId="38" fillId="13" borderId="0" xfId="0" applyFont="1" applyFill="1" applyAlignment="1" applyProtection="1">
      <alignment horizontal="center"/>
    </xf>
    <xf numFmtId="0" fontId="31" fillId="16" borderId="0" xfId="0" applyFont="1" applyFill="1" applyAlignment="1" applyProtection="1">
      <alignment horizontal="center"/>
    </xf>
    <xf numFmtId="0" fontId="21" fillId="0" borderId="0" xfId="0" applyFont="1" applyAlignment="1" applyProtection="1">
      <alignment wrapText="1"/>
    </xf>
    <xf numFmtId="0" fontId="0" fillId="0" borderId="0" xfId="0" applyAlignment="1" applyProtection="1">
      <alignment wrapText="1"/>
    </xf>
    <xf numFmtId="2" fontId="5" fillId="5" borderId="2" xfId="0" applyNumberFormat="1" applyFont="1" applyFill="1" applyBorder="1" applyAlignment="1" applyProtection="1">
      <alignment horizontal="center"/>
    </xf>
    <xf numFmtId="165" fontId="7" fillId="6" borderId="2" xfId="0" applyNumberFormat="1" applyFont="1" applyFill="1" applyBorder="1" applyAlignment="1" applyProtection="1">
      <alignment horizontal="center"/>
    </xf>
    <xf numFmtId="0" fontId="10" fillId="9" borderId="2" xfId="0" applyFont="1" applyFill="1" applyBorder="1" applyAlignment="1" applyProtection="1">
      <alignment vertical="top" wrapText="1"/>
    </xf>
    <xf numFmtId="0" fontId="68" fillId="0" borderId="0" xfId="0" applyFont="1" applyAlignment="1" applyProtection="1">
      <alignment horizontal="center"/>
    </xf>
    <xf numFmtId="0" fontId="29" fillId="0" borderId="2" xfId="0" applyFont="1" applyBorder="1" applyProtection="1"/>
    <xf numFmtId="0" fontId="24" fillId="16" borderId="2" xfId="0" applyFont="1" applyFill="1" applyBorder="1" applyAlignment="1" applyProtection="1">
      <alignment horizontal="center"/>
    </xf>
    <xf numFmtId="0" fontId="25" fillId="16" borderId="2" xfId="0" applyFont="1" applyFill="1" applyBorder="1" applyProtection="1"/>
    <xf numFmtId="0" fontId="28" fillId="27" borderId="2" xfId="0" applyFont="1" applyFill="1" applyBorder="1" applyProtection="1"/>
    <xf numFmtId="0" fontId="64" fillId="27" borderId="2" xfId="0" applyFont="1" applyFill="1" applyBorder="1" applyAlignment="1" applyProtection="1">
      <alignment horizontal="center"/>
    </xf>
    <xf numFmtId="0" fontId="63" fillId="27" borderId="2" xfId="0" applyFont="1" applyFill="1" applyBorder="1" applyProtection="1"/>
    <xf numFmtId="0" fontId="17" fillId="21" borderId="2" xfId="0" applyFont="1" applyFill="1" applyBorder="1" applyAlignment="1" applyProtection="1">
      <alignment horizontal="left"/>
    </xf>
    <xf numFmtId="0" fontId="17" fillId="21" borderId="2" xfId="0" applyFont="1" applyFill="1" applyBorder="1" applyAlignment="1" applyProtection="1">
      <alignment horizontal="center"/>
    </xf>
    <xf numFmtId="0" fontId="41" fillId="22" borderId="2" xfId="0" applyFont="1" applyFill="1" applyBorder="1" applyProtection="1"/>
    <xf numFmtId="0" fontId="29" fillId="22" borderId="2" xfId="0" applyFont="1" applyFill="1" applyBorder="1" applyAlignment="1" applyProtection="1">
      <alignment horizontal="center"/>
    </xf>
    <xf numFmtId="0" fontId="41" fillId="0" borderId="2" xfId="0" applyFont="1" applyBorder="1" applyProtection="1"/>
    <xf numFmtId="0" fontId="29" fillId="0" borderId="2" xfId="0" applyFont="1" applyBorder="1" applyAlignment="1" applyProtection="1">
      <alignment horizontal="center"/>
    </xf>
    <xf numFmtId="0" fontId="41" fillId="0" borderId="11" xfId="0" applyFont="1" applyBorder="1" applyProtection="1"/>
    <xf numFmtId="0" fontId="29" fillId="0" borderId="11" xfId="0" applyFont="1" applyBorder="1" applyAlignment="1" applyProtection="1">
      <alignment horizontal="center"/>
    </xf>
    <xf numFmtId="0" fontId="41" fillId="22" borderId="0" xfId="0" applyFont="1" applyFill="1" applyProtection="1"/>
    <xf numFmtId="0" fontId="94" fillId="22" borderId="0" xfId="0" applyFont="1" applyFill="1" applyAlignment="1" applyProtection="1">
      <alignment horizontal="center"/>
    </xf>
    <xf numFmtId="0" fontId="18" fillId="22" borderId="0" xfId="0" applyFont="1" applyFill="1" applyAlignment="1" applyProtection="1">
      <alignment horizontal="center"/>
    </xf>
    <xf numFmtId="49" fontId="18" fillId="22" borderId="0" xfId="0" applyNumberFormat="1" applyFont="1" applyFill="1" applyAlignment="1" applyProtection="1">
      <alignment horizontal="center"/>
    </xf>
    <xf numFmtId="0" fontId="27" fillId="15" borderId="19" xfId="0" applyFont="1" applyFill="1" applyBorder="1" applyProtection="1"/>
    <xf numFmtId="0" fontId="0" fillId="15" borderId="19" xfId="0" applyFill="1" applyBorder="1" applyProtection="1"/>
    <xf numFmtId="0" fontId="20" fillId="15" borderId="19" xfId="0" applyFont="1" applyFill="1" applyBorder="1" applyAlignment="1" applyProtection="1">
      <alignment horizontal="center"/>
    </xf>
    <xf numFmtId="0" fontId="24" fillId="16" borderId="2" xfId="0" applyFont="1" applyFill="1" applyBorder="1" applyProtection="1"/>
    <xf numFmtId="0" fontId="65" fillId="16" borderId="2" xfId="0" applyFont="1" applyFill="1" applyBorder="1" applyAlignment="1" applyProtection="1">
      <alignment horizontal="center"/>
    </xf>
    <xf numFmtId="165" fontId="57" fillId="16" borderId="2" xfId="0" applyNumberFormat="1" applyFont="1" applyFill="1" applyBorder="1" applyAlignment="1" applyProtection="1">
      <alignment horizontal="center"/>
    </xf>
    <xf numFmtId="0" fontId="17" fillId="18" borderId="0" xfId="0" applyFont="1" applyFill="1" applyAlignment="1" applyProtection="1">
      <alignment horizontal="center"/>
    </xf>
    <xf numFmtId="165" fontId="29" fillId="22" borderId="2" xfId="0" applyNumberFormat="1" applyFont="1" applyFill="1" applyBorder="1" applyAlignment="1" applyProtection="1">
      <alignment horizontal="center"/>
    </xf>
    <xf numFmtId="0" fontId="41" fillId="22" borderId="2" xfId="0" applyFont="1" applyFill="1" applyBorder="1" applyAlignment="1" applyProtection="1">
      <alignment horizontal="center"/>
    </xf>
    <xf numFmtId="165" fontId="29" fillId="0" borderId="2" xfId="0" applyNumberFormat="1" applyFont="1" applyBorder="1" applyAlignment="1" applyProtection="1">
      <alignment horizontal="center"/>
    </xf>
    <xf numFmtId="0" fontId="41" fillId="0" borderId="2" xfId="0" applyFont="1" applyBorder="1" applyAlignment="1" applyProtection="1">
      <alignment horizontal="center"/>
    </xf>
    <xf numFmtId="0" fontId="29" fillId="26" borderId="2" xfId="0" applyFont="1" applyFill="1" applyBorder="1" applyAlignment="1" applyProtection="1">
      <alignment horizontal="center"/>
    </xf>
    <xf numFmtId="165" fontId="29" fillId="26" borderId="2" xfId="0" applyNumberFormat="1" applyFont="1" applyFill="1" applyBorder="1" applyAlignment="1" applyProtection="1">
      <alignment horizontal="center"/>
    </xf>
    <xf numFmtId="0" fontId="41" fillId="26" borderId="2" xfId="0" applyFont="1" applyFill="1" applyBorder="1" applyAlignment="1" applyProtection="1">
      <alignment horizontal="center"/>
    </xf>
    <xf numFmtId="0" fontId="41" fillId="14" borderId="11" xfId="0" applyFont="1" applyFill="1" applyBorder="1" applyProtection="1"/>
    <xf numFmtId="0" fontId="34" fillId="19" borderId="11" xfId="0" applyFont="1" applyFill="1" applyBorder="1" applyAlignment="1" applyProtection="1">
      <alignment horizontal="center"/>
    </xf>
    <xf numFmtId="0" fontId="29" fillId="0" borderId="11" xfId="0" applyFont="1" applyBorder="1" applyProtection="1"/>
    <xf numFmtId="0" fontId="60" fillId="20" borderId="19" xfId="0" applyFont="1" applyFill="1" applyBorder="1" applyProtection="1"/>
    <xf numFmtId="0" fontId="66" fillId="20" borderId="19" xfId="0" applyFont="1" applyFill="1" applyBorder="1" applyAlignment="1" applyProtection="1">
      <alignment horizontal="center"/>
    </xf>
    <xf numFmtId="0" fontId="41" fillId="15" borderId="7" xfId="0" applyFont="1" applyFill="1" applyBorder="1" applyProtection="1"/>
    <xf numFmtId="0" fontId="67" fillId="15" borderId="7" xfId="0" applyFont="1" applyFill="1" applyBorder="1" applyAlignment="1" applyProtection="1">
      <alignment horizontal="center"/>
    </xf>
    <xf numFmtId="0" fontId="27" fillId="15" borderId="7" xfId="0" applyFont="1" applyFill="1" applyBorder="1" applyProtection="1"/>
    <xf numFmtId="0" fontId="17" fillId="21" borderId="18" xfId="0" applyFont="1" applyFill="1" applyBorder="1" applyAlignment="1" applyProtection="1">
      <alignment horizontal="center"/>
    </xf>
    <xf numFmtId="49" fontId="41" fillId="22" borderId="2" xfId="0" applyNumberFormat="1" applyFont="1" applyFill="1" applyBorder="1" applyProtection="1"/>
    <xf numFmtId="0" fontId="20" fillId="22" borderId="2" xfId="0" applyFont="1" applyFill="1" applyBorder="1" applyAlignment="1" applyProtection="1">
      <alignment horizontal="center"/>
    </xf>
    <xf numFmtId="0" fontId="21" fillId="22" borderId="2" xfId="0" applyFont="1" applyFill="1" applyBorder="1" applyProtection="1"/>
    <xf numFmtId="49" fontId="41" fillId="17" borderId="2" xfId="0" applyNumberFormat="1" applyFont="1" applyFill="1" applyBorder="1" applyProtection="1"/>
    <xf numFmtId="0" fontId="20" fillId="0" borderId="2" xfId="0" applyFont="1" applyBorder="1" applyAlignment="1" applyProtection="1">
      <alignment horizontal="center"/>
    </xf>
    <xf numFmtId="0" fontId="42" fillId="12" borderId="0" xfId="0" applyFont="1" applyFill="1" applyAlignment="1" applyProtection="1">
      <alignment horizontal="center"/>
    </xf>
    <xf numFmtId="0" fontId="0" fillId="12" borderId="0" xfId="0" applyFill="1" applyProtection="1"/>
    <xf numFmtId="0" fontId="43" fillId="0" borderId="0" xfId="0" applyFont="1" applyAlignment="1" applyProtection="1">
      <alignment horizontal="center"/>
    </xf>
    <xf numFmtId="0" fontId="0" fillId="0" borderId="0" xfId="0" applyProtection="1"/>
    <xf numFmtId="0" fontId="44" fillId="13" borderId="0" xfId="0" applyFont="1" applyFill="1" applyProtection="1"/>
    <xf numFmtId="0" fontId="0" fillId="13" borderId="0" xfId="0" applyFill="1" applyProtection="1"/>
    <xf numFmtId="0" fontId="19" fillId="0" borderId="3" xfId="0" applyFont="1" applyBorder="1" applyProtection="1"/>
    <xf numFmtId="0" fontId="18" fillId="0" borderId="3" xfId="0" applyFont="1" applyBorder="1" applyAlignment="1" applyProtection="1">
      <alignment horizontal="center"/>
    </xf>
    <xf numFmtId="0" fontId="18" fillId="0" borderId="3" xfId="0" applyFont="1" applyBorder="1" applyProtection="1"/>
    <xf numFmtId="0" fontId="19" fillId="0" borderId="4" xfId="0" applyFont="1" applyBorder="1" applyProtection="1"/>
    <xf numFmtId="0" fontId="18" fillId="0" borderId="4" xfId="0" applyFont="1" applyBorder="1" applyAlignment="1" applyProtection="1">
      <alignment horizontal="center"/>
    </xf>
    <xf numFmtId="2" fontId="18" fillId="0" borderId="4" xfId="0" applyNumberFormat="1" applyFont="1" applyBorder="1" applyAlignment="1" applyProtection="1">
      <alignment horizontal="center"/>
    </xf>
    <xf numFmtId="1" fontId="18" fillId="0" borderId="4" xfId="0" applyNumberFormat="1" applyFont="1" applyBorder="1" applyAlignment="1" applyProtection="1">
      <alignment horizontal="center"/>
    </xf>
    <xf numFmtId="0" fontId="27" fillId="15" borderId="5" xfId="0" applyFont="1" applyFill="1" applyBorder="1" applyProtection="1"/>
    <xf numFmtId="2" fontId="36" fillId="15" borderId="5" xfId="0" applyNumberFormat="1" applyFont="1" applyFill="1" applyBorder="1" applyAlignment="1" applyProtection="1">
      <alignment horizontal="center"/>
    </xf>
    <xf numFmtId="0" fontId="18" fillId="15" borderId="5" xfId="0" applyFont="1" applyFill="1" applyBorder="1" applyProtection="1"/>
    <xf numFmtId="2" fontId="18" fillId="0" borderId="3" xfId="0" applyNumberFormat="1" applyFont="1" applyBorder="1" applyAlignment="1" applyProtection="1">
      <alignment horizontal="center"/>
    </xf>
    <xf numFmtId="0" fontId="19" fillId="15" borderId="4" xfId="0" applyFont="1" applyFill="1" applyBorder="1" applyProtection="1"/>
    <xf numFmtId="2" fontId="36" fillId="15" borderId="4" xfId="0" applyNumberFormat="1" applyFont="1" applyFill="1" applyBorder="1" applyAlignment="1" applyProtection="1">
      <alignment horizontal="center"/>
    </xf>
    <xf numFmtId="0" fontId="18" fillId="15" borderId="4" xfId="0" applyFont="1" applyFill="1" applyBorder="1" applyProtection="1"/>
    <xf numFmtId="165" fontId="27" fillId="15" borderId="4" xfId="0" applyNumberFormat="1" applyFont="1" applyFill="1" applyBorder="1" applyAlignment="1" applyProtection="1">
      <alignment horizontal="center"/>
    </xf>
    <xf numFmtId="0" fontId="19" fillId="0" borderId="5" xfId="0" applyFont="1" applyBorder="1" applyProtection="1"/>
    <xf numFmtId="0" fontId="39" fillId="0" borderId="5" xfId="0" applyFont="1" applyBorder="1" applyAlignment="1" applyProtection="1">
      <alignment horizontal="center"/>
    </xf>
    <xf numFmtId="0" fontId="19" fillId="0" borderId="0" xfId="0" applyFont="1" applyProtection="1"/>
    <xf numFmtId="0" fontId="48" fillId="0" borderId="0" xfId="0" applyFont="1" applyAlignment="1" applyProtection="1">
      <alignment horizontal="center"/>
    </xf>
    <xf numFmtId="0" fontId="48" fillId="0" borderId="0" xfId="0" applyFont="1" applyProtection="1"/>
    <xf numFmtId="2" fontId="39" fillId="0" borderId="0" xfId="0" applyNumberFormat="1" applyFont="1" applyAlignment="1" applyProtection="1">
      <alignment horizontal="center"/>
    </xf>
    <xf numFmtId="2" fontId="18" fillId="0" borderId="0" xfId="0" applyNumberFormat="1" applyFont="1" applyProtection="1"/>
    <xf numFmtId="0" fontId="39" fillId="0" borderId="0" xfId="0" applyFont="1" applyAlignment="1" applyProtection="1">
      <alignment horizontal="center"/>
    </xf>
    <xf numFmtId="0" fontId="17" fillId="21" borderId="6" xfId="0" applyFont="1" applyFill="1" applyBorder="1" applyAlignment="1" applyProtection="1">
      <alignment horizontal="left"/>
    </xf>
    <xf numFmtId="0" fontId="17" fillId="21" borderId="7" xfId="0" applyFont="1" applyFill="1" applyBorder="1" applyAlignment="1" applyProtection="1">
      <alignment horizontal="center"/>
    </xf>
    <xf numFmtId="0" fontId="17" fillId="21" borderId="8" xfId="0" applyFont="1" applyFill="1" applyBorder="1" applyAlignment="1" applyProtection="1">
      <alignment horizontal="center"/>
    </xf>
    <xf numFmtId="0" fontId="19" fillId="22" borderId="9" xfId="0" applyFont="1" applyFill="1" applyBorder="1" applyProtection="1"/>
    <xf numFmtId="0" fontId="18" fillId="22" borderId="2" xfId="0" applyFont="1" applyFill="1" applyBorder="1" applyAlignment="1" applyProtection="1">
      <alignment horizontal="center"/>
    </xf>
    <xf numFmtId="2" fontId="18" fillId="22" borderId="2" xfId="0" applyNumberFormat="1" applyFont="1" applyFill="1" applyBorder="1" applyAlignment="1" applyProtection="1">
      <alignment horizontal="center"/>
    </xf>
    <xf numFmtId="2" fontId="18" fillId="22" borderId="1" xfId="0" applyNumberFormat="1" applyFont="1" applyFill="1" applyBorder="1" applyAlignment="1" applyProtection="1">
      <alignment horizontal="center"/>
    </xf>
    <xf numFmtId="0" fontId="19" fillId="0" borderId="9" xfId="0" applyFont="1" applyBorder="1" applyProtection="1"/>
    <xf numFmtId="2" fontId="18" fillId="0" borderId="2" xfId="0" applyNumberFormat="1" applyFont="1" applyBorder="1" applyAlignment="1" applyProtection="1">
      <alignment horizontal="center"/>
    </xf>
    <xf numFmtId="2" fontId="18" fillId="0" borderId="1" xfId="0" applyNumberFormat="1" applyFont="1" applyBorder="1" applyAlignment="1" applyProtection="1">
      <alignment horizontal="center"/>
    </xf>
    <xf numFmtId="0" fontId="19" fillId="22" borderId="10" xfId="0" applyFont="1" applyFill="1" applyBorder="1" applyProtection="1"/>
    <xf numFmtId="0" fontId="18" fillId="22" borderId="11" xfId="0" applyFont="1" applyFill="1" applyBorder="1" applyAlignment="1" applyProtection="1">
      <alignment horizontal="center"/>
    </xf>
    <xf numFmtId="2" fontId="18" fillId="22" borderId="11" xfId="0" applyNumberFormat="1" applyFont="1" applyFill="1" applyBorder="1" applyAlignment="1" applyProtection="1">
      <alignment horizontal="center"/>
    </xf>
    <xf numFmtId="2" fontId="18" fillId="22" borderId="12" xfId="0" applyNumberFormat="1" applyFont="1" applyFill="1" applyBorder="1" applyAlignment="1" applyProtection="1">
      <alignment horizontal="center"/>
    </xf>
    <xf numFmtId="0" fontId="41" fillId="22" borderId="20" xfId="0" applyFont="1" applyFill="1" applyBorder="1" applyProtection="1"/>
    <xf numFmtId="0" fontId="27" fillId="15" borderId="13" xfId="0" applyFont="1" applyFill="1" applyBorder="1" applyProtection="1"/>
    <xf numFmtId="2" fontId="27" fillId="15" borderId="13" xfId="0" applyNumberFormat="1" applyFont="1" applyFill="1" applyBorder="1" applyAlignment="1" applyProtection="1">
      <alignment horizontal="center"/>
    </xf>
    <xf numFmtId="0" fontId="49" fillId="24" borderId="0" xfId="0" applyFont="1" applyFill="1" applyProtection="1"/>
    <xf numFmtId="0" fontId="50" fillId="15" borderId="0" xfId="0" applyFont="1" applyFill="1" applyProtection="1"/>
    <xf numFmtId="2" fontId="51" fillId="15" borderId="0" xfId="0" applyNumberFormat="1" applyFont="1" applyFill="1" applyAlignment="1" applyProtection="1">
      <alignment horizontal="center"/>
    </xf>
    <xf numFmtId="0" fontId="27" fillId="15" borderId="14" xfId="0" applyFont="1" applyFill="1" applyBorder="1" applyProtection="1"/>
    <xf numFmtId="0" fontId="27" fillId="15" borderId="14" xfId="0" applyFont="1" applyFill="1" applyBorder="1" applyAlignment="1" applyProtection="1">
      <alignment horizontal="center"/>
    </xf>
    <xf numFmtId="0" fontId="27" fillId="15" borderId="15" xfId="0" applyFont="1" applyFill="1" applyBorder="1" applyProtection="1"/>
    <xf numFmtId="1" fontId="27" fillId="15" borderId="15" xfId="0" applyNumberFormat="1" applyFont="1" applyFill="1" applyBorder="1" applyAlignment="1" applyProtection="1">
      <alignment horizontal="center"/>
    </xf>
    <xf numFmtId="0" fontId="27" fillId="15" borderId="16" xfId="0" applyFont="1" applyFill="1" applyBorder="1" applyProtection="1"/>
    <xf numFmtId="0" fontId="27" fillId="15" borderId="16" xfId="0" applyFont="1" applyFill="1" applyBorder="1" applyAlignment="1" applyProtection="1">
      <alignment horizontal="center"/>
    </xf>
    <xf numFmtId="9" fontId="27" fillId="15" borderId="15" xfId="0" applyNumberFormat="1" applyFont="1" applyFill="1" applyBorder="1" applyAlignment="1" applyProtection="1">
      <alignment horizontal="center"/>
    </xf>
    <xf numFmtId="0" fontId="41" fillId="22" borderId="9" xfId="0" applyFont="1" applyFill="1" applyBorder="1" applyProtection="1"/>
    <xf numFmtId="0" fontId="18" fillId="22" borderId="1" xfId="0" applyFont="1" applyFill="1" applyBorder="1" applyAlignment="1" applyProtection="1">
      <alignment horizontal="center"/>
    </xf>
    <xf numFmtId="0" fontId="41" fillId="17" borderId="9" xfId="0" applyFont="1" applyFill="1" applyBorder="1" applyProtection="1"/>
    <xf numFmtId="0" fontId="18" fillId="0" borderId="1" xfId="0" applyFont="1" applyBorder="1" applyAlignment="1" applyProtection="1">
      <alignment horizontal="center"/>
    </xf>
    <xf numFmtId="0" fontId="41" fillId="22" borderId="10" xfId="0" applyFont="1" applyFill="1" applyBorder="1" applyProtection="1"/>
    <xf numFmtId="0" fontId="18" fillId="22" borderId="12" xfId="0" applyFont="1" applyFill="1" applyBorder="1" applyAlignment="1" applyProtection="1">
      <alignment horizontal="center"/>
    </xf>
    <xf numFmtId="2" fontId="18" fillId="22" borderId="0" xfId="0" applyNumberFormat="1" applyFont="1" applyFill="1" applyAlignment="1" applyProtection="1">
      <alignment horizontal="center"/>
    </xf>
    <xf numFmtId="0" fontId="94" fillId="30" borderId="0" xfId="0" applyFont="1" applyFill="1" applyAlignment="1" applyProtection="1">
      <alignment horizontal="center"/>
    </xf>
    <xf numFmtId="0" fontId="41" fillId="17" borderId="0" xfId="0" applyFont="1" applyFill="1" applyProtection="1"/>
    <xf numFmtId="0" fontId="18" fillId="17" borderId="0" xfId="0" applyFont="1" applyFill="1" applyAlignment="1" applyProtection="1">
      <alignment horizontal="center"/>
    </xf>
    <xf numFmtId="2" fontId="18" fillId="17" borderId="0" xfId="0" applyNumberFormat="1" applyFont="1" applyFill="1" applyAlignment="1" applyProtection="1">
      <alignment horizontal="center"/>
    </xf>
    <xf numFmtId="0" fontId="27" fillId="15" borderId="13" xfId="0" applyFont="1" applyFill="1" applyBorder="1" applyAlignment="1" applyProtection="1">
      <alignment horizontal="center"/>
    </xf>
    <xf numFmtId="0" fontId="45" fillId="0" borderId="0" xfId="0" applyFont="1" applyAlignment="1" applyProtection="1">
      <alignment wrapText="1"/>
    </xf>
    <xf numFmtId="0" fontId="45" fillId="0" borderId="0" xfId="0" applyFont="1" applyAlignment="1" applyProtection="1">
      <alignment wrapText="1"/>
    </xf>
    <xf numFmtId="0" fontId="52" fillId="13" borderId="0" xfId="0" applyFont="1" applyFill="1" applyProtection="1"/>
    <xf numFmtId="0" fontId="53" fillId="25" borderId="0" xfId="0" applyFont="1" applyFill="1" applyAlignment="1" applyProtection="1">
      <alignment wrapText="1"/>
    </xf>
    <xf numFmtId="0" fontId="53" fillId="25" borderId="0" xfId="0" applyFont="1" applyFill="1" applyAlignment="1" applyProtection="1">
      <alignment wrapText="1"/>
    </xf>
    <xf numFmtId="2" fontId="18" fillId="0" borderId="5" xfId="0" applyNumberFormat="1" applyFont="1" applyBorder="1" applyAlignment="1" applyProtection="1">
      <alignment horizontal="center"/>
    </xf>
    <xf numFmtId="0" fontId="19" fillId="23" borderId="5" xfId="0" applyFont="1" applyFill="1" applyBorder="1" applyProtection="1"/>
    <xf numFmtId="2" fontId="46" fillId="23" borderId="5" xfId="0" applyNumberFormat="1" applyFont="1" applyFill="1" applyBorder="1" applyAlignment="1" applyProtection="1">
      <alignment horizontal="center"/>
    </xf>
    <xf numFmtId="0" fontId="18" fillId="23" borderId="5" xfId="0" applyFont="1" applyFill="1" applyBorder="1" applyProtection="1"/>
    <xf numFmtId="0" fontId="0" fillId="0" borderId="0" xfId="0" applyAlignment="1" applyProtection="1">
      <alignment wrapText="1"/>
    </xf>
    <xf numFmtId="0" fontId="18" fillId="0" borderId="14" xfId="0" applyFont="1" applyBorder="1" applyProtection="1"/>
    <xf numFmtId="0" fontId="47" fillId="0" borderId="14" xfId="0" applyFont="1" applyBorder="1" applyAlignment="1" applyProtection="1">
      <alignment wrapText="1"/>
    </xf>
    <xf numFmtId="0" fontId="0" fillId="0" borderId="14" xfId="0" applyBorder="1" applyProtection="1"/>
    <xf numFmtId="0" fontId="47" fillId="0" borderId="0" xfId="0" applyFont="1" applyAlignment="1" applyProtection="1">
      <alignment wrapText="1"/>
    </xf>
    <xf numFmtId="0" fontId="62" fillId="13" borderId="0" xfId="0" applyFont="1" applyFill="1" applyProtection="1"/>
    <xf numFmtId="0" fontId="18" fillId="13" borderId="0" xfId="0" applyFont="1" applyFill="1" applyProtection="1"/>
    <xf numFmtId="0" fontId="29" fillId="0" borderId="0" xfId="0" applyFont="1" applyAlignment="1" applyProtection="1">
      <alignment horizontal="center"/>
    </xf>
    <xf numFmtId="0" fontId="20" fillId="0" borderId="0" xfId="0" applyFont="1" applyAlignment="1" applyProtection="1">
      <alignment horizontal="center"/>
    </xf>
    <xf numFmtId="0" fontId="28" fillId="0" borderId="0" xfId="0" applyFont="1" applyProtection="1"/>
    <xf numFmtId="0" fontId="61" fillId="0" borderId="0" xfId="0" applyFont="1" applyAlignment="1" applyProtection="1">
      <alignment horizontal="center"/>
    </xf>
    <xf numFmtId="0" fontId="63" fillId="0" borderId="0" xfId="0" applyFont="1" applyProtection="1"/>
    <xf numFmtId="0" fontId="27" fillId="15" borderId="19" xfId="0" applyFont="1" applyFill="1" applyBorder="1" applyAlignment="1" applyProtection="1">
      <alignment horizontal="center"/>
    </xf>
    <xf numFmtId="0" fontId="17" fillId="21" borderId="20" xfId="0" applyFont="1" applyFill="1" applyBorder="1" applyAlignment="1" applyProtection="1">
      <alignment horizontal="center"/>
    </xf>
    <xf numFmtId="49" fontId="29" fillId="22" borderId="2" xfId="0" applyNumberFormat="1" applyFont="1" applyFill="1" applyBorder="1" applyProtection="1"/>
    <xf numFmtId="0" fontId="41" fillId="15" borderId="0" xfId="0" applyFont="1" applyFill="1" applyAlignment="1" applyProtection="1">
      <alignment horizontal="center"/>
    </xf>
    <xf numFmtId="49" fontId="29" fillId="17" borderId="2" xfId="0" applyNumberFormat="1" applyFont="1" applyFill="1" applyBorder="1" applyProtection="1"/>
    <xf numFmtId="9" fontId="20" fillId="15" borderId="2" xfId="0" applyNumberFormat="1" applyFont="1" applyFill="1" applyBorder="1" applyAlignment="1" applyProtection="1">
      <alignment horizontal="center"/>
    </xf>
    <xf numFmtId="0" fontId="22" fillId="16" borderId="2" xfId="0" applyFont="1" applyFill="1" applyBorder="1" applyAlignment="1" applyProtection="1">
      <alignment horizontal="center"/>
    </xf>
    <xf numFmtId="2" fontId="22" fillId="16" borderId="2" xfId="0" applyNumberFormat="1" applyFont="1" applyFill="1" applyBorder="1" applyAlignment="1" applyProtection="1">
      <alignment horizontal="center"/>
    </xf>
    <xf numFmtId="2" fontId="23" fillId="16" borderId="2" xfId="0" applyNumberFormat="1" applyFont="1" applyFill="1" applyBorder="1" applyAlignment="1" applyProtection="1">
      <alignment horizontal="center"/>
    </xf>
    <xf numFmtId="2" fontId="24" fillId="16" borderId="2" xfId="0" applyNumberFormat="1" applyFont="1" applyFill="1" applyBorder="1" applyAlignment="1" applyProtection="1">
      <alignment horizontal="center"/>
    </xf>
    <xf numFmtId="0" fontId="25" fillId="16" borderId="2" xfId="0" applyFont="1" applyFill="1" applyBorder="1" applyAlignment="1" applyProtection="1">
      <alignment horizontal="center"/>
    </xf>
    <xf numFmtId="0" fontId="20" fillId="17" borderId="2" xfId="0" applyFont="1" applyFill="1" applyBorder="1" applyAlignment="1" applyProtection="1">
      <alignment horizontal="center"/>
    </xf>
    <xf numFmtId="2" fontId="20" fillId="17" borderId="2" xfId="0" applyNumberFormat="1" applyFont="1" applyFill="1" applyBorder="1" applyAlignment="1" applyProtection="1">
      <alignment horizontal="center"/>
    </xf>
    <xf numFmtId="2" fontId="23" fillId="17" borderId="2" xfId="0" applyNumberFormat="1" applyFont="1" applyFill="1" applyBorder="1" applyAlignment="1" applyProtection="1">
      <alignment horizontal="center"/>
    </xf>
    <xf numFmtId="166" fontId="27" fillId="17" borderId="2" xfId="0" applyNumberFormat="1" applyFont="1" applyFill="1" applyBorder="1" applyAlignment="1" applyProtection="1">
      <alignment horizontal="center"/>
    </xf>
    <xf numFmtId="0" fontId="20" fillId="14" borderId="2" xfId="0" applyFont="1" applyFill="1" applyBorder="1" applyAlignment="1" applyProtection="1">
      <alignment horizontal="center"/>
    </xf>
    <xf numFmtId="2" fontId="20" fillId="14" borderId="2" xfId="0" applyNumberFormat="1" applyFont="1" applyFill="1" applyBorder="1" applyAlignment="1" applyProtection="1">
      <alignment horizontal="center"/>
    </xf>
    <xf numFmtId="2" fontId="23" fillId="14" borderId="2" xfId="0" applyNumberFormat="1" applyFont="1" applyFill="1" applyBorder="1" applyAlignment="1" applyProtection="1">
      <alignment horizontal="center"/>
    </xf>
    <xf numFmtId="166" fontId="27" fillId="14" borderId="2" xfId="0" applyNumberFormat="1" applyFont="1" applyFill="1" applyBorder="1" applyAlignment="1" applyProtection="1">
      <alignment horizontal="center"/>
    </xf>
    <xf numFmtId="0" fontId="28" fillId="0" borderId="0" xfId="0" applyFont="1" applyAlignment="1" applyProtection="1">
      <alignment wrapText="1"/>
    </xf>
    <xf numFmtId="0" fontId="1" fillId="11" borderId="1" xfId="0" applyFont="1" applyFill="1" applyBorder="1" applyAlignment="1" applyProtection="1">
      <alignment horizontal="center" vertical="center"/>
    </xf>
    <xf numFmtId="0" fontId="10" fillId="5" borderId="2" xfId="0" applyFont="1" applyFill="1" applyBorder="1" applyAlignment="1" applyProtection="1">
      <alignment vertical="top" wrapText="1"/>
    </xf>
    <xf numFmtId="0" fontId="14" fillId="11" borderId="1" xfId="0" applyFont="1" applyFill="1" applyBorder="1" applyAlignment="1" applyProtection="1">
      <alignment horizontal="center" vertical="center"/>
    </xf>
    <xf numFmtId="0" fontId="8" fillId="8" borderId="2" xfId="0" applyFont="1" applyFill="1" applyBorder="1" applyAlignment="1" applyProtection="1">
      <alignment vertical="top" wrapText="1"/>
    </xf>
    <xf numFmtId="0" fontId="15" fillId="0" borderId="2" xfId="0" applyFont="1" applyBorder="1" applyProtection="1"/>
    <xf numFmtId="0" fontId="10" fillId="10" borderId="11" xfId="0" applyFont="1" applyFill="1" applyBorder="1" applyProtection="1"/>
    <xf numFmtId="0" fontId="15" fillId="0" borderId="11" xfId="0" applyFont="1" applyBorder="1" applyProtection="1"/>
    <xf numFmtId="0" fontId="41" fillId="14" borderId="12" xfId="0" applyFont="1" applyFill="1" applyBorder="1" applyProtection="1"/>
    <xf numFmtId="0" fontId="69" fillId="17" borderId="11" xfId="0" applyFont="1" applyFill="1" applyBorder="1" applyProtection="1"/>
    <xf numFmtId="0" fontId="41" fillId="14" borderId="1" xfId="0" applyFont="1" applyFill="1" applyBorder="1" applyProtection="1"/>
    <xf numFmtId="0" fontId="69" fillId="17" borderId="2" xfId="0" applyFont="1" applyFill="1" applyBorder="1" applyProtection="1"/>
    <xf numFmtId="0" fontId="17" fillId="29" borderId="0" xfId="0" applyFont="1" applyFill="1" applyAlignment="1" applyProtection="1">
      <alignment horizontal="center"/>
    </xf>
    <xf numFmtId="0" fontId="0" fillId="29" borderId="0" xfId="0" applyFill="1" applyProtection="1"/>
    <xf numFmtId="0" fontId="82" fillId="20" borderId="0" xfId="0" applyFont="1" applyFill="1" applyProtection="1"/>
    <xf numFmtId="0" fontId="0" fillId="20" borderId="0" xfId="0" applyFill="1" applyProtection="1"/>
    <xf numFmtId="0" fontId="55" fillId="14" borderId="0" xfId="0" applyFont="1" applyFill="1" applyProtection="1"/>
    <xf numFmtId="0" fontId="38" fillId="29" borderId="0" xfId="0" applyFont="1" applyFill="1" applyAlignment="1" applyProtection="1">
      <alignment horizontal="center"/>
    </xf>
    <xf numFmtId="0" fontId="83" fillId="0" borderId="0" xfId="0" applyFont="1" applyProtection="1"/>
    <xf numFmtId="0" fontId="30" fillId="28" borderId="0" xfId="0" applyFont="1" applyFill="1" applyAlignment="1" applyProtection="1">
      <alignment horizontal="center"/>
    </xf>
    <xf numFmtId="0" fontId="84" fillId="14" borderId="0" xfId="0" applyFont="1" applyFill="1" applyProtection="1"/>
    <xf numFmtId="0" fontId="78" fillId="15" borderId="0" xfId="0" applyFont="1" applyFill="1" applyAlignment="1" applyProtection="1">
      <alignment horizontal="center"/>
    </xf>
    <xf numFmtId="0" fontId="86" fillId="14" borderId="0" xfId="0" applyFont="1" applyFill="1" applyProtection="1"/>
    <xf numFmtId="0" fontId="87" fillId="14" borderId="0" xfId="0" applyFont="1" applyFill="1" applyProtection="1"/>
    <xf numFmtId="0" fontId="70" fillId="28" borderId="0" xfId="0" applyFont="1" applyFill="1" applyProtection="1"/>
    <xf numFmtId="0" fontId="91" fillId="15" borderId="0" xfId="0" applyFont="1" applyFill="1" applyAlignment="1" applyProtection="1">
      <alignment horizontal="center"/>
    </xf>
    <xf numFmtId="0" fontId="93" fillId="15" borderId="0" xfId="0" applyFont="1" applyFill="1" applyAlignment="1" applyProtection="1">
      <alignment horizontal="center"/>
    </xf>
    <xf numFmtId="0" fontId="92" fillId="19" borderId="0" xfId="0" applyFont="1" applyFill="1" applyAlignment="1" applyProtection="1">
      <alignment horizontal="center"/>
      <protection locked="0"/>
    </xf>
  </cellXfs>
  <cellStyles count="1">
    <cellStyle name="Normal" xfId="0" builtinId="0"/>
  </cellStyles>
  <dxfs count="54">
    <dxf>
      <font>
        <color rgb="FFE65100"/>
      </font>
      <fill>
        <patternFill patternType="solid">
          <fgColor indexed="64"/>
          <bgColor rgb="FFFFF3E0"/>
        </patternFill>
      </fill>
    </dxf>
    <dxf>
      <font>
        <color rgb="FFC62828"/>
      </font>
      <fill>
        <patternFill patternType="solid">
          <fgColor indexed="64"/>
          <bgColor rgb="FFFCE4EC"/>
        </patternFill>
      </fill>
    </dxf>
    <dxf>
      <font>
        <color rgb="FFC0C0C0"/>
      </font>
    </dxf>
    <dxf>
      <font>
        <color rgb="FFC0C0C0"/>
      </font>
    </dxf>
    <dxf>
      <font>
        <color rgb="FFC0C0C0"/>
      </font>
    </dxf>
    <dxf>
      <font>
        <color rgb="FFC0C0C0"/>
      </font>
    </dxf>
    <dxf>
      <font>
        <color rgb="FFC0C0C0"/>
      </font>
    </dxf>
    <dxf>
      <font>
        <color rgb="FF2E7D32"/>
      </font>
      <fill>
        <patternFill patternType="solid">
          <fgColor indexed="64"/>
          <bgColor rgb="FFE8F5E9"/>
        </patternFill>
      </fill>
    </dxf>
    <dxf>
      <font>
        <color rgb="FFC62828"/>
      </font>
      <fill>
        <patternFill patternType="solid">
          <fgColor indexed="64"/>
          <bgColor rgb="FFFCE4EC"/>
        </patternFill>
      </fill>
    </dxf>
    <dxf>
      <font>
        <color rgb="FF2E7D32"/>
      </font>
      <fill>
        <patternFill patternType="solid">
          <fgColor indexed="64"/>
          <bgColor rgb="FFE8F5E9"/>
        </patternFill>
      </fill>
    </dxf>
    <dxf>
      <font>
        <color rgb="FFC62828"/>
      </font>
      <fill>
        <patternFill patternType="solid">
          <fgColor indexed="64"/>
          <bgColor rgb="FFFCE4EC"/>
        </patternFill>
      </fill>
    </dxf>
    <dxf>
      <font>
        <color rgb="FF2E7D32"/>
      </font>
      <fill>
        <patternFill patternType="solid">
          <fgColor indexed="64"/>
          <bgColor rgb="FFE8F5E9"/>
        </patternFill>
      </fill>
    </dxf>
    <dxf>
      <font>
        <color rgb="FFC62828"/>
      </font>
      <fill>
        <patternFill patternType="solid">
          <fgColor indexed="64"/>
          <bgColor rgb="FFFCE4EC"/>
        </patternFill>
      </fill>
    </dxf>
    <dxf>
      <font>
        <color rgb="FF2E7D32"/>
      </font>
      <fill>
        <patternFill patternType="solid">
          <fgColor indexed="64"/>
          <bgColor rgb="FFE8F5E9"/>
        </patternFill>
      </fill>
    </dxf>
    <dxf>
      <font>
        <color rgb="FFC62828"/>
      </font>
      <fill>
        <patternFill patternType="solid">
          <fgColor indexed="64"/>
          <bgColor rgb="FFFCE4EC"/>
        </patternFill>
      </fill>
    </dxf>
    <dxf>
      <font>
        <color rgb="FF2E7D32"/>
      </font>
      <fill>
        <patternFill patternType="solid">
          <fgColor indexed="64"/>
          <bgColor rgb="FFE8F5E9"/>
        </patternFill>
      </fill>
    </dxf>
    <dxf>
      <font>
        <color rgb="FFC62828"/>
      </font>
      <fill>
        <patternFill patternType="solid">
          <fgColor indexed="64"/>
          <bgColor rgb="FFFCE4EC"/>
        </patternFill>
      </fill>
    </dxf>
    <dxf>
      <font>
        <color rgb="FF2E7D32"/>
      </font>
      <fill>
        <patternFill patternType="solid">
          <fgColor indexed="64"/>
          <bgColor rgb="FFE8F5E9"/>
        </patternFill>
      </fill>
    </dxf>
    <dxf>
      <font>
        <color rgb="FFC62828"/>
      </font>
      <fill>
        <patternFill patternType="solid">
          <fgColor indexed="64"/>
          <bgColor rgb="FFFCE4EC"/>
        </patternFill>
      </fill>
    </dxf>
    <dxf>
      <font>
        <color rgb="FF2E7D32"/>
      </font>
      <fill>
        <patternFill patternType="solid">
          <fgColor indexed="64"/>
          <bgColor rgb="FFE8F5E9"/>
        </patternFill>
      </fill>
    </dxf>
    <dxf>
      <font>
        <color rgb="FFC62828"/>
      </font>
      <fill>
        <patternFill patternType="solid">
          <fgColor indexed="64"/>
          <bgColor rgb="FFFCE4EC"/>
        </patternFill>
      </fill>
    </dxf>
    <dxf>
      <font>
        <color rgb="FF2E7D32"/>
      </font>
      <fill>
        <patternFill patternType="solid">
          <fgColor indexed="64"/>
          <bgColor rgb="FFE8F5E9"/>
        </patternFill>
      </fill>
    </dxf>
    <dxf>
      <font>
        <color rgb="FFC62828"/>
      </font>
      <fill>
        <patternFill patternType="solid">
          <fgColor indexed="64"/>
          <bgColor rgb="FFFCE4EC"/>
        </patternFill>
      </fill>
    </dxf>
    <dxf>
      <font>
        <color rgb="FFC62828"/>
      </font>
      <fill>
        <patternFill patternType="solid">
          <fgColor indexed="64"/>
          <bgColor rgb="FFFCE4EC"/>
        </patternFill>
      </fill>
    </dxf>
    <dxf>
      <font>
        <color rgb="FFC62828"/>
      </font>
      <fill>
        <patternFill patternType="solid">
          <fgColor indexed="64"/>
          <bgColor rgb="FFFCE4EC"/>
        </patternFill>
      </fill>
    </dxf>
    <dxf>
      <font>
        <color rgb="FFC62828"/>
      </font>
      <fill>
        <patternFill patternType="solid">
          <fgColor indexed="64"/>
          <bgColor rgb="FFFCE4EC"/>
        </patternFill>
      </fill>
    </dxf>
    <dxf>
      <font>
        <color rgb="FFC62828"/>
      </font>
      <fill>
        <patternFill patternType="solid">
          <fgColor indexed="64"/>
          <bgColor rgb="FFFCE4EC"/>
        </patternFill>
      </fill>
    </dxf>
    <dxf>
      <font>
        <color rgb="FFC62828"/>
      </font>
      <fill>
        <patternFill patternType="solid">
          <fgColor indexed="64"/>
          <bgColor rgb="FFFCE4EC"/>
        </patternFill>
      </fill>
    </dxf>
    <dxf>
      <font>
        <color rgb="FFC62828"/>
      </font>
      <fill>
        <patternFill patternType="solid">
          <fgColor indexed="64"/>
          <bgColor rgb="FFFCE4EC"/>
        </patternFill>
      </fill>
    </dxf>
    <dxf>
      <font>
        <color rgb="FFC62828"/>
      </font>
      <fill>
        <patternFill patternType="solid">
          <fgColor indexed="64"/>
          <bgColor rgb="FFFCE4EC"/>
        </patternFill>
      </fill>
    </dxf>
    <dxf>
      <font>
        <color rgb="FFC62828"/>
      </font>
      <fill>
        <patternFill patternType="solid">
          <fgColor indexed="64"/>
          <bgColor rgb="FFFCE4EC"/>
        </patternFill>
      </fill>
    </dxf>
    <dxf>
      <font>
        <color rgb="FFC62828"/>
      </font>
      <fill>
        <patternFill patternType="solid">
          <fgColor indexed="64"/>
          <bgColor rgb="FFFCE4EC"/>
        </patternFill>
      </fill>
    </dxf>
    <dxf>
      <font>
        <color rgb="FFC62828"/>
      </font>
      <fill>
        <patternFill patternType="solid">
          <fgColor indexed="64"/>
          <bgColor rgb="FFFCE4EC"/>
        </patternFill>
      </fill>
    </dxf>
    <dxf>
      <font>
        <color rgb="FFC62828"/>
      </font>
      <fill>
        <patternFill patternType="solid">
          <fgColor indexed="64"/>
          <bgColor rgb="FFFCE4EC"/>
        </patternFill>
      </fill>
    </dxf>
    <dxf>
      <font>
        <color rgb="FF9C0006"/>
      </font>
      <fill>
        <patternFill patternType="solid">
          <fgColor indexed="64"/>
          <bgColor rgb="FFFFC7CE"/>
        </patternFill>
      </fill>
    </dxf>
    <dxf>
      <font>
        <color rgb="FF888888"/>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888888"/>
      </font>
    </dxf>
    <dxf>
      <font>
        <color rgb="FF006100"/>
      </font>
    </dxf>
    <dxf>
      <font>
        <color rgb="FF9C0006"/>
      </font>
      <fill>
        <patternFill patternType="solid">
          <fgColor indexed="64"/>
          <bgColor rgb="FFFFC7C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6500"/>
      </font>
      <fill>
        <patternFill patternType="solid">
          <fgColor indexed="64"/>
          <bgColor rgb="FFFFEB9C"/>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C62828"/>
      </font>
      <fill>
        <patternFill patternType="solid">
          <fgColor indexed="64"/>
          <bgColor rgb="FFFCE4EC"/>
        </patternFill>
      </fill>
    </dxf>
    <dxf>
      <font>
        <color rgb="FF2E7D32"/>
      </font>
      <fill>
        <patternFill patternType="solid">
          <fgColor indexed="64"/>
          <bgColor rgb="FFE8F5E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95C"/>
      <rgbColor rgb="FFCCCCCC"/>
      <rgbColor rgb="FF888888"/>
      <rgbColor rgb="FF9999FF"/>
      <rgbColor rgb="FF9C27B0"/>
      <rgbColor rgb="FFFFF2CC"/>
      <rgbColor rgb="FFE8F5E9"/>
      <rgbColor rgb="FF660066"/>
      <rgbColor rgb="FFF44336"/>
      <rgbColor rgb="FF0563C1"/>
      <rgbColor rgb="FFD6E4F0"/>
      <rgbColor rgb="FF000080"/>
      <rgbColor rgb="FFFF00FF"/>
      <rgbColor rgb="FFFFFF00"/>
      <rgbColor rgb="FF00FFFF"/>
      <rgbColor rgb="FF800080"/>
      <rgbColor rgb="FF800000"/>
      <rgbColor rgb="FF1565C0"/>
      <rgbColor rgb="FF0000FF"/>
      <rgbColor rgb="FF00CCFF"/>
      <rgbColor rgb="FFF2F2F2"/>
      <rgbColor rgb="FFCCFFCC"/>
      <rgbColor rgb="FFFFF3E0"/>
      <rgbColor rgb="FF99CCFF"/>
      <rgbColor rgb="FFFF99CC"/>
      <rgbColor rgb="FFCC99FF"/>
      <rgbColor rgb="FFFCE4EC"/>
      <rgbColor rgb="FF4472C4"/>
      <rgbColor rgb="FF33CCCC"/>
      <rgbColor rgb="FF99CC00"/>
      <rgbColor rgb="FFFFCC00"/>
      <rgbColor rgb="FFFF9800"/>
      <rgbColor rgb="FFE65100"/>
      <rgbColor rgb="FF607D8B"/>
      <rgbColor rgb="FF969696"/>
      <rgbColor rgb="FF1B3A5C"/>
      <rgbColor rgb="FF2E7D32"/>
      <rgbColor rgb="FF003300"/>
      <rgbColor rgb="FF333300"/>
      <rgbColor rgb="FFB71C1C"/>
      <rgbColor rgb="FFC62828"/>
      <rgbColor rgb="FF2C5F8A"/>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B3A5C"/>
                </a:solidFill>
                <a:latin typeface="+mn-lt"/>
                <a:ea typeface="+mn-ea"/>
                <a:cs typeface="+mn-cs"/>
              </a:defRPr>
            </a:pPr>
            <a:r>
              <a:rPr lang="en-US"/>
              <a:t>Pool Capacity Utilization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B3A5C"/>
              </a:solidFill>
              <a:latin typeface="+mn-lt"/>
              <a:ea typeface="+mn-ea"/>
              <a:cs typeface="+mn-cs"/>
            </a:defRPr>
          </a:pPr>
          <a:endParaRPr lang="en-US"/>
        </a:p>
      </c:txPr>
    </c:title>
    <c:autoTitleDeleted val="0"/>
    <c:plotArea>
      <c:layout/>
      <c:barChart>
        <c:barDir val="bar"/>
        <c:grouping val="percentStacked"/>
        <c:varyColors val="0"/>
        <c:ser>
          <c:idx val="0"/>
          <c:order val="0"/>
          <c:tx>
            <c:strRef>
              <c:f>'Final Report'!$C$26</c:f>
              <c:strCache>
                <c:ptCount val="1"/>
                <c:pt idx="0">
                  <c:v>Used</c:v>
                </c:pt>
              </c:strCache>
            </c:strRef>
          </c:tx>
          <c:spPr>
            <a:solidFill>
              <a:srgbClr val="C0504D"/>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FFFF"/>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'Final Report'!$B$27</c:f>
              <c:strCache>
                <c:ptCount val="1"/>
                <c:pt idx="0">
                  <c:v>Pool Capacity</c:v>
                </c:pt>
              </c:strCache>
            </c:strRef>
          </c:cat>
          <c:val>
            <c:numRef>
              <c:f>'Final Report'!$C$27</c:f>
              <c:numCache>
                <c:formatCode>0.00</c:formatCode>
                <c:ptCount val="1"/>
                <c:pt idx="0">
                  <c:v>85.31</c:v>
                </c:pt>
              </c:numCache>
            </c:numRef>
          </c:val>
          <c:extLst>
            <c:ext xmlns:c16="http://schemas.microsoft.com/office/drawing/2014/chart" uri="{C3380CC4-5D6E-409C-BE32-E72D297353CC}">
              <c16:uniqueId val="{00000000-54D1-4F4B-94FE-FE0861B9E71A}"/>
            </c:ext>
          </c:extLst>
        </c:ser>
        <c:ser>
          <c:idx val="1"/>
          <c:order val="1"/>
          <c:tx>
            <c:strRef>
              <c:f>'Final Report'!$D$26</c:f>
              <c:strCache>
                <c:ptCount val="1"/>
                <c:pt idx="0">
                  <c:v>Remaining</c:v>
                </c:pt>
              </c:strCache>
            </c:strRef>
          </c:tx>
          <c:spPr>
            <a:solidFill>
              <a:srgbClr val="9BBB59"/>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FFFFFF"/>
                    </a:solidFill>
                    <a:latin typeface="+mn-lt"/>
                    <a:ea typeface="+mn-ea"/>
                    <a:cs typeface="+mn-cs"/>
                  </a:defRPr>
                </a:pPr>
                <a:endParaRPr lang="en-US"/>
              </a:p>
            </c:txPr>
            <c:showLegendKey val="0"/>
            <c:showVal val="1"/>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'Final Report'!$B$27</c:f>
              <c:strCache>
                <c:ptCount val="1"/>
                <c:pt idx="0">
                  <c:v>Pool Capacity</c:v>
                </c:pt>
              </c:strCache>
            </c:strRef>
          </c:cat>
          <c:val>
            <c:numRef>
              <c:f>'Final Report'!$D$27</c:f>
              <c:numCache>
                <c:formatCode>0.00</c:formatCode>
                <c:ptCount val="1"/>
                <c:pt idx="0">
                  <c:v>0</c:v>
                </c:pt>
              </c:numCache>
            </c:numRef>
          </c:val>
          <c:extLst>
            <c:ext xmlns:c16="http://schemas.microsoft.com/office/drawing/2014/chart" uri="{C3380CC4-5D6E-409C-BE32-E72D297353CC}">
              <c16:uniqueId val="{00000001-54D1-4F4B-94FE-FE0861B9E71A}"/>
            </c:ext>
          </c:extLst>
        </c:ser>
        <c:dLbls>
          <c:showLegendKey val="0"/>
          <c:showVal val="0"/>
          <c:showCatName val="0"/>
          <c:showSerName val="0"/>
          <c:showPercent val="0"/>
          <c:showBubbleSize val="0"/>
        </c:dLbls>
        <c:gapWidth val="150"/>
        <c:overlap val="100"/>
        <c:axId val="1340404271"/>
        <c:axId val="1340406191"/>
      </c:barChart>
      <c:catAx>
        <c:axId val="13404042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0406191"/>
        <c:crosses val="autoZero"/>
        <c:auto val="1"/>
        <c:lblAlgn val="ctr"/>
        <c:lblOffset val="100"/>
        <c:noMultiLvlLbl val="0"/>
      </c:catAx>
      <c:valAx>
        <c:axId val="1340406191"/>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04042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206375</xdr:colOff>
      <xdr:row>27</xdr:row>
      <xdr:rowOff>0</xdr:rowOff>
    </xdr:from>
    <xdr:to>
      <xdr:col>4</xdr:col>
      <xdr:colOff>682625</xdr:colOff>
      <xdr:row>35</xdr:row>
      <xdr:rowOff>0</xdr:rowOff>
    </xdr:to>
    <xdr:graphicFrame macro="">
      <xdr:nvGraphicFramePr>
        <xdr:cNvPr id="3" name="Chart 2">
          <a:extLst>
            <a:ext uri="{FF2B5EF4-FFF2-40B4-BE49-F238E27FC236}">
              <a16:creationId xmlns:a16="http://schemas.microsoft.com/office/drawing/2014/main" id="{D743B70B-026B-358A-0F1D-211DEFAC31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D17E352-A4A0-4D33-BC08-85BCD6DF4DC0}">
  <we:reference id="wa200009404" version="1.0.0.5" store="en-US" storeType="OMEX"/>
  <we:alternateReferences>
    <we:reference id="WA200009404" version="1.0.0.5" store="WA200009404" storeType="OMEX"/>
  </we:alternateReferences>
  <we:properties/>
  <we:bindings/>
  <we:snapshot xmlns:r="http://schemas.openxmlformats.org/officeDocument/2006/relationships"/>
</we:webextension>
</file>

<file path=xl/worksheets/_rels/sheet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8" Type="http://schemas.openxmlformats.org/officeDocument/2006/relationships/hyperlink" Target="https://learn.microsoft.com/en-us/azure/architecture/hybrid/azure-local-baseline" TargetMode="External"/><Relationship Id="rId3" Type="http://schemas.openxmlformats.org/officeDocument/2006/relationships/hyperlink" Target="https://learn.microsoft.com/en-us/windows-server/storage/storage-spaces/storage-spaces-direct-overview" TargetMode="External"/><Relationship Id="rId7" Type="http://schemas.openxmlformats.org/officeDocument/2006/relationships/hyperlink" Target="https://learn.microsoft.com/en-us/azure-stack/hci/manage/thin-provisioning" TargetMode="External"/><Relationship Id="rId2" Type="http://schemas.openxmlformats.org/officeDocument/2006/relationships/hyperlink" Target="https://learn.microsoft.com/en-us/windows-server/storage/storage-spaces/fault-tolerance" TargetMode="External"/><Relationship Id="rId1" Type="http://schemas.openxmlformats.org/officeDocument/2006/relationships/hyperlink" Target="https://learn.microsoft.com/en-us/windows-server/storage/storage-spaces/plan-volumes" TargetMode="External"/><Relationship Id="rId6" Type="http://schemas.openxmlformats.org/officeDocument/2006/relationships/hyperlink" Target="https://learn.microsoft.com/en-us/windows-server/storage/storage-spaces/nested-resiliency" TargetMode="External"/><Relationship Id="rId5" Type="http://schemas.openxmlformats.org/officeDocument/2006/relationships/hyperlink" Target="https://learn.microsoft.com/en-us/windows-server/storage/storage-spaces/cache" TargetMode="External"/><Relationship Id="rId10" Type="http://schemas.openxmlformats.org/officeDocument/2006/relationships/hyperlink" Target="https://learn.microsoft.com/en-us/azure/well-architected/service-guides/azure-local" TargetMode="External"/><Relationship Id="rId4" Type="http://schemas.openxmlformats.org/officeDocument/2006/relationships/hyperlink" Target="https://learn.microsoft.com/en-us/windows-server/storage/storage-spaces/storage-spaces-direct-hardware-requirements" TargetMode="External"/><Relationship Id="rId9" Type="http://schemas.openxmlformats.org/officeDocument/2006/relationships/hyperlink" Target="https://learn.microsoft.com/en-us/azure/azure-local/deploy/deploy-via-portal"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565C0"/>
  </sheetPr>
  <dimension ref="A1:Z500"/>
  <sheetViews>
    <sheetView zoomScaleNormal="100" workbookViewId="0">
      <selection activeCell="C1" sqref="C1"/>
    </sheetView>
  </sheetViews>
  <sheetFormatPr defaultColWidth="8.7109375" defaultRowHeight="15" x14ac:dyDescent="0.25"/>
  <cols>
    <col min="1" max="1" width="3" customWidth="1"/>
    <col min="2" max="2" width="2.5703125" bestFit="1" customWidth="1"/>
    <col min="3" max="3" width="24.42578125" bestFit="1" customWidth="1"/>
    <col min="4" max="4" width="94.85546875" bestFit="1" customWidth="1"/>
  </cols>
  <sheetData>
    <row r="1" spans="1:26" x14ac:dyDescent="0.25">
      <c r="A1" s="46"/>
      <c r="B1" s="46"/>
      <c r="C1" s="46"/>
      <c r="D1" s="46"/>
      <c r="E1" s="46"/>
      <c r="F1" s="46"/>
      <c r="G1" s="46"/>
      <c r="H1" s="46"/>
      <c r="I1" s="46"/>
      <c r="J1" s="46"/>
      <c r="K1" s="46"/>
      <c r="L1" s="46"/>
      <c r="M1" s="46"/>
      <c r="N1" s="46"/>
      <c r="O1" s="46"/>
      <c r="P1" s="46"/>
      <c r="Q1" s="46"/>
      <c r="R1" s="46"/>
      <c r="S1" s="46"/>
      <c r="T1" s="46"/>
      <c r="U1" s="46"/>
      <c r="V1" s="46"/>
      <c r="W1" s="46"/>
      <c r="X1" s="46"/>
      <c r="Y1" s="46"/>
      <c r="Z1" s="46"/>
    </row>
    <row r="2" spans="1:26" ht="18" x14ac:dyDescent="0.25">
      <c r="A2" s="46"/>
      <c r="B2" s="43" t="s">
        <v>856</v>
      </c>
      <c r="C2" s="44"/>
      <c r="D2" s="44"/>
      <c r="E2" s="46"/>
      <c r="F2" s="46"/>
      <c r="G2" s="46"/>
      <c r="H2" s="46"/>
      <c r="I2" s="46"/>
      <c r="J2" s="46"/>
      <c r="K2" s="46"/>
      <c r="L2" s="46"/>
      <c r="M2" s="46"/>
      <c r="N2" s="46"/>
      <c r="O2" s="46"/>
      <c r="P2" s="46"/>
      <c r="Q2" s="46"/>
      <c r="R2" s="46"/>
      <c r="S2" s="46"/>
      <c r="T2" s="46"/>
      <c r="U2" s="46"/>
      <c r="V2" s="46"/>
      <c r="W2" s="46"/>
      <c r="X2" s="46"/>
      <c r="Y2" s="46"/>
      <c r="Z2" s="46"/>
    </row>
    <row r="3" spans="1:26" x14ac:dyDescent="0.25">
      <c r="A3" s="46"/>
      <c r="B3" s="45" t="s">
        <v>0</v>
      </c>
      <c r="C3" s="45"/>
      <c r="D3" s="45"/>
      <c r="E3" s="46"/>
      <c r="F3" s="46"/>
      <c r="G3" s="46"/>
      <c r="H3" s="46"/>
      <c r="I3" s="46"/>
      <c r="J3" s="46"/>
      <c r="K3" s="46"/>
      <c r="L3" s="46"/>
      <c r="M3" s="46"/>
      <c r="N3" s="46"/>
      <c r="O3" s="46"/>
      <c r="P3" s="46"/>
      <c r="Q3" s="46"/>
      <c r="R3" s="46"/>
      <c r="S3" s="46"/>
      <c r="T3" s="46"/>
      <c r="U3" s="46"/>
      <c r="V3" s="46"/>
      <c r="W3" s="46"/>
      <c r="X3" s="46"/>
      <c r="Y3" s="46"/>
      <c r="Z3" s="46"/>
    </row>
    <row r="4" spans="1:26" x14ac:dyDescent="0.25">
      <c r="A4" s="46"/>
      <c r="B4" s="46"/>
      <c r="C4" s="46"/>
      <c r="D4" s="46"/>
      <c r="E4" s="46"/>
      <c r="F4" s="46"/>
      <c r="G4" s="46"/>
      <c r="H4" s="46"/>
      <c r="I4" s="46"/>
      <c r="J4" s="46"/>
      <c r="K4" s="46"/>
      <c r="L4" s="46"/>
      <c r="M4" s="46"/>
      <c r="N4" s="46"/>
      <c r="O4" s="46"/>
      <c r="P4" s="46"/>
      <c r="Q4" s="46"/>
      <c r="R4" s="46"/>
      <c r="S4" s="46"/>
      <c r="T4" s="46"/>
      <c r="U4" s="46"/>
      <c r="V4" s="46"/>
      <c r="W4" s="46"/>
      <c r="X4" s="46"/>
      <c r="Y4" s="46"/>
      <c r="Z4" s="46"/>
    </row>
    <row r="5" spans="1:26" ht="49.5" customHeight="1" x14ac:dyDescent="0.25">
      <c r="A5" s="46"/>
      <c r="B5" s="92" t="s">
        <v>1</v>
      </c>
      <c r="C5" s="92"/>
      <c r="D5" s="92"/>
      <c r="E5" s="46"/>
      <c r="F5" s="46"/>
      <c r="G5" s="46"/>
      <c r="H5" s="46"/>
      <c r="I5" s="46"/>
      <c r="J5" s="46"/>
      <c r="K5" s="46"/>
      <c r="L5" s="46"/>
      <c r="M5" s="46"/>
      <c r="N5" s="46"/>
      <c r="O5" s="46"/>
      <c r="P5" s="46"/>
      <c r="Q5" s="46"/>
      <c r="R5" s="46"/>
      <c r="S5" s="46"/>
      <c r="T5" s="46"/>
      <c r="U5" s="46"/>
      <c r="V5" s="46"/>
      <c r="W5" s="46"/>
      <c r="X5" s="46"/>
      <c r="Y5" s="46"/>
      <c r="Z5" s="46"/>
    </row>
    <row r="6" spans="1:26" x14ac:dyDescent="0.25">
      <c r="A6" s="46"/>
      <c r="B6" s="46"/>
      <c r="C6" s="46"/>
      <c r="D6" s="46"/>
      <c r="E6" s="46"/>
      <c r="F6" s="46"/>
      <c r="G6" s="46"/>
      <c r="H6" s="46"/>
      <c r="I6" s="46"/>
      <c r="J6" s="46"/>
      <c r="K6" s="46"/>
      <c r="L6" s="46"/>
      <c r="M6" s="46"/>
      <c r="N6" s="46"/>
      <c r="O6" s="46"/>
      <c r="P6" s="46"/>
      <c r="Q6" s="46"/>
      <c r="R6" s="46"/>
      <c r="S6" s="46"/>
      <c r="T6" s="46"/>
      <c r="U6" s="46"/>
      <c r="V6" s="46"/>
      <c r="W6" s="46"/>
      <c r="X6" s="46"/>
      <c r="Y6" s="46"/>
      <c r="Z6" s="46"/>
    </row>
    <row r="7" spans="1:26" ht="16.5" x14ac:dyDescent="0.25">
      <c r="A7" s="46"/>
      <c r="B7" s="93" t="s">
        <v>2</v>
      </c>
      <c r="C7" s="93"/>
      <c r="D7" s="93"/>
      <c r="E7" s="46"/>
      <c r="F7" s="46"/>
      <c r="G7" s="46"/>
      <c r="H7" s="46"/>
      <c r="I7" s="46"/>
      <c r="J7" s="46"/>
      <c r="K7" s="46"/>
      <c r="L7" s="46"/>
      <c r="M7" s="46"/>
      <c r="N7" s="46"/>
      <c r="O7" s="46"/>
      <c r="P7" s="46"/>
      <c r="Q7" s="46"/>
      <c r="R7" s="46"/>
      <c r="S7" s="46"/>
      <c r="T7" s="46"/>
      <c r="U7" s="46"/>
      <c r="V7" s="46"/>
      <c r="W7" s="46"/>
      <c r="X7" s="46"/>
      <c r="Y7" s="46"/>
      <c r="Z7" s="46"/>
    </row>
    <row r="8" spans="1:26" ht="51.75" customHeight="1" x14ac:dyDescent="0.25">
      <c r="A8" s="46"/>
      <c r="B8" s="51"/>
      <c r="C8" s="94" t="s">
        <v>3</v>
      </c>
      <c r="D8" s="95" t="s">
        <v>4</v>
      </c>
      <c r="E8" s="46"/>
      <c r="F8" s="46"/>
      <c r="G8" s="46"/>
      <c r="H8" s="46"/>
      <c r="I8" s="46"/>
      <c r="J8" s="46"/>
      <c r="K8" s="46"/>
      <c r="L8" s="46"/>
      <c r="M8" s="46"/>
      <c r="N8" s="46"/>
      <c r="O8" s="46"/>
      <c r="P8" s="46"/>
      <c r="Q8" s="46"/>
      <c r="R8" s="46"/>
      <c r="S8" s="46"/>
      <c r="T8" s="46"/>
      <c r="U8" s="46"/>
      <c r="V8" s="46"/>
      <c r="W8" s="46"/>
      <c r="X8" s="46"/>
      <c r="Y8" s="46"/>
      <c r="Z8" s="46"/>
    </row>
    <row r="9" spans="1:26" ht="51.75" customHeight="1" x14ac:dyDescent="0.25">
      <c r="A9" s="46"/>
      <c r="B9" s="51"/>
      <c r="C9" s="96" t="s">
        <v>5</v>
      </c>
      <c r="D9" s="97" t="s">
        <v>825</v>
      </c>
      <c r="E9" s="46"/>
      <c r="F9" s="46"/>
      <c r="G9" s="46"/>
      <c r="H9" s="46"/>
      <c r="I9" s="46"/>
      <c r="J9" s="46"/>
      <c r="K9" s="46"/>
      <c r="L9" s="46"/>
      <c r="M9" s="46"/>
      <c r="N9" s="46"/>
      <c r="O9" s="46"/>
      <c r="P9" s="46"/>
      <c r="Q9" s="46"/>
      <c r="R9" s="46"/>
      <c r="S9" s="46"/>
      <c r="T9" s="46"/>
      <c r="U9" s="46"/>
      <c r="V9" s="46"/>
      <c r="W9" s="46"/>
      <c r="X9" s="46"/>
      <c r="Y9" s="46"/>
      <c r="Z9" s="46"/>
    </row>
    <row r="10" spans="1:26" ht="51.75" customHeight="1" x14ac:dyDescent="0.25">
      <c r="A10" s="46"/>
      <c r="B10" s="51"/>
      <c r="C10" s="96" t="s">
        <v>6</v>
      </c>
      <c r="D10" s="98" t="s">
        <v>7</v>
      </c>
      <c r="E10" s="46"/>
      <c r="F10" s="46"/>
      <c r="G10" s="46"/>
      <c r="H10" s="46"/>
      <c r="I10" s="46"/>
      <c r="J10" s="46"/>
      <c r="K10" s="46"/>
      <c r="L10" s="46"/>
      <c r="M10" s="46"/>
      <c r="N10" s="46"/>
      <c r="O10" s="46"/>
      <c r="P10" s="46"/>
      <c r="Q10" s="46"/>
      <c r="R10" s="46"/>
      <c r="S10" s="46"/>
      <c r="T10" s="46"/>
      <c r="U10" s="46"/>
      <c r="V10" s="46"/>
      <c r="W10" s="46"/>
      <c r="X10" s="46"/>
      <c r="Y10" s="46"/>
      <c r="Z10" s="46"/>
    </row>
    <row r="11" spans="1:26" x14ac:dyDescent="0.25">
      <c r="A11" s="46"/>
      <c r="B11" s="46"/>
      <c r="C11" s="46"/>
      <c r="D11" s="46"/>
      <c r="E11" s="46"/>
      <c r="F11" s="46"/>
      <c r="G11" s="46"/>
      <c r="H11" s="46"/>
      <c r="I11" s="46"/>
      <c r="J11" s="46"/>
      <c r="K11" s="46"/>
      <c r="L11" s="46"/>
      <c r="M11" s="46"/>
      <c r="N11" s="46"/>
      <c r="O11" s="46"/>
      <c r="P11" s="46"/>
      <c r="Q11" s="46"/>
      <c r="R11" s="46"/>
      <c r="S11" s="46"/>
      <c r="T11" s="46"/>
      <c r="U11" s="46"/>
      <c r="V11" s="46"/>
      <c r="W11" s="46"/>
      <c r="X11" s="46"/>
      <c r="Y11" s="46"/>
      <c r="Z11" s="46"/>
    </row>
    <row r="12" spans="1:26" x14ac:dyDescent="0.25">
      <c r="A12" s="46"/>
      <c r="B12" s="45" t="s">
        <v>8</v>
      </c>
      <c r="C12" s="45"/>
      <c r="D12" s="45"/>
      <c r="E12" s="46"/>
      <c r="F12" s="46"/>
      <c r="G12" s="46"/>
      <c r="H12" s="46"/>
      <c r="I12" s="46"/>
      <c r="J12" s="46"/>
      <c r="K12" s="46"/>
      <c r="L12" s="46"/>
      <c r="M12" s="46"/>
      <c r="N12" s="46"/>
      <c r="O12" s="46"/>
      <c r="P12" s="46"/>
      <c r="Q12" s="46"/>
      <c r="R12" s="46"/>
      <c r="S12" s="46"/>
      <c r="T12" s="46"/>
      <c r="U12" s="46"/>
      <c r="V12" s="46"/>
      <c r="W12" s="46"/>
      <c r="X12" s="46"/>
      <c r="Y12" s="46"/>
      <c r="Z12" s="46"/>
    </row>
    <row r="13" spans="1:26" ht="27.75" customHeight="1" x14ac:dyDescent="0.25">
      <c r="A13" s="46"/>
      <c r="B13" s="99"/>
      <c r="C13" s="49" t="s">
        <v>9</v>
      </c>
      <c r="D13" s="100" t="s">
        <v>10</v>
      </c>
      <c r="E13" s="46"/>
      <c r="F13" s="46"/>
      <c r="G13" s="46"/>
      <c r="H13" s="46"/>
      <c r="I13" s="46"/>
      <c r="J13" s="46"/>
      <c r="K13" s="46"/>
      <c r="L13" s="46"/>
      <c r="M13" s="46"/>
      <c r="N13" s="46"/>
      <c r="O13" s="46"/>
      <c r="P13" s="46"/>
      <c r="Q13" s="46"/>
      <c r="R13" s="46"/>
      <c r="S13" s="46"/>
      <c r="T13" s="46"/>
      <c r="U13" s="46"/>
      <c r="V13" s="46"/>
      <c r="W13" s="46"/>
      <c r="X13" s="46"/>
      <c r="Y13" s="46"/>
      <c r="Z13" s="46"/>
    </row>
    <row r="14" spans="1:26" ht="27.75" customHeight="1" x14ac:dyDescent="0.25">
      <c r="A14" s="46"/>
      <c r="B14" s="57"/>
      <c r="C14" s="94" t="s">
        <v>11</v>
      </c>
      <c r="D14" s="100" t="s">
        <v>12</v>
      </c>
      <c r="E14" s="46"/>
      <c r="F14" s="46"/>
      <c r="G14" s="46"/>
      <c r="H14" s="46"/>
      <c r="I14" s="46"/>
      <c r="J14" s="46"/>
      <c r="K14" s="46"/>
      <c r="L14" s="46"/>
      <c r="M14" s="46"/>
      <c r="N14" s="46"/>
      <c r="O14" s="46"/>
      <c r="P14" s="46"/>
      <c r="Q14" s="46"/>
      <c r="R14" s="46"/>
      <c r="S14" s="46"/>
      <c r="T14" s="46"/>
      <c r="U14" s="46"/>
      <c r="V14" s="46"/>
      <c r="W14" s="46"/>
      <c r="X14" s="46"/>
      <c r="Y14" s="46"/>
      <c r="Z14" s="46"/>
    </row>
    <row r="15" spans="1:26" ht="27.75" customHeight="1" x14ac:dyDescent="0.25">
      <c r="A15" s="46"/>
      <c r="B15" s="101"/>
      <c r="C15" s="102" t="s">
        <v>13</v>
      </c>
      <c r="D15" s="100" t="s">
        <v>14</v>
      </c>
      <c r="E15" s="46"/>
      <c r="F15" s="46"/>
      <c r="G15" s="46"/>
      <c r="H15" s="46"/>
      <c r="I15" s="46"/>
      <c r="J15" s="46"/>
      <c r="K15" s="46"/>
      <c r="L15" s="46"/>
      <c r="M15" s="46"/>
      <c r="N15" s="46"/>
      <c r="O15" s="46"/>
      <c r="P15" s="46"/>
      <c r="Q15" s="46"/>
      <c r="R15" s="46"/>
      <c r="S15" s="46"/>
      <c r="T15" s="46"/>
      <c r="U15" s="46"/>
      <c r="V15" s="46"/>
      <c r="W15" s="46"/>
      <c r="X15" s="46"/>
      <c r="Y15" s="46"/>
      <c r="Z15" s="46"/>
    </row>
    <row r="16" spans="1:26" ht="27.75" customHeight="1" x14ac:dyDescent="0.25">
      <c r="A16" s="46"/>
      <c r="B16" s="103"/>
      <c r="C16" s="104" t="s">
        <v>15</v>
      </c>
      <c r="D16" s="100" t="s">
        <v>16</v>
      </c>
      <c r="E16" s="46"/>
      <c r="F16" s="46"/>
      <c r="G16" s="46"/>
      <c r="H16" s="46"/>
      <c r="I16" s="46"/>
      <c r="J16" s="46"/>
      <c r="K16" s="46"/>
      <c r="L16" s="46"/>
      <c r="M16" s="46"/>
      <c r="N16" s="46"/>
      <c r="O16" s="46"/>
      <c r="P16" s="46"/>
      <c r="Q16" s="46"/>
      <c r="R16" s="46"/>
      <c r="S16" s="46"/>
      <c r="T16" s="46"/>
      <c r="U16" s="46"/>
      <c r="V16" s="46"/>
      <c r="W16" s="46"/>
      <c r="X16" s="46"/>
      <c r="Y16" s="46"/>
      <c r="Z16" s="46"/>
    </row>
    <row r="17" spans="1:26" ht="27.75" customHeight="1" x14ac:dyDescent="0.25">
      <c r="A17" s="46"/>
      <c r="B17" s="105"/>
      <c r="C17" s="106" t="s">
        <v>17</v>
      </c>
      <c r="D17" s="100" t="s">
        <v>18</v>
      </c>
      <c r="E17" s="46"/>
      <c r="F17" s="46"/>
      <c r="G17" s="46"/>
      <c r="H17" s="46"/>
      <c r="I17" s="46"/>
      <c r="J17" s="46"/>
      <c r="K17" s="46"/>
      <c r="L17" s="46"/>
      <c r="M17" s="46"/>
      <c r="N17" s="46"/>
      <c r="O17" s="46"/>
      <c r="P17" s="46"/>
      <c r="Q17" s="46"/>
      <c r="R17" s="46"/>
      <c r="S17" s="46"/>
      <c r="T17" s="46"/>
      <c r="U17" s="46"/>
      <c r="V17" s="46"/>
      <c r="W17" s="46"/>
      <c r="X17" s="46"/>
      <c r="Y17" s="46"/>
      <c r="Z17" s="46"/>
    </row>
    <row r="18" spans="1:26" ht="27.75" customHeight="1" x14ac:dyDescent="0.25">
      <c r="A18" s="46"/>
      <c r="B18" s="48"/>
      <c r="C18" s="107" t="s">
        <v>19</v>
      </c>
      <c r="D18" s="100" t="s">
        <v>20</v>
      </c>
      <c r="E18" s="46"/>
      <c r="F18" s="46"/>
      <c r="G18" s="46"/>
      <c r="H18" s="46"/>
      <c r="I18" s="46"/>
      <c r="J18" s="46"/>
      <c r="K18" s="46"/>
      <c r="L18" s="46"/>
      <c r="M18" s="46"/>
      <c r="N18" s="46"/>
      <c r="O18" s="46"/>
      <c r="P18" s="46"/>
      <c r="Q18" s="46"/>
      <c r="R18" s="46"/>
      <c r="S18" s="46"/>
      <c r="T18" s="46"/>
      <c r="U18" s="46"/>
      <c r="V18" s="46"/>
      <c r="W18" s="46"/>
      <c r="X18" s="46"/>
      <c r="Y18" s="46"/>
      <c r="Z18" s="46"/>
    </row>
    <row r="19" spans="1:26" x14ac:dyDescent="0.25">
      <c r="A19" s="46"/>
      <c r="B19" s="46"/>
      <c r="C19" s="46"/>
      <c r="D19" s="46"/>
      <c r="E19" s="46"/>
      <c r="F19" s="46"/>
      <c r="G19" s="46"/>
      <c r="H19" s="46"/>
      <c r="I19" s="46"/>
      <c r="J19" s="46"/>
      <c r="K19" s="46"/>
      <c r="L19" s="46"/>
      <c r="M19" s="46"/>
      <c r="N19" s="46"/>
      <c r="O19" s="46"/>
      <c r="P19" s="46"/>
      <c r="Q19" s="46"/>
      <c r="R19" s="46"/>
      <c r="S19" s="46"/>
      <c r="T19" s="46"/>
      <c r="U19" s="46"/>
      <c r="V19" s="46"/>
      <c r="W19" s="46"/>
      <c r="X19" s="46"/>
      <c r="Y19" s="46"/>
      <c r="Z19" s="46"/>
    </row>
    <row r="20" spans="1:26" x14ac:dyDescent="0.25">
      <c r="A20" s="46"/>
      <c r="B20" s="45" t="s">
        <v>21</v>
      </c>
      <c r="C20" s="45"/>
      <c r="D20" s="45"/>
      <c r="E20" s="46"/>
      <c r="F20" s="46"/>
      <c r="G20" s="46"/>
      <c r="H20" s="46"/>
      <c r="I20" s="46"/>
      <c r="J20" s="46"/>
      <c r="K20" s="46"/>
      <c r="L20" s="46"/>
      <c r="M20" s="46"/>
      <c r="N20" s="46"/>
      <c r="O20" s="46"/>
      <c r="P20" s="46"/>
      <c r="Q20" s="46"/>
      <c r="R20" s="46"/>
      <c r="S20" s="46"/>
      <c r="T20" s="46"/>
      <c r="U20" s="46"/>
      <c r="V20" s="46"/>
      <c r="W20" s="46"/>
      <c r="X20" s="46"/>
      <c r="Y20" s="46"/>
      <c r="Z20" s="46"/>
    </row>
    <row r="21" spans="1:26" ht="54.75" customHeight="1" x14ac:dyDescent="0.25">
      <c r="A21" s="46"/>
      <c r="B21" s="51"/>
      <c r="C21" s="108" t="s">
        <v>22</v>
      </c>
      <c r="D21" s="109" t="s">
        <v>23</v>
      </c>
      <c r="E21" s="46"/>
      <c r="F21" s="46"/>
      <c r="G21" s="46"/>
      <c r="H21" s="46"/>
      <c r="I21" s="46"/>
      <c r="J21" s="46"/>
      <c r="K21" s="46"/>
      <c r="L21" s="46"/>
      <c r="M21" s="46"/>
      <c r="N21" s="46"/>
      <c r="O21" s="46"/>
      <c r="P21" s="46"/>
      <c r="Q21" s="46"/>
      <c r="R21" s="46"/>
      <c r="S21" s="46"/>
      <c r="T21" s="46"/>
      <c r="U21" s="46"/>
      <c r="V21" s="46"/>
      <c r="W21" s="46"/>
      <c r="X21" s="46"/>
      <c r="Y21" s="46"/>
      <c r="Z21" s="46"/>
    </row>
    <row r="22" spans="1:26" ht="54.75" customHeight="1" x14ac:dyDescent="0.25">
      <c r="A22" s="46"/>
      <c r="B22" s="51"/>
      <c r="C22" s="108" t="s">
        <v>900</v>
      </c>
      <c r="D22" s="109" t="s">
        <v>926</v>
      </c>
      <c r="E22" s="46"/>
      <c r="F22" s="46"/>
      <c r="G22" s="46"/>
      <c r="H22" s="46"/>
      <c r="I22" s="46"/>
      <c r="J22" s="46"/>
      <c r="K22" s="46"/>
      <c r="L22" s="46"/>
      <c r="M22" s="46"/>
      <c r="N22" s="46"/>
      <c r="O22" s="46"/>
      <c r="P22" s="46"/>
      <c r="Q22" s="46"/>
      <c r="R22" s="46"/>
      <c r="S22" s="46"/>
      <c r="T22" s="46"/>
      <c r="U22" s="46"/>
      <c r="V22" s="46"/>
      <c r="W22" s="46"/>
      <c r="X22" s="46"/>
      <c r="Y22" s="46"/>
      <c r="Z22" s="46"/>
    </row>
    <row r="23" spans="1:26" ht="54.75" customHeight="1" x14ac:dyDescent="0.25">
      <c r="A23" s="46"/>
      <c r="B23" s="51"/>
      <c r="C23" s="108" t="s">
        <v>901</v>
      </c>
      <c r="D23" s="109" t="s">
        <v>824</v>
      </c>
      <c r="E23" s="46"/>
      <c r="F23" s="46"/>
      <c r="G23" s="46"/>
      <c r="H23" s="46"/>
      <c r="I23" s="46"/>
      <c r="J23" s="46"/>
      <c r="K23" s="46"/>
      <c r="L23" s="46"/>
      <c r="M23" s="46"/>
      <c r="N23" s="46"/>
      <c r="O23" s="46"/>
      <c r="P23" s="46"/>
      <c r="Q23" s="46"/>
      <c r="R23" s="46"/>
      <c r="S23" s="46"/>
      <c r="T23" s="46"/>
      <c r="U23" s="46"/>
      <c r="V23" s="46"/>
      <c r="W23" s="46"/>
      <c r="X23" s="46"/>
      <c r="Y23" s="46"/>
      <c r="Z23" s="46"/>
    </row>
    <row r="24" spans="1:26" ht="54.75" customHeight="1" x14ac:dyDescent="0.25">
      <c r="A24" s="46"/>
      <c r="B24" s="51"/>
      <c r="C24" s="108" t="s">
        <v>902</v>
      </c>
      <c r="D24" s="110" t="s">
        <v>906</v>
      </c>
      <c r="E24" s="46"/>
      <c r="F24" s="46"/>
      <c r="G24" s="46"/>
      <c r="H24" s="46"/>
      <c r="I24" s="46"/>
      <c r="J24" s="46"/>
      <c r="K24" s="46"/>
      <c r="L24" s="46"/>
      <c r="M24" s="46"/>
      <c r="N24" s="46"/>
      <c r="O24" s="46"/>
      <c r="P24" s="46"/>
      <c r="Q24" s="46"/>
      <c r="R24" s="46"/>
      <c r="S24" s="46"/>
      <c r="T24" s="46"/>
      <c r="U24" s="46"/>
      <c r="V24" s="46"/>
      <c r="W24" s="46"/>
      <c r="X24" s="46"/>
      <c r="Y24" s="46"/>
      <c r="Z24" s="46"/>
    </row>
    <row r="25" spans="1:26" ht="54.75" customHeight="1" x14ac:dyDescent="0.25">
      <c r="A25" s="46"/>
      <c r="B25" s="51"/>
      <c r="C25" s="108" t="s">
        <v>903</v>
      </c>
      <c r="D25" s="110" t="s">
        <v>907</v>
      </c>
      <c r="E25" s="46"/>
      <c r="F25" s="46"/>
      <c r="G25" s="46"/>
      <c r="H25" s="46"/>
      <c r="I25" s="46"/>
      <c r="J25" s="46"/>
      <c r="K25" s="46"/>
      <c r="L25" s="46"/>
      <c r="M25" s="46"/>
      <c r="N25" s="46"/>
      <c r="O25" s="46"/>
      <c r="P25" s="46"/>
      <c r="Q25" s="46"/>
      <c r="R25" s="46"/>
      <c r="S25" s="46"/>
      <c r="T25" s="46"/>
      <c r="U25" s="46"/>
      <c r="V25" s="46"/>
      <c r="W25" s="46"/>
      <c r="X25" s="46"/>
      <c r="Y25" s="46"/>
      <c r="Z25" s="46"/>
    </row>
    <row r="26" spans="1:26" ht="54.75" customHeight="1" x14ac:dyDescent="0.25">
      <c r="A26" s="46"/>
      <c r="B26" s="51"/>
      <c r="C26" s="108" t="s">
        <v>611</v>
      </c>
      <c r="D26" s="109" t="s">
        <v>24</v>
      </c>
      <c r="E26" s="46"/>
      <c r="F26" s="46"/>
      <c r="G26" s="46"/>
      <c r="H26" s="46"/>
      <c r="I26" s="46"/>
      <c r="J26" s="46"/>
      <c r="K26" s="46"/>
      <c r="L26" s="46"/>
      <c r="M26" s="46"/>
      <c r="N26" s="46"/>
      <c r="O26" s="46"/>
      <c r="P26" s="46"/>
      <c r="Q26" s="46"/>
      <c r="R26" s="46"/>
      <c r="S26" s="46"/>
      <c r="T26" s="46"/>
      <c r="U26" s="46"/>
      <c r="V26" s="46"/>
      <c r="W26" s="46"/>
      <c r="X26" s="46"/>
      <c r="Y26" s="46"/>
      <c r="Z26" s="46"/>
    </row>
    <row r="27" spans="1:26" ht="54.75" customHeight="1" x14ac:dyDescent="0.25">
      <c r="A27" s="46"/>
      <c r="B27" s="51"/>
      <c r="C27" s="108" t="s">
        <v>717</v>
      </c>
      <c r="D27" s="110" t="s">
        <v>908</v>
      </c>
      <c r="E27" s="46"/>
      <c r="F27" s="46"/>
      <c r="G27" s="46"/>
      <c r="H27" s="46"/>
      <c r="I27" s="46"/>
      <c r="J27" s="46"/>
      <c r="K27" s="46"/>
      <c r="L27" s="46"/>
      <c r="M27" s="46"/>
      <c r="N27" s="46"/>
      <c r="O27" s="46"/>
      <c r="P27" s="46"/>
      <c r="Q27" s="46"/>
      <c r="R27" s="46"/>
      <c r="S27" s="46"/>
      <c r="T27" s="46"/>
      <c r="U27" s="46"/>
      <c r="V27" s="46"/>
      <c r="W27" s="46"/>
      <c r="X27" s="46"/>
      <c r="Y27" s="46"/>
      <c r="Z27" s="46"/>
    </row>
    <row r="28" spans="1:26" ht="54.75" customHeight="1" x14ac:dyDescent="0.25">
      <c r="A28" s="46"/>
      <c r="B28" s="51"/>
      <c r="C28" s="108" t="s">
        <v>904</v>
      </c>
      <c r="D28" s="109" t="s">
        <v>909</v>
      </c>
      <c r="E28" s="46"/>
      <c r="F28" s="46"/>
      <c r="G28" s="46"/>
      <c r="H28" s="46"/>
      <c r="I28" s="46"/>
      <c r="J28" s="46"/>
      <c r="K28" s="46"/>
      <c r="L28" s="46"/>
      <c r="M28" s="46"/>
      <c r="N28" s="46"/>
      <c r="O28" s="46"/>
      <c r="P28" s="46"/>
      <c r="Q28" s="46"/>
      <c r="R28" s="46"/>
      <c r="S28" s="46"/>
      <c r="T28" s="46"/>
      <c r="U28" s="46"/>
      <c r="V28" s="46"/>
      <c r="W28" s="46"/>
      <c r="X28" s="46"/>
      <c r="Y28" s="46"/>
      <c r="Z28" s="46"/>
    </row>
    <row r="29" spans="1:26" ht="54.75" customHeight="1" x14ac:dyDescent="0.25">
      <c r="A29" s="46"/>
      <c r="B29" s="51"/>
      <c r="C29" s="111" t="s">
        <v>905</v>
      </c>
      <c r="D29" s="112" t="s">
        <v>320</v>
      </c>
      <c r="E29" s="46"/>
      <c r="F29" s="46"/>
      <c r="G29" s="46"/>
      <c r="H29" s="46"/>
      <c r="I29" s="46"/>
      <c r="J29" s="46"/>
      <c r="K29" s="46"/>
      <c r="L29" s="46"/>
      <c r="M29" s="46"/>
      <c r="N29" s="46"/>
      <c r="O29" s="46"/>
      <c r="P29" s="46"/>
      <c r="Q29" s="46"/>
      <c r="R29" s="46"/>
      <c r="S29" s="46"/>
      <c r="T29" s="46"/>
      <c r="U29" s="46"/>
      <c r="V29" s="46"/>
      <c r="W29" s="46"/>
      <c r="X29" s="46"/>
      <c r="Y29" s="46"/>
      <c r="Z29" s="46"/>
    </row>
    <row r="30" spans="1:26" ht="54.75" customHeight="1" x14ac:dyDescent="0.25">
      <c r="A30" s="46"/>
      <c r="B30" s="113"/>
      <c r="C30" s="111" t="s">
        <v>718</v>
      </c>
      <c r="D30" s="114" t="s">
        <v>25</v>
      </c>
      <c r="E30" s="46"/>
      <c r="F30" s="46"/>
      <c r="G30" s="46"/>
      <c r="H30" s="46"/>
      <c r="I30" s="46"/>
      <c r="J30" s="46"/>
      <c r="K30" s="46"/>
      <c r="L30" s="46"/>
      <c r="M30" s="46"/>
      <c r="N30" s="46"/>
      <c r="O30" s="46"/>
      <c r="P30" s="46"/>
      <c r="Q30" s="46"/>
      <c r="R30" s="46"/>
      <c r="S30" s="46"/>
      <c r="T30" s="46"/>
      <c r="U30" s="46"/>
      <c r="V30" s="46"/>
      <c r="W30" s="46"/>
      <c r="X30" s="46"/>
      <c r="Y30" s="46"/>
      <c r="Z30" s="46"/>
    </row>
    <row r="31" spans="1:26" ht="24" x14ac:dyDescent="0.25">
      <c r="A31" s="46"/>
      <c r="B31" s="115"/>
      <c r="C31" s="108" t="s">
        <v>719</v>
      </c>
      <c r="D31" s="109" t="s">
        <v>910</v>
      </c>
      <c r="E31" s="46"/>
      <c r="F31" s="46"/>
      <c r="G31" s="46"/>
      <c r="H31" s="46"/>
      <c r="I31" s="46"/>
      <c r="J31" s="46"/>
      <c r="K31" s="46"/>
      <c r="L31" s="46"/>
      <c r="M31" s="46"/>
      <c r="N31" s="46"/>
      <c r="O31" s="46"/>
      <c r="P31" s="46"/>
      <c r="Q31" s="46"/>
      <c r="R31" s="46"/>
      <c r="S31" s="46"/>
      <c r="T31" s="46"/>
      <c r="U31" s="46"/>
      <c r="V31" s="46"/>
      <c r="W31" s="46"/>
      <c r="X31" s="46"/>
      <c r="Y31" s="46"/>
      <c r="Z31" s="46"/>
    </row>
    <row r="32" spans="1:26" x14ac:dyDescent="0.25">
      <c r="A32" s="46"/>
      <c r="B32" s="116"/>
      <c r="C32" s="117" t="s">
        <v>828</v>
      </c>
      <c r="D32" s="118" t="s">
        <v>911</v>
      </c>
      <c r="E32" s="46"/>
      <c r="F32" s="46"/>
      <c r="G32" s="46"/>
      <c r="H32" s="46"/>
      <c r="I32" s="46"/>
      <c r="J32" s="46"/>
      <c r="K32" s="46"/>
      <c r="L32" s="46"/>
      <c r="M32" s="46"/>
      <c r="N32" s="46"/>
      <c r="O32" s="46"/>
      <c r="P32" s="46"/>
      <c r="Q32" s="46"/>
      <c r="R32" s="46"/>
      <c r="S32" s="46"/>
      <c r="T32" s="46"/>
      <c r="U32" s="46"/>
      <c r="V32" s="46"/>
      <c r="W32" s="46"/>
      <c r="X32" s="46"/>
      <c r="Y32" s="46"/>
      <c r="Z32" s="46"/>
    </row>
    <row r="33" spans="1:26" x14ac:dyDescent="0.25">
      <c r="A33" s="46"/>
      <c r="B33" s="119" t="s">
        <v>26</v>
      </c>
      <c r="C33" s="120"/>
      <c r="D33" s="120"/>
      <c r="E33" s="46"/>
      <c r="F33" s="46"/>
      <c r="G33" s="46"/>
      <c r="H33" s="46"/>
      <c r="I33" s="46"/>
      <c r="J33" s="46"/>
      <c r="K33" s="46"/>
      <c r="L33" s="46"/>
      <c r="M33" s="46"/>
      <c r="N33" s="46"/>
      <c r="O33" s="46"/>
      <c r="P33" s="46"/>
      <c r="Q33" s="46"/>
      <c r="R33" s="46"/>
      <c r="S33" s="46"/>
      <c r="T33" s="46"/>
      <c r="U33" s="46"/>
      <c r="V33" s="46"/>
      <c r="W33" s="46"/>
      <c r="X33" s="46"/>
      <c r="Y33" s="46"/>
      <c r="Z33" s="46"/>
    </row>
    <row r="34" spans="1:26" ht="49.5" customHeight="1" x14ac:dyDescent="0.25">
      <c r="A34" s="46"/>
      <c r="B34" s="51"/>
      <c r="C34" s="121" t="s">
        <v>27</v>
      </c>
      <c r="D34" s="122" t="s">
        <v>28</v>
      </c>
      <c r="E34" s="46"/>
      <c r="F34" s="46"/>
      <c r="G34" s="46"/>
      <c r="H34" s="46"/>
      <c r="I34" s="46"/>
      <c r="J34" s="46"/>
      <c r="K34" s="46"/>
      <c r="L34" s="46"/>
      <c r="M34" s="46"/>
      <c r="N34" s="46"/>
      <c r="O34" s="46"/>
      <c r="P34" s="46"/>
      <c r="Q34" s="46"/>
      <c r="R34" s="46"/>
      <c r="S34" s="46"/>
      <c r="T34" s="46"/>
      <c r="U34" s="46"/>
      <c r="V34" s="46"/>
      <c r="W34" s="46"/>
      <c r="X34" s="46"/>
      <c r="Y34" s="46"/>
      <c r="Z34" s="46"/>
    </row>
    <row r="35" spans="1:26" ht="49.5" customHeight="1" x14ac:dyDescent="0.25">
      <c r="A35" s="46"/>
      <c r="B35" s="51"/>
      <c r="C35" s="121" t="s">
        <v>29</v>
      </c>
      <c r="D35" s="122" t="s">
        <v>30</v>
      </c>
      <c r="E35" s="46"/>
      <c r="F35" s="46"/>
      <c r="G35" s="46"/>
      <c r="H35" s="46"/>
      <c r="I35" s="46"/>
      <c r="J35" s="46"/>
      <c r="K35" s="46"/>
      <c r="L35" s="46"/>
      <c r="M35" s="46"/>
      <c r="N35" s="46"/>
      <c r="O35" s="46"/>
      <c r="P35" s="46"/>
      <c r="Q35" s="46"/>
      <c r="R35" s="46"/>
      <c r="S35" s="46"/>
      <c r="T35" s="46"/>
      <c r="U35" s="46"/>
      <c r="V35" s="46"/>
      <c r="W35" s="46"/>
      <c r="X35" s="46"/>
      <c r="Y35" s="46"/>
      <c r="Z35" s="46"/>
    </row>
    <row r="36" spans="1:26" ht="49.5" customHeight="1" x14ac:dyDescent="0.25">
      <c r="A36" s="46"/>
      <c r="B36" s="51"/>
      <c r="C36" s="121" t="s">
        <v>31</v>
      </c>
      <c r="D36" s="122" t="s">
        <v>32</v>
      </c>
      <c r="E36" s="46"/>
      <c r="F36" s="46"/>
      <c r="G36" s="46"/>
      <c r="H36" s="46"/>
      <c r="I36" s="46"/>
      <c r="J36" s="46"/>
      <c r="K36" s="46"/>
      <c r="L36" s="46"/>
      <c r="M36" s="46"/>
      <c r="N36" s="46"/>
      <c r="O36" s="46"/>
      <c r="P36" s="46"/>
      <c r="Q36" s="46"/>
      <c r="R36" s="46"/>
      <c r="S36" s="46"/>
      <c r="T36" s="46"/>
      <c r="U36" s="46"/>
      <c r="V36" s="46"/>
      <c r="W36" s="46"/>
      <c r="X36" s="46"/>
      <c r="Y36" s="46"/>
      <c r="Z36" s="46"/>
    </row>
    <row r="37" spans="1:26" ht="49.5" customHeight="1" x14ac:dyDescent="0.25">
      <c r="A37" s="46"/>
      <c r="B37" s="51"/>
      <c r="C37" s="121" t="s">
        <v>33</v>
      </c>
      <c r="D37" s="109" t="s">
        <v>321</v>
      </c>
      <c r="E37" s="46"/>
      <c r="F37" s="46"/>
      <c r="G37" s="46"/>
      <c r="H37" s="46"/>
      <c r="I37" s="46"/>
      <c r="J37" s="46"/>
      <c r="K37" s="46"/>
      <c r="L37" s="46"/>
      <c r="M37" s="46"/>
      <c r="N37" s="46"/>
      <c r="O37" s="46"/>
      <c r="P37" s="46"/>
      <c r="Q37" s="46"/>
      <c r="R37" s="46"/>
      <c r="S37" s="46"/>
      <c r="T37" s="46"/>
      <c r="U37" s="46"/>
      <c r="V37" s="46"/>
      <c r="W37" s="46"/>
      <c r="X37" s="46"/>
      <c r="Y37" s="46"/>
      <c r="Z37" s="46"/>
    </row>
    <row r="38" spans="1:26" ht="49.5" customHeight="1" x14ac:dyDescent="0.25">
      <c r="A38" s="46"/>
      <c r="B38" s="51"/>
      <c r="C38" s="121" t="s">
        <v>34</v>
      </c>
      <c r="D38" s="122" t="s">
        <v>35</v>
      </c>
      <c r="E38" s="46"/>
      <c r="F38" s="46"/>
      <c r="G38" s="46"/>
      <c r="H38" s="46"/>
      <c r="I38" s="46"/>
      <c r="J38" s="46"/>
      <c r="K38" s="46"/>
      <c r="L38" s="46"/>
      <c r="M38" s="46"/>
      <c r="N38" s="46"/>
      <c r="O38" s="46"/>
      <c r="P38" s="46"/>
      <c r="Q38" s="46"/>
      <c r="R38" s="46"/>
      <c r="S38" s="46"/>
      <c r="T38" s="46"/>
      <c r="U38" s="46"/>
      <c r="V38" s="46"/>
      <c r="W38" s="46"/>
      <c r="X38" s="46"/>
      <c r="Y38" s="46"/>
      <c r="Z38" s="46"/>
    </row>
    <row r="39" spans="1:26" ht="49.5" customHeight="1" x14ac:dyDescent="0.25">
      <c r="A39" s="46"/>
      <c r="B39" s="51"/>
      <c r="C39" s="121" t="s">
        <v>36</v>
      </c>
      <c r="D39" s="122" t="s">
        <v>37</v>
      </c>
      <c r="E39" s="46"/>
      <c r="F39" s="46"/>
      <c r="G39" s="46"/>
      <c r="H39" s="46"/>
      <c r="I39" s="46"/>
      <c r="J39" s="46"/>
      <c r="K39" s="46"/>
      <c r="L39" s="46"/>
      <c r="M39" s="46"/>
      <c r="N39" s="46"/>
      <c r="O39" s="46"/>
      <c r="P39" s="46"/>
      <c r="Q39" s="46"/>
      <c r="R39" s="46"/>
      <c r="S39" s="46"/>
      <c r="T39" s="46"/>
      <c r="U39" s="46"/>
      <c r="V39" s="46"/>
      <c r="W39" s="46"/>
      <c r="X39" s="46"/>
      <c r="Y39" s="46"/>
      <c r="Z39" s="46"/>
    </row>
    <row r="40" spans="1:26" ht="49.5" customHeight="1" x14ac:dyDescent="0.25">
      <c r="A40" s="46"/>
      <c r="B40" s="51"/>
      <c r="C40" s="121" t="s">
        <v>38</v>
      </c>
      <c r="D40" s="122" t="s">
        <v>39</v>
      </c>
      <c r="E40" s="46"/>
      <c r="F40" s="46"/>
      <c r="G40" s="46"/>
      <c r="H40" s="46"/>
      <c r="I40" s="46"/>
      <c r="J40" s="46"/>
      <c r="K40" s="46"/>
      <c r="L40" s="46"/>
      <c r="M40" s="46"/>
      <c r="N40" s="46"/>
      <c r="O40" s="46"/>
      <c r="P40" s="46"/>
      <c r="Q40" s="46"/>
      <c r="R40" s="46"/>
      <c r="S40" s="46"/>
      <c r="T40" s="46"/>
      <c r="U40" s="46"/>
      <c r="V40" s="46"/>
      <c r="W40" s="46"/>
      <c r="X40" s="46"/>
      <c r="Y40" s="46"/>
      <c r="Z40" s="46"/>
    </row>
    <row r="41" spans="1:26" ht="49.5" customHeight="1" x14ac:dyDescent="0.25">
      <c r="A41" s="46"/>
      <c r="B41" s="51"/>
      <c r="C41" s="121" t="s">
        <v>40</v>
      </c>
      <c r="D41" s="122" t="s">
        <v>41</v>
      </c>
      <c r="E41" s="46"/>
      <c r="F41" s="46"/>
      <c r="G41" s="46"/>
      <c r="H41" s="46"/>
      <c r="I41" s="46"/>
      <c r="J41" s="46"/>
      <c r="K41" s="46"/>
      <c r="L41" s="46"/>
      <c r="M41" s="46"/>
      <c r="N41" s="46"/>
      <c r="O41" s="46"/>
      <c r="P41" s="46"/>
      <c r="Q41" s="46"/>
      <c r="R41" s="46"/>
      <c r="S41" s="46"/>
      <c r="T41" s="46"/>
      <c r="U41" s="46"/>
      <c r="V41" s="46"/>
      <c r="W41" s="46"/>
      <c r="X41" s="46"/>
      <c r="Y41" s="46"/>
      <c r="Z41" s="46"/>
    </row>
    <row r="42" spans="1:26" x14ac:dyDescent="0.25">
      <c r="A42" s="46"/>
      <c r="B42" s="46"/>
      <c r="C42" s="46"/>
      <c r="D42" s="46"/>
      <c r="E42" s="46"/>
      <c r="F42" s="46"/>
      <c r="G42" s="46"/>
      <c r="H42" s="46"/>
      <c r="I42" s="46"/>
      <c r="J42" s="46"/>
      <c r="K42" s="46"/>
      <c r="L42" s="46"/>
      <c r="M42" s="46"/>
      <c r="N42" s="46"/>
      <c r="O42" s="46"/>
      <c r="P42" s="46"/>
      <c r="Q42" s="46"/>
      <c r="R42" s="46"/>
      <c r="S42" s="46"/>
      <c r="T42" s="46"/>
      <c r="U42" s="46"/>
      <c r="V42" s="46"/>
      <c r="W42" s="46"/>
      <c r="X42" s="46"/>
      <c r="Y42" s="46"/>
      <c r="Z42" s="46"/>
    </row>
    <row r="43" spans="1:26" x14ac:dyDescent="0.25">
      <c r="A43" s="46"/>
      <c r="B43" s="45" t="s">
        <v>42</v>
      </c>
      <c r="C43" s="45"/>
      <c r="D43" s="45"/>
      <c r="E43" s="46"/>
      <c r="F43" s="46"/>
      <c r="G43" s="46"/>
      <c r="H43" s="46"/>
      <c r="I43" s="46"/>
      <c r="J43" s="46"/>
      <c r="K43" s="46"/>
      <c r="L43" s="46"/>
      <c r="M43" s="46"/>
      <c r="N43" s="46"/>
      <c r="O43" s="46"/>
      <c r="P43" s="46"/>
      <c r="Q43" s="46"/>
      <c r="R43" s="46"/>
      <c r="S43" s="46"/>
      <c r="T43" s="46"/>
      <c r="U43" s="46"/>
      <c r="V43" s="46"/>
      <c r="W43" s="46"/>
      <c r="X43" s="46"/>
      <c r="Y43" s="46"/>
      <c r="Z43" s="46"/>
    </row>
    <row r="44" spans="1:26" ht="31.5" customHeight="1" x14ac:dyDescent="0.25">
      <c r="A44" s="46"/>
      <c r="B44" s="107" t="s">
        <v>43</v>
      </c>
      <c r="C44" s="123" t="s">
        <v>44</v>
      </c>
      <c r="D44" s="123"/>
      <c r="E44" s="46"/>
      <c r="F44" s="46"/>
      <c r="G44" s="46"/>
      <c r="H44" s="46"/>
      <c r="I44" s="46"/>
      <c r="J44" s="46"/>
      <c r="K44" s="46"/>
      <c r="L44" s="46"/>
      <c r="M44" s="46"/>
      <c r="N44" s="46"/>
      <c r="O44" s="46"/>
      <c r="P44" s="46"/>
      <c r="Q44" s="46"/>
      <c r="R44" s="46"/>
      <c r="S44" s="46"/>
      <c r="T44" s="46"/>
      <c r="U44" s="46"/>
      <c r="V44" s="46"/>
      <c r="W44" s="46"/>
      <c r="X44" s="46"/>
      <c r="Y44" s="46"/>
      <c r="Z44" s="46"/>
    </row>
    <row r="45" spans="1:26" ht="31.5" customHeight="1" x14ac:dyDescent="0.25">
      <c r="A45" s="46"/>
      <c r="B45" s="107" t="s">
        <v>45</v>
      </c>
      <c r="C45" s="123" t="s">
        <v>46</v>
      </c>
      <c r="D45" s="123"/>
      <c r="E45" s="46"/>
      <c r="F45" s="46"/>
      <c r="G45" s="46"/>
      <c r="H45" s="46"/>
      <c r="I45" s="46"/>
      <c r="J45" s="46"/>
      <c r="K45" s="46"/>
      <c r="L45" s="46"/>
      <c r="M45" s="46"/>
      <c r="N45" s="46"/>
      <c r="O45" s="46"/>
      <c r="P45" s="46"/>
      <c r="Q45" s="46"/>
      <c r="R45" s="46"/>
      <c r="S45" s="46"/>
      <c r="T45" s="46"/>
      <c r="U45" s="46"/>
      <c r="V45" s="46"/>
      <c r="W45" s="46"/>
      <c r="X45" s="46"/>
      <c r="Y45" s="46"/>
      <c r="Z45" s="46"/>
    </row>
    <row r="46" spans="1:26" ht="31.5" customHeight="1" x14ac:dyDescent="0.25">
      <c r="A46" s="46"/>
      <c r="B46" s="107" t="s">
        <v>47</v>
      </c>
      <c r="C46" s="123" t="s">
        <v>48</v>
      </c>
      <c r="D46" s="123"/>
      <c r="E46" s="46"/>
      <c r="F46" s="46"/>
      <c r="G46" s="46"/>
      <c r="H46" s="46"/>
      <c r="I46" s="46"/>
      <c r="J46" s="46"/>
      <c r="K46" s="46"/>
      <c r="L46" s="46"/>
      <c r="M46" s="46"/>
      <c r="N46" s="46"/>
      <c r="O46" s="46"/>
      <c r="P46" s="46"/>
      <c r="Q46" s="46"/>
      <c r="R46" s="46"/>
      <c r="S46" s="46"/>
      <c r="T46" s="46"/>
      <c r="U46" s="46"/>
      <c r="V46" s="46"/>
      <c r="W46" s="46"/>
      <c r="X46" s="46"/>
      <c r="Y46" s="46"/>
      <c r="Z46" s="46"/>
    </row>
    <row r="47" spans="1:26" ht="31.5" customHeight="1" x14ac:dyDescent="0.25">
      <c r="A47" s="46"/>
      <c r="B47" s="107" t="s">
        <v>49</v>
      </c>
      <c r="C47" s="123" t="s">
        <v>50</v>
      </c>
      <c r="D47" s="123"/>
      <c r="E47" s="46"/>
      <c r="F47" s="46"/>
      <c r="G47" s="46"/>
      <c r="H47" s="46"/>
      <c r="I47" s="46"/>
      <c r="J47" s="46"/>
      <c r="K47" s="46"/>
      <c r="L47" s="46"/>
      <c r="M47" s="46"/>
      <c r="N47" s="46"/>
      <c r="O47" s="46"/>
      <c r="P47" s="46"/>
      <c r="Q47" s="46"/>
      <c r="R47" s="46"/>
      <c r="S47" s="46"/>
      <c r="T47" s="46"/>
      <c r="U47" s="46"/>
      <c r="V47" s="46"/>
      <c r="W47" s="46"/>
      <c r="X47" s="46"/>
      <c r="Y47" s="46"/>
      <c r="Z47" s="46"/>
    </row>
    <row r="48" spans="1:26" ht="31.5" customHeight="1" x14ac:dyDescent="0.25">
      <c r="A48" s="46"/>
      <c r="B48" s="107" t="s">
        <v>51</v>
      </c>
      <c r="C48" s="123" t="s">
        <v>52</v>
      </c>
      <c r="D48" s="123"/>
      <c r="E48" s="46"/>
      <c r="F48" s="46"/>
      <c r="G48" s="46"/>
      <c r="H48" s="46"/>
      <c r="I48" s="46"/>
      <c r="J48" s="46"/>
      <c r="K48" s="46"/>
      <c r="L48" s="46"/>
      <c r="M48" s="46"/>
      <c r="N48" s="46"/>
      <c r="O48" s="46"/>
      <c r="P48" s="46"/>
      <c r="Q48" s="46"/>
      <c r="R48" s="46"/>
      <c r="S48" s="46"/>
      <c r="T48" s="46"/>
      <c r="U48" s="46"/>
      <c r="V48" s="46"/>
      <c r="W48" s="46"/>
      <c r="X48" s="46"/>
      <c r="Y48" s="46"/>
      <c r="Z48" s="46"/>
    </row>
    <row r="49" spans="1:26" ht="31.5" customHeight="1" x14ac:dyDescent="0.25">
      <c r="A49" s="46"/>
      <c r="B49" s="107" t="s">
        <v>53</v>
      </c>
      <c r="C49" s="123" t="s">
        <v>54</v>
      </c>
      <c r="D49" s="123"/>
      <c r="E49" s="46"/>
      <c r="F49" s="46"/>
      <c r="G49" s="46"/>
      <c r="H49" s="46"/>
      <c r="I49" s="46"/>
      <c r="J49" s="46"/>
      <c r="K49" s="46"/>
      <c r="L49" s="46"/>
      <c r="M49" s="46"/>
      <c r="N49" s="46"/>
      <c r="O49" s="46"/>
      <c r="P49" s="46"/>
      <c r="Q49" s="46"/>
      <c r="R49" s="46"/>
      <c r="S49" s="46"/>
      <c r="T49" s="46"/>
      <c r="U49" s="46"/>
      <c r="V49" s="46"/>
      <c r="W49" s="46"/>
      <c r="X49" s="46"/>
      <c r="Y49" s="46"/>
      <c r="Z49" s="46"/>
    </row>
    <row r="50" spans="1:26" ht="31.5" customHeight="1" x14ac:dyDescent="0.25">
      <c r="A50" s="46"/>
      <c r="B50" s="107" t="s">
        <v>55</v>
      </c>
      <c r="C50" s="123" t="s">
        <v>56</v>
      </c>
      <c r="D50" s="123"/>
      <c r="E50" s="46"/>
      <c r="F50" s="46"/>
      <c r="G50" s="46"/>
      <c r="H50" s="46"/>
      <c r="I50" s="46"/>
      <c r="J50" s="46"/>
      <c r="K50" s="46"/>
      <c r="L50" s="46"/>
      <c r="M50" s="46"/>
      <c r="N50" s="46"/>
      <c r="O50" s="46"/>
      <c r="P50" s="46"/>
      <c r="Q50" s="46"/>
      <c r="R50" s="46"/>
      <c r="S50" s="46"/>
      <c r="T50" s="46"/>
      <c r="U50" s="46"/>
      <c r="V50" s="46"/>
      <c r="W50" s="46"/>
      <c r="X50" s="46"/>
      <c r="Y50" s="46"/>
      <c r="Z50" s="46"/>
    </row>
    <row r="51" spans="1:26" ht="31.5" customHeight="1" x14ac:dyDescent="0.25">
      <c r="A51" s="46"/>
      <c r="B51" s="107" t="s">
        <v>57</v>
      </c>
      <c r="C51" s="123" t="s">
        <v>58</v>
      </c>
      <c r="D51" s="123"/>
      <c r="E51" s="46"/>
      <c r="F51" s="46"/>
      <c r="G51" s="46"/>
      <c r="H51" s="46"/>
      <c r="I51" s="46"/>
      <c r="J51" s="46"/>
      <c r="K51" s="46"/>
      <c r="L51" s="46"/>
      <c r="M51" s="46"/>
      <c r="N51" s="46"/>
      <c r="O51" s="46"/>
      <c r="P51" s="46"/>
      <c r="Q51" s="46"/>
      <c r="R51" s="46"/>
      <c r="S51" s="46"/>
      <c r="T51" s="46"/>
      <c r="U51" s="46"/>
      <c r="V51" s="46"/>
      <c r="W51" s="46"/>
      <c r="X51" s="46"/>
      <c r="Y51" s="46"/>
      <c r="Z51" s="46"/>
    </row>
    <row r="52" spans="1:26" x14ac:dyDescent="0.25">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row>
    <row r="53" spans="1:26" x14ac:dyDescent="0.25">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row>
    <row r="54" spans="1:26" x14ac:dyDescent="0.25">
      <c r="A54" s="46"/>
      <c r="B54" s="46"/>
      <c r="C54" s="46"/>
      <c r="D54" s="46"/>
      <c r="E54" s="46"/>
      <c r="F54" s="46"/>
      <c r="G54" s="46"/>
      <c r="H54" s="46"/>
      <c r="I54" s="46"/>
      <c r="J54" s="46"/>
      <c r="K54" s="46"/>
      <c r="L54" s="46"/>
      <c r="M54" s="46"/>
      <c r="N54" s="46"/>
      <c r="O54" s="46"/>
      <c r="P54" s="46"/>
      <c r="Q54" s="46"/>
      <c r="R54" s="46"/>
      <c r="S54" s="46"/>
      <c r="T54" s="46"/>
      <c r="U54" s="46"/>
      <c r="V54" s="46"/>
      <c r="W54" s="46"/>
      <c r="X54" s="46"/>
      <c r="Y54" s="46"/>
      <c r="Z54" s="46"/>
    </row>
    <row r="55" spans="1:26" x14ac:dyDescent="0.25">
      <c r="A55" s="46"/>
      <c r="B55" s="46"/>
      <c r="C55" s="46"/>
      <c r="D55" s="46"/>
      <c r="E55" s="46"/>
      <c r="F55" s="46"/>
      <c r="G55" s="46"/>
      <c r="H55" s="46"/>
      <c r="I55" s="46"/>
      <c r="J55" s="46"/>
      <c r="K55" s="46"/>
      <c r="L55" s="46"/>
      <c r="M55" s="46"/>
      <c r="N55" s="46"/>
      <c r="O55" s="46"/>
      <c r="P55" s="46"/>
      <c r="Q55" s="46"/>
      <c r="R55" s="46"/>
      <c r="S55" s="46"/>
      <c r="T55" s="46"/>
      <c r="U55" s="46"/>
      <c r="V55" s="46"/>
      <c r="W55" s="46"/>
      <c r="X55" s="46"/>
      <c r="Y55" s="46"/>
      <c r="Z55" s="46"/>
    </row>
    <row r="56" spans="1:26" x14ac:dyDescent="0.25">
      <c r="A56" s="46"/>
      <c r="B56" s="46"/>
      <c r="C56" s="46"/>
      <c r="D56" s="46"/>
      <c r="E56" s="46"/>
      <c r="F56" s="46"/>
      <c r="G56" s="46"/>
      <c r="H56" s="46"/>
      <c r="I56" s="46"/>
      <c r="J56" s="46"/>
      <c r="K56" s="46"/>
      <c r="L56" s="46"/>
      <c r="M56" s="46"/>
      <c r="N56" s="46"/>
      <c r="O56" s="46"/>
      <c r="P56" s="46"/>
      <c r="Q56" s="46"/>
      <c r="R56" s="46"/>
      <c r="S56" s="46"/>
      <c r="T56" s="46"/>
      <c r="U56" s="46"/>
      <c r="V56" s="46"/>
      <c r="W56" s="46"/>
      <c r="X56" s="46"/>
      <c r="Y56" s="46"/>
      <c r="Z56" s="46"/>
    </row>
    <row r="57" spans="1:26" x14ac:dyDescent="0.25">
      <c r="A57" s="46"/>
      <c r="B57" s="46"/>
      <c r="C57" s="46"/>
      <c r="D57" s="46"/>
      <c r="E57" s="46"/>
      <c r="F57" s="46"/>
      <c r="G57" s="46"/>
      <c r="H57" s="46"/>
      <c r="I57" s="46"/>
      <c r="J57" s="46"/>
      <c r="K57" s="46"/>
      <c r="L57" s="46"/>
      <c r="M57" s="46"/>
      <c r="N57" s="46"/>
      <c r="O57" s="46"/>
      <c r="P57" s="46"/>
      <c r="Q57" s="46"/>
      <c r="R57" s="46"/>
      <c r="S57" s="46"/>
      <c r="T57" s="46"/>
      <c r="U57" s="46"/>
      <c r="V57" s="46"/>
      <c r="W57" s="46"/>
      <c r="X57" s="46"/>
      <c r="Y57" s="46"/>
      <c r="Z57" s="46"/>
    </row>
    <row r="58" spans="1:26" x14ac:dyDescent="0.25">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row>
    <row r="59" spans="1:26" x14ac:dyDescent="0.25">
      <c r="A59" s="46"/>
      <c r="B59" s="46"/>
      <c r="C59" s="46"/>
      <c r="D59" s="46"/>
      <c r="E59" s="46"/>
      <c r="F59" s="46"/>
      <c r="G59" s="46"/>
      <c r="H59" s="46"/>
      <c r="I59" s="46"/>
      <c r="J59" s="46"/>
      <c r="K59" s="46"/>
      <c r="L59" s="46"/>
      <c r="M59" s="46"/>
      <c r="N59" s="46"/>
      <c r="O59" s="46"/>
      <c r="P59" s="46"/>
      <c r="Q59" s="46"/>
      <c r="R59" s="46"/>
      <c r="S59" s="46"/>
      <c r="T59" s="46"/>
      <c r="U59" s="46"/>
      <c r="V59" s="46"/>
      <c r="W59" s="46"/>
      <c r="X59" s="46"/>
      <c r="Y59" s="46"/>
      <c r="Z59" s="46"/>
    </row>
    <row r="60" spans="1:26" x14ac:dyDescent="0.25">
      <c r="A60" s="46"/>
      <c r="B60" s="46"/>
      <c r="C60" s="46"/>
      <c r="D60" s="46"/>
      <c r="E60" s="46"/>
      <c r="F60" s="46"/>
      <c r="G60" s="46"/>
      <c r="H60" s="46"/>
      <c r="I60" s="46"/>
      <c r="J60" s="46"/>
      <c r="K60" s="46"/>
      <c r="L60" s="46"/>
      <c r="M60" s="46"/>
      <c r="N60" s="46"/>
      <c r="O60" s="46"/>
      <c r="P60" s="46"/>
      <c r="Q60" s="46"/>
      <c r="R60" s="46"/>
      <c r="S60" s="46"/>
      <c r="T60" s="46"/>
      <c r="U60" s="46"/>
      <c r="V60" s="46"/>
      <c r="W60" s="46"/>
      <c r="X60" s="46"/>
      <c r="Y60" s="46"/>
      <c r="Z60" s="46"/>
    </row>
    <row r="61" spans="1:26" x14ac:dyDescent="0.25">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row>
    <row r="62" spans="1:26" x14ac:dyDescent="0.25">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row>
    <row r="63" spans="1:26" x14ac:dyDescent="0.25">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row>
    <row r="64" spans="1:26" x14ac:dyDescent="0.25">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spans="1:26" x14ac:dyDescent="0.25">
      <c r="A65" s="46"/>
      <c r="B65" s="46"/>
      <c r="C65" s="46"/>
      <c r="D65" s="46"/>
      <c r="E65" s="46"/>
      <c r="F65" s="46"/>
      <c r="G65" s="46"/>
      <c r="H65" s="46"/>
      <c r="I65" s="46"/>
      <c r="J65" s="46"/>
      <c r="K65" s="46"/>
      <c r="L65" s="46"/>
      <c r="M65" s="46"/>
      <c r="N65" s="46"/>
      <c r="O65" s="46"/>
      <c r="P65" s="46"/>
      <c r="Q65" s="46"/>
      <c r="R65" s="46"/>
      <c r="S65" s="46"/>
      <c r="T65" s="46"/>
      <c r="U65" s="46"/>
      <c r="V65" s="46"/>
      <c r="W65" s="46"/>
      <c r="X65" s="46"/>
      <c r="Y65" s="46"/>
      <c r="Z65" s="46"/>
    </row>
    <row r="66" spans="1:26" x14ac:dyDescent="0.25">
      <c r="A66" s="46"/>
      <c r="B66" s="46"/>
      <c r="C66" s="46"/>
      <c r="D66" s="46"/>
      <c r="E66" s="46"/>
      <c r="F66" s="46"/>
      <c r="G66" s="46"/>
      <c r="H66" s="46"/>
      <c r="I66" s="46"/>
      <c r="J66" s="46"/>
      <c r="K66" s="46"/>
      <c r="L66" s="46"/>
      <c r="M66" s="46"/>
      <c r="N66" s="46"/>
      <c r="O66" s="46"/>
      <c r="P66" s="46"/>
      <c r="Q66" s="46"/>
      <c r="R66" s="46"/>
      <c r="S66" s="46"/>
      <c r="T66" s="46"/>
      <c r="U66" s="46"/>
      <c r="V66" s="46"/>
      <c r="W66" s="46"/>
      <c r="X66" s="46"/>
      <c r="Y66" s="46"/>
      <c r="Z66" s="46"/>
    </row>
    <row r="67" spans="1:26" x14ac:dyDescent="0.25">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row>
    <row r="68" spans="1:26" x14ac:dyDescent="0.25">
      <c r="A68" s="46"/>
      <c r="B68" s="46"/>
      <c r="C68" s="46"/>
      <c r="D68" s="46"/>
      <c r="E68" s="46"/>
      <c r="F68" s="46"/>
      <c r="G68" s="46"/>
      <c r="H68" s="46"/>
      <c r="I68" s="46"/>
      <c r="J68" s="46"/>
      <c r="K68" s="46"/>
      <c r="L68" s="46"/>
      <c r="M68" s="46"/>
      <c r="N68" s="46"/>
      <c r="O68" s="46"/>
      <c r="P68" s="46"/>
      <c r="Q68" s="46"/>
      <c r="R68" s="46"/>
      <c r="S68" s="46"/>
      <c r="T68" s="46"/>
      <c r="U68" s="46"/>
      <c r="V68" s="46"/>
      <c r="W68" s="46"/>
      <c r="X68" s="46"/>
      <c r="Y68" s="46"/>
      <c r="Z68" s="46"/>
    </row>
    <row r="69" spans="1:26" x14ac:dyDescent="0.25">
      <c r="A69" s="46"/>
      <c r="B69" s="46"/>
      <c r="C69" s="46"/>
      <c r="D69" s="46"/>
      <c r="E69" s="46"/>
      <c r="F69" s="46"/>
      <c r="G69" s="46"/>
      <c r="H69" s="46"/>
      <c r="I69" s="46"/>
      <c r="J69" s="46"/>
      <c r="K69" s="46"/>
      <c r="L69" s="46"/>
      <c r="M69" s="46"/>
      <c r="N69" s="46"/>
      <c r="O69" s="46"/>
      <c r="P69" s="46"/>
      <c r="Q69" s="46"/>
      <c r="R69" s="46"/>
      <c r="S69" s="46"/>
      <c r="T69" s="46"/>
      <c r="U69" s="46"/>
      <c r="V69" s="46"/>
      <c r="W69" s="46"/>
      <c r="X69" s="46"/>
      <c r="Y69" s="46"/>
      <c r="Z69" s="46"/>
    </row>
    <row r="70" spans="1:26" x14ac:dyDescent="0.25">
      <c r="A70" s="46"/>
      <c r="B70" s="46"/>
      <c r="C70" s="46"/>
      <c r="D70" s="46"/>
      <c r="E70" s="46"/>
      <c r="F70" s="46"/>
      <c r="G70" s="46"/>
      <c r="H70" s="46"/>
      <c r="I70" s="46"/>
      <c r="J70" s="46"/>
      <c r="K70" s="46"/>
      <c r="L70" s="46"/>
      <c r="M70" s="46"/>
      <c r="N70" s="46"/>
      <c r="O70" s="46"/>
      <c r="P70" s="46"/>
      <c r="Q70" s="46"/>
      <c r="R70" s="46"/>
      <c r="S70" s="46"/>
      <c r="T70" s="46"/>
      <c r="U70" s="46"/>
      <c r="V70" s="46"/>
      <c r="W70" s="46"/>
      <c r="X70" s="46"/>
      <c r="Y70" s="46"/>
      <c r="Z70" s="46"/>
    </row>
    <row r="71" spans="1:26" x14ac:dyDescent="0.25">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row>
    <row r="72" spans="1:26" x14ac:dyDescent="0.25">
      <c r="A72" s="46"/>
      <c r="B72" s="46"/>
      <c r="C72" s="46"/>
      <c r="D72" s="46"/>
      <c r="E72" s="46"/>
      <c r="F72" s="46"/>
      <c r="G72" s="46"/>
      <c r="H72" s="46"/>
      <c r="I72" s="46"/>
      <c r="J72" s="46"/>
      <c r="K72" s="46"/>
      <c r="L72" s="46"/>
      <c r="M72" s="46"/>
      <c r="N72" s="46"/>
      <c r="O72" s="46"/>
      <c r="P72" s="46"/>
      <c r="Q72" s="46"/>
      <c r="R72" s="46"/>
      <c r="S72" s="46"/>
      <c r="T72" s="46"/>
      <c r="U72" s="46"/>
      <c r="V72" s="46"/>
      <c r="W72" s="46"/>
      <c r="X72" s="46"/>
      <c r="Y72" s="46"/>
      <c r="Z72" s="46"/>
    </row>
    <row r="73" spans="1:26" x14ac:dyDescent="0.25">
      <c r="A73" s="46"/>
      <c r="B73" s="46"/>
      <c r="C73" s="46"/>
      <c r="D73" s="46"/>
      <c r="E73" s="46"/>
      <c r="F73" s="46"/>
      <c r="G73" s="46"/>
      <c r="H73" s="46"/>
      <c r="I73" s="46"/>
      <c r="J73" s="46"/>
      <c r="K73" s="46"/>
      <c r="L73" s="46"/>
      <c r="M73" s="46"/>
      <c r="N73" s="46"/>
      <c r="O73" s="46"/>
      <c r="P73" s="46"/>
      <c r="Q73" s="46"/>
      <c r="R73" s="46"/>
      <c r="S73" s="46"/>
      <c r="T73" s="46"/>
      <c r="U73" s="46"/>
      <c r="V73" s="46"/>
      <c r="W73" s="46"/>
      <c r="X73" s="46"/>
      <c r="Y73" s="46"/>
      <c r="Z73" s="46"/>
    </row>
    <row r="74" spans="1:26" x14ac:dyDescent="0.25">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spans="1:26" x14ac:dyDescent="0.25">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row>
    <row r="76" spans="1:26" x14ac:dyDescent="0.25">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row>
    <row r="77" spans="1:26" x14ac:dyDescent="0.25">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row>
    <row r="78" spans="1:26" x14ac:dyDescent="0.25">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row>
    <row r="79" spans="1:26" x14ac:dyDescent="0.25">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row>
    <row r="80" spans="1:26" x14ac:dyDescent="0.25">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x14ac:dyDescent="0.25">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row>
    <row r="83" spans="1:26" x14ac:dyDescent="0.25">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row>
    <row r="84" spans="1:26" x14ac:dyDescent="0.25">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spans="1:26" x14ac:dyDescent="0.25">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row>
    <row r="86" spans="1:26" x14ac:dyDescent="0.25">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row>
    <row r="87" spans="1:26" x14ac:dyDescent="0.25">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spans="1:26" x14ac:dyDescent="0.25">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row>
    <row r="89" spans="1:26" x14ac:dyDescent="0.25">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row>
    <row r="90" spans="1:26" x14ac:dyDescent="0.25">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row>
    <row r="91" spans="1:26"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spans="1:26"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spans="1:26" x14ac:dyDescent="0.25">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x14ac:dyDescent="0.25">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x14ac:dyDescent="0.25">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x14ac:dyDescent="0.25">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spans="1:26" x14ac:dyDescent="0.25">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0" spans="1:26" x14ac:dyDescent="0.25">
      <c r="A100" s="46"/>
      <c r="B100" s="46"/>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row>
    <row r="101" spans="1:26" x14ac:dyDescent="0.25">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row>
    <row r="102" spans="1:26" x14ac:dyDescent="0.25">
      <c r="A102" s="46"/>
      <c r="B102" s="46"/>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row>
    <row r="103" spans="1:26" x14ac:dyDescent="0.25">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row>
    <row r="104" spans="1:26" x14ac:dyDescent="0.2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row>
    <row r="105" spans="1:26" x14ac:dyDescent="0.25">
      <c r="A105" s="46"/>
      <c r="B105" s="46"/>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row>
    <row r="106" spans="1:26" x14ac:dyDescent="0.25">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row>
    <row r="107" spans="1:26" x14ac:dyDescent="0.25">
      <c r="A107" s="46"/>
      <c r="B107" s="46"/>
      <c r="C107" s="46"/>
      <c r="D107" s="46"/>
      <c r="E107" s="46"/>
      <c r="F107" s="46"/>
      <c r="G107" s="46"/>
      <c r="H107" s="46"/>
      <c r="I107" s="46"/>
      <c r="J107" s="46"/>
      <c r="K107" s="46"/>
      <c r="L107" s="46"/>
      <c r="M107" s="46"/>
      <c r="N107" s="46"/>
      <c r="O107" s="46"/>
      <c r="P107" s="46"/>
      <c r="Q107" s="46"/>
      <c r="R107" s="46"/>
      <c r="S107" s="46"/>
      <c r="T107" s="46"/>
      <c r="U107" s="46"/>
      <c r="V107" s="46"/>
      <c r="W107" s="46"/>
      <c r="X107" s="46"/>
      <c r="Y107" s="46"/>
      <c r="Z107" s="46"/>
    </row>
    <row r="108" spans="1:26" x14ac:dyDescent="0.25">
      <c r="A108" s="46"/>
      <c r="B108" s="46"/>
      <c r="C108" s="46"/>
      <c r="D108" s="46"/>
      <c r="E108" s="46"/>
      <c r="F108" s="46"/>
      <c r="G108" s="46"/>
      <c r="H108" s="46"/>
      <c r="I108" s="46"/>
      <c r="J108" s="46"/>
      <c r="K108" s="46"/>
      <c r="L108" s="46"/>
      <c r="M108" s="46"/>
      <c r="N108" s="46"/>
      <c r="O108" s="46"/>
      <c r="P108" s="46"/>
      <c r="Q108" s="46"/>
      <c r="R108" s="46"/>
      <c r="S108" s="46"/>
      <c r="T108" s="46"/>
      <c r="U108" s="46"/>
      <c r="V108" s="46"/>
      <c r="W108" s="46"/>
      <c r="X108" s="46"/>
      <c r="Y108" s="46"/>
      <c r="Z108" s="46"/>
    </row>
    <row r="109" spans="1:26" x14ac:dyDescent="0.25">
      <c r="A109" s="46"/>
      <c r="B109" s="46"/>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row>
    <row r="110" spans="1:26" x14ac:dyDescent="0.25">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row>
    <row r="111" spans="1:26" x14ac:dyDescent="0.25">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spans="1:26" x14ac:dyDescent="0.25">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spans="1:26" x14ac:dyDescent="0.25">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row>
    <row r="114" spans="1:26" x14ac:dyDescent="0.25">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row>
    <row r="115" spans="1:26" x14ac:dyDescent="0.2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spans="1:26" x14ac:dyDescent="0.25">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spans="1:26" x14ac:dyDescent="0.25">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spans="1:26" x14ac:dyDescent="0.25">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spans="1:26" x14ac:dyDescent="0.25">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spans="1:26" x14ac:dyDescent="0.25">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spans="1:26" x14ac:dyDescent="0.25">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spans="1:26" x14ac:dyDescent="0.25">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spans="1:26" x14ac:dyDescent="0.25">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spans="1:26" x14ac:dyDescent="0.25">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spans="1:26" x14ac:dyDescent="0.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spans="1:26" x14ac:dyDescent="0.25">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spans="1:26" x14ac:dyDescent="0.25">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spans="1:26" x14ac:dyDescent="0.25">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spans="1:26" x14ac:dyDescent="0.25">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spans="1:26" x14ac:dyDescent="0.25">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spans="1:26" x14ac:dyDescent="0.25">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spans="1:26" x14ac:dyDescent="0.25">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spans="1:26" x14ac:dyDescent="0.25">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spans="1:26" x14ac:dyDescent="0.25">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spans="1:26" x14ac:dyDescent="0.2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spans="1:26" x14ac:dyDescent="0.25">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spans="1:26" x14ac:dyDescent="0.25">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spans="1:26" x14ac:dyDescent="0.25">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spans="1:26" x14ac:dyDescent="0.25">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spans="1:26" x14ac:dyDescent="0.25">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spans="1:26" x14ac:dyDescent="0.25">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spans="1:26" x14ac:dyDescent="0.25">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spans="1:26" x14ac:dyDescent="0.25">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spans="1:26" x14ac:dyDescent="0.25">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spans="1:26" x14ac:dyDescent="0.2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spans="1:26" x14ac:dyDescent="0.25">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spans="1:26" x14ac:dyDescent="0.25">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spans="1:26" x14ac:dyDescent="0.25">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spans="1:26" x14ac:dyDescent="0.25">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spans="1:26" x14ac:dyDescent="0.25">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spans="1:26" x14ac:dyDescent="0.25">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spans="1:26" x14ac:dyDescent="0.25">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spans="1:26" x14ac:dyDescent="0.25">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spans="1:26" x14ac:dyDescent="0.25">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spans="1:26" x14ac:dyDescent="0.2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spans="1:26" x14ac:dyDescent="0.25">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spans="1:26" x14ac:dyDescent="0.25">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spans="1:26" x14ac:dyDescent="0.25">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spans="1:26" x14ac:dyDescent="0.25">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spans="1:26" x14ac:dyDescent="0.25">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spans="1:26" x14ac:dyDescent="0.25">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spans="1:26" x14ac:dyDescent="0.25">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spans="1:26" x14ac:dyDescent="0.25">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spans="1:26" x14ac:dyDescent="0.25">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spans="1:26" x14ac:dyDescent="0.2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spans="1:26" x14ac:dyDescent="0.25">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spans="1:26" x14ac:dyDescent="0.25">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spans="1:26" x14ac:dyDescent="0.25">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spans="1:26" x14ac:dyDescent="0.25">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spans="1:26" x14ac:dyDescent="0.25">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spans="1:26" x14ac:dyDescent="0.25">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spans="1:26" x14ac:dyDescent="0.25">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spans="1:26" x14ac:dyDescent="0.25">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spans="1:26" x14ac:dyDescent="0.25">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spans="1:26" x14ac:dyDescent="0.2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spans="1:26" x14ac:dyDescent="0.25">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spans="1:26" x14ac:dyDescent="0.25">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spans="1:26" x14ac:dyDescent="0.25">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spans="1:26" x14ac:dyDescent="0.25">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spans="1:26" x14ac:dyDescent="0.25">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spans="1:26" x14ac:dyDescent="0.25">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spans="1:26" x14ac:dyDescent="0.25">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spans="1:26" x14ac:dyDescent="0.25">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spans="1:26" x14ac:dyDescent="0.25">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spans="1:26" x14ac:dyDescent="0.2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spans="1:26" x14ac:dyDescent="0.25">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spans="1:26" x14ac:dyDescent="0.25">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spans="1:26" x14ac:dyDescent="0.25">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spans="1:26" x14ac:dyDescent="0.25">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spans="1:26" x14ac:dyDescent="0.25">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spans="1:26" x14ac:dyDescent="0.25">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spans="1:26" x14ac:dyDescent="0.25">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spans="1:26" x14ac:dyDescent="0.25">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spans="1:26" x14ac:dyDescent="0.25">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spans="1:26" x14ac:dyDescent="0.2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spans="1:26" x14ac:dyDescent="0.25">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spans="1:26" x14ac:dyDescent="0.25">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spans="1:26" x14ac:dyDescent="0.25">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spans="1:26" x14ac:dyDescent="0.25">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spans="1:26" x14ac:dyDescent="0.25">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spans="1:26" x14ac:dyDescent="0.25">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spans="1:26" x14ac:dyDescent="0.25">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spans="1:26" x14ac:dyDescent="0.25">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spans="1:26" x14ac:dyDescent="0.25">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spans="1:26" x14ac:dyDescent="0.2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spans="1:26" x14ac:dyDescent="0.25">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spans="1:26" x14ac:dyDescent="0.25">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spans="1:26" x14ac:dyDescent="0.25">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spans="1:26" x14ac:dyDescent="0.25">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spans="1:26" x14ac:dyDescent="0.25">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spans="1:26" x14ac:dyDescent="0.25">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spans="1:26" x14ac:dyDescent="0.25">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spans="1:26" x14ac:dyDescent="0.25">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spans="1:26" x14ac:dyDescent="0.25">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spans="1:26" x14ac:dyDescent="0.2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spans="1:26" x14ac:dyDescent="0.25">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spans="1:26" x14ac:dyDescent="0.25">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spans="1:26" x14ac:dyDescent="0.25">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spans="1:26" x14ac:dyDescent="0.25">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spans="1:26" x14ac:dyDescent="0.25">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spans="1:26" x14ac:dyDescent="0.25">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spans="1:26" x14ac:dyDescent="0.25">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spans="1:26" x14ac:dyDescent="0.25">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spans="1:26" x14ac:dyDescent="0.25">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spans="1:26" x14ac:dyDescent="0.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spans="1:26" x14ac:dyDescent="0.25">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spans="1:26" x14ac:dyDescent="0.25">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spans="1:26" x14ac:dyDescent="0.25">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spans="1:26" x14ac:dyDescent="0.25">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spans="1:26" x14ac:dyDescent="0.25">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spans="1:26" x14ac:dyDescent="0.25">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spans="1:26" x14ac:dyDescent="0.25">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spans="1:26" x14ac:dyDescent="0.25">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spans="1:26" x14ac:dyDescent="0.25">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spans="1:26" x14ac:dyDescent="0.2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spans="1:26" x14ac:dyDescent="0.25">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spans="1:26" x14ac:dyDescent="0.25">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spans="1:26" x14ac:dyDescent="0.25">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spans="1:26" x14ac:dyDescent="0.25">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spans="1:26" x14ac:dyDescent="0.25">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spans="1:26" x14ac:dyDescent="0.25">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spans="1:26" x14ac:dyDescent="0.25">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spans="1:26" x14ac:dyDescent="0.25">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spans="1:26" x14ac:dyDescent="0.25">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spans="1:26" x14ac:dyDescent="0.2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spans="1:26" x14ac:dyDescent="0.25">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spans="1:26" x14ac:dyDescent="0.25">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spans="1:26" x14ac:dyDescent="0.25">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spans="1:26" x14ac:dyDescent="0.25">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spans="1:26" x14ac:dyDescent="0.25">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spans="1:26" x14ac:dyDescent="0.25">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spans="1:26" x14ac:dyDescent="0.25">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spans="1:26" x14ac:dyDescent="0.25">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spans="1:26" x14ac:dyDescent="0.25">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spans="1:26" x14ac:dyDescent="0.2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spans="1:26" x14ac:dyDescent="0.25">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spans="1:26" x14ac:dyDescent="0.25">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spans="1:26" x14ac:dyDescent="0.25">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spans="1:26" x14ac:dyDescent="0.25">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spans="1:26" x14ac:dyDescent="0.25">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spans="1:26" x14ac:dyDescent="0.25">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spans="1:26" x14ac:dyDescent="0.25">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spans="1:26" x14ac:dyDescent="0.25">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spans="1:26" x14ac:dyDescent="0.25">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spans="1:26" x14ac:dyDescent="0.2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spans="1:26" x14ac:dyDescent="0.25">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spans="1:26" x14ac:dyDescent="0.25">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spans="1:26" x14ac:dyDescent="0.25">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spans="1:26" x14ac:dyDescent="0.25">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spans="1:26" x14ac:dyDescent="0.25">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spans="1:26" x14ac:dyDescent="0.25">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spans="1:26" x14ac:dyDescent="0.25">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spans="1:26" x14ac:dyDescent="0.25">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spans="1:26" x14ac:dyDescent="0.25">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spans="1:26" x14ac:dyDescent="0.2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spans="1:26" x14ac:dyDescent="0.25">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spans="1:26" x14ac:dyDescent="0.25">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spans="1:26" x14ac:dyDescent="0.25">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spans="1:26" x14ac:dyDescent="0.25">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spans="1:26" x14ac:dyDescent="0.25">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spans="1:26" x14ac:dyDescent="0.25">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spans="1:26" x14ac:dyDescent="0.25">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spans="1:26" x14ac:dyDescent="0.25">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spans="1:26" x14ac:dyDescent="0.25">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spans="1:26" x14ac:dyDescent="0.2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spans="1:26" x14ac:dyDescent="0.25">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spans="1:26" x14ac:dyDescent="0.25">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spans="1:26" x14ac:dyDescent="0.25">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spans="1:26" x14ac:dyDescent="0.25">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spans="1:26" x14ac:dyDescent="0.25">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spans="1:26" x14ac:dyDescent="0.25">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spans="1:26" x14ac:dyDescent="0.25">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spans="1:26" x14ac:dyDescent="0.25">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spans="1:26" x14ac:dyDescent="0.25">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spans="1:26" x14ac:dyDescent="0.2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spans="1:26" x14ac:dyDescent="0.25">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spans="1:26" x14ac:dyDescent="0.25">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spans="1:26" x14ac:dyDescent="0.25">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spans="1:26" x14ac:dyDescent="0.25">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spans="1:26" x14ac:dyDescent="0.25">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spans="1:26" x14ac:dyDescent="0.25">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spans="1:26" x14ac:dyDescent="0.25">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spans="1:26" x14ac:dyDescent="0.25">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spans="1:26" x14ac:dyDescent="0.25">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spans="1:26" x14ac:dyDescent="0.2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spans="1:26" x14ac:dyDescent="0.25">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spans="1:26" x14ac:dyDescent="0.25">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spans="1:26" x14ac:dyDescent="0.25">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spans="1:26" x14ac:dyDescent="0.25">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spans="1:26" x14ac:dyDescent="0.25">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spans="1:26" x14ac:dyDescent="0.25">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spans="1:26" x14ac:dyDescent="0.25">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spans="1:26" x14ac:dyDescent="0.25">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spans="1:26" x14ac:dyDescent="0.25">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spans="1:26" x14ac:dyDescent="0.2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spans="1:26" x14ac:dyDescent="0.25">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spans="1:26" x14ac:dyDescent="0.25">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spans="1:26" x14ac:dyDescent="0.25">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spans="1:26" x14ac:dyDescent="0.25">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spans="1:26" x14ac:dyDescent="0.25">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spans="1:26" x14ac:dyDescent="0.25">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spans="1:26" x14ac:dyDescent="0.25">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spans="1:26" x14ac:dyDescent="0.25">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spans="1:26" x14ac:dyDescent="0.25">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spans="1:26" x14ac:dyDescent="0.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spans="1:26" x14ac:dyDescent="0.25">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spans="1:26" x14ac:dyDescent="0.25">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spans="1:26" x14ac:dyDescent="0.25">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spans="1:26" x14ac:dyDescent="0.25">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spans="1:26" x14ac:dyDescent="0.25">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spans="1:26" x14ac:dyDescent="0.25">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spans="1:26" x14ac:dyDescent="0.25">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spans="1:26" x14ac:dyDescent="0.25">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spans="1:26" x14ac:dyDescent="0.25">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spans="1:26" x14ac:dyDescent="0.2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spans="1:26" x14ac:dyDescent="0.25">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spans="1:26" x14ac:dyDescent="0.25">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spans="1:26" x14ac:dyDescent="0.25">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spans="1:26" x14ac:dyDescent="0.25">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spans="1:26" x14ac:dyDescent="0.25">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spans="1:26" x14ac:dyDescent="0.25">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spans="1:26" x14ac:dyDescent="0.25">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spans="1:26" x14ac:dyDescent="0.25">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spans="1:26" x14ac:dyDescent="0.25">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spans="1:26" x14ac:dyDescent="0.2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spans="1:26" x14ac:dyDescent="0.25">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spans="1:26" x14ac:dyDescent="0.25">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spans="1:26" x14ac:dyDescent="0.25">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spans="1:26" x14ac:dyDescent="0.25">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spans="1:26" x14ac:dyDescent="0.25">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spans="1:26" x14ac:dyDescent="0.25">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spans="1:26" x14ac:dyDescent="0.25">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spans="1:26" x14ac:dyDescent="0.25">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spans="1:26" x14ac:dyDescent="0.25">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spans="1:26" x14ac:dyDescent="0.2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spans="1:26" x14ac:dyDescent="0.25">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spans="1:26" x14ac:dyDescent="0.25">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spans="1:26" x14ac:dyDescent="0.25">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spans="1:26" x14ac:dyDescent="0.25">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spans="1:26" x14ac:dyDescent="0.25">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spans="1:26" x14ac:dyDescent="0.25">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spans="1:26" x14ac:dyDescent="0.25">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spans="1:26" x14ac:dyDescent="0.25">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spans="1:26" x14ac:dyDescent="0.25">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spans="1:26" x14ac:dyDescent="0.2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spans="1:26" x14ac:dyDescent="0.25">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spans="1:26" x14ac:dyDescent="0.25">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spans="1:26" x14ac:dyDescent="0.25">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spans="1:26" x14ac:dyDescent="0.25">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spans="1:26" x14ac:dyDescent="0.25">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spans="1:26" x14ac:dyDescent="0.25">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spans="1:26" x14ac:dyDescent="0.25">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spans="1:26" x14ac:dyDescent="0.25">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spans="1:26" x14ac:dyDescent="0.25">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spans="1:26" x14ac:dyDescent="0.2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spans="1:26" x14ac:dyDescent="0.25">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spans="1:26" x14ac:dyDescent="0.25">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spans="1:26" x14ac:dyDescent="0.25">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spans="1:26" x14ac:dyDescent="0.25">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spans="1:26" x14ac:dyDescent="0.25">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spans="1:26" x14ac:dyDescent="0.25">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spans="1:26" x14ac:dyDescent="0.25">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spans="1:26" x14ac:dyDescent="0.25">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spans="1:26" x14ac:dyDescent="0.25">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spans="1:26" x14ac:dyDescent="0.2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spans="1:26" x14ac:dyDescent="0.25">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spans="1:26" x14ac:dyDescent="0.25">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spans="1:26" x14ac:dyDescent="0.25">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spans="1:26" x14ac:dyDescent="0.25">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spans="1:26" x14ac:dyDescent="0.25">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spans="1:26" x14ac:dyDescent="0.25">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spans="1:26" x14ac:dyDescent="0.25">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spans="1:26" x14ac:dyDescent="0.25">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spans="1:26" x14ac:dyDescent="0.25">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spans="1:26" x14ac:dyDescent="0.2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spans="1:26" x14ac:dyDescent="0.25">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spans="1:26" x14ac:dyDescent="0.25">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spans="1:26" x14ac:dyDescent="0.25">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spans="1:26" x14ac:dyDescent="0.25">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spans="1:26" x14ac:dyDescent="0.25">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spans="1:26" x14ac:dyDescent="0.25">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spans="1:26" x14ac:dyDescent="0.25">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spans="1:26" x14ac:dyDescent="0.25">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spans="1:26" x14ac:dyDescent="0.25">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spans="1:26" x14ac:dyDescent="0.2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spans="1:26" x14ac:dyDescent="0.25">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spans="1:26" x14ac:dyDescent="0.25">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spans="1:26" x14ac:dyDescent="0.25">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spans="1:26" x14ac:dyDescent="0.25">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spans="1:26" x14ac:dyDescent="0.25">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spans="1:26" x14ac:dyDescent="0.25">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spans="1:26" x14ac:dyDescent="0.25">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spans="1:26" x14ac:dyDescent="0.25">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spans="1:26" x14ac:dyDescent="0.25">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spans="1:26" x14ac:dyDescent="0.2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spans="1:26" x14ac:dyDescent="0.25">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spans="1:26" x14ac:dyDescent="0.25">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spans="1:26" x14ac:dyDescent="0.25">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spans="1:26" x14ac:dyDescent="0.25">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spans="1:26" x14ac:dyDescent="0.25">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spans="1:26" x14ac:dyDescent="0.25">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spans="1:26" x14ac:dyDescent="0.25">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spans="1:26" x14ac:dyDescent="0.25">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spans="1:26" x14ac:dyDescent="0.25">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spans="1:26" x14ac:dyDescent="0.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spans="1:26" x14ac:dyDescent="0.25">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spans="1:26" x14ac:dyDescent="0.25">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spans="1:26" x14ac:dyDescent="0.25">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spans="1:26" x14ac:dyDescent="0.25">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spans="1:26" x14ac:dyDescent="0.25">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spans="1:26" x14ac:dyDescent="0.25">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spans="1:26" x14ac:dyDescent="0.25">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spans="1:26" x14ac:dyDescent="0.25">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spans="1:26" x14ac:dyDescent="0.25">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spans="1:26" x14ac:dyDescent="0.2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spans="1:26" x14ac:dyDescent="0.25">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spans="1:26" x14ac:dyDescent="0.25">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spans="1:26" x14ac:dyDescent="0.25">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spans="1:26" x14ac:dyDescent="0.25">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spans="1:26" x14ac:dyDescent="0.25">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spans="1:26" x14ac:dyDescent="0.25">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spans="1:26" x14ac:dyDescent="0.25">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spans="1:26" x14ac:dyDescent="0.25">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spans="1:26" x14ac:dyDescent="0.25">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spans="1:26" x14ac:dyDescent="0.2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spans="1:26" x14ac:dyDescent="0.25">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spans="1:26" x14ac:dyDescent="0.25">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spans="1:26" x14ac:dyDescent="0.25">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spans="1:26" x14ac:dyDescent="0.25">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spans="1:26" x14ac:dyDescent="0.25">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spans="1:26" x14ac:dyDescent="0.25">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spans="1:26" x14ac:dyDescent="0.25">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spans="1:26" x14ac:dyDescent="0.25">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spans="1:26" x14ac:dyDescent="0.25">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spans="1:26" x14ac:dyDescent="0.2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spans="1:26" x14ac:dyDescent="0.25">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spans="1:26" x14ac:dyDescent="0.25">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spans="1:26" x14ac:dyDescent="0.25">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spans="1:26" x14ac:dyDescent="0.25">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spans="1:26" x14ac:dyDescent="0.25">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spans="1:26" x14ac:dyDescent="0.25">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spans="1:26" x14ac:dyDescent="0.25">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spans="1:26" x14ac:dyDescent="0.25">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spans="1:26" x14ac:dyDescent="0.25">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spans="1:26" x14ac:dyDescent="0.2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spans="1:26" x14ac:dyDescent="0.25">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spans="1:26" x14ac:dyDescent="0.25">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spans="1:26" x14ac:dyDescent="0.25">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spans="1:26" x14ac:dyDescent="0.25">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spans="1:26" x14ac:dyDescent="0.25">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spans="1:26" x14ac:dyDescent="0.25">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spans="1:26" x14ac:dyDescent="0.25">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spans="1:26" x14ac:dyDescent="0.25">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spans="1:26" x14ac:dyDescent="0.25">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spans="1:26" x14ac:dyDescent="0.2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spans="1:26" x14ac:dyDescent="0.25">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spans="1:26" x14ac:dyDescent="0.25">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spans="1:26" x14ac:dyDescent="0.25">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spans="1:26" x14ac:dyDescent="0.25">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spans="1:26" x14ac:dyDescent="0.25">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spans="1:26" x14ac:dyDescent="0.25">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spans="1:26" x14ac:dyDescent="0.25">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spans="1:26" x14ac:dyDescent="0.25">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spans="1:26" x14ac:dyDescent="0.25">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spans="1:26" x14ac:dyDescent="0.2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spans="1:26" x14ac:dyDescent="0.25">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spans="1:26" x14ac:dyDescent="0.25">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spans="1:26" x14ac:dyDescent="0.25">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spans="1:26" x14ac:dyDescent="0.25">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spans="1:26" x14ac:dyDescent="0.25">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spans="1:26" x14ac:dyDescent="0.25">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spans="1:26" x14ac:dyDescent="0.25">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spans="1:26" x14ac:dyDescent="0.25">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spans="1:26" x14ac:dyDescent="0.25">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spans="1:26" x14ac:dyDescent="0.2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spans="1:26" x14ac:dyDescent="0.25">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spans="1:26" x14ac:dyDescent="0.25">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spans="1:26" x14ac:dyDescent="0.25">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spans="1:26" x14ac:dyDescent="0.25">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spans="1:26" x14ac:dyDescent="0.25">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sheetData>
  <sheetProtection sheet="1" objects="1" scenarios="1"/>
  <mergeCells count="16">
    <mergeCell ref="C51:D51"/>
    <mergeCell ref="C46:D46"/>
    <mergeCell ref="C47:D47"/>
    <mergeCell ref="C48:D48"/>
    <mergeCell ref="C49:D49"/>
    <mergeCell ref="C50:D50"/>
    <mergeCell ref="B20:D20"/>
    <mergeCell ref="B43:D43"/>
    <mergeCell ref="C44:D44"/>
    <mergeCell ref="C45:D45"/>
    <mergeCell ref="B33:D33"/>
    <mergeCell ref="B2:D2"/>
    <mergeCell ref="B3:D3"/>
    <mergeCell ref="B5:D5"/>
    <mergeCell ref="B7:D7"/>
    <mergeCell ref="B12:D1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Z500"/>
  <sheetViews>
    <sheetView topLeftCell="A3" zoomScaleNormal="100" workbookViewId="0">
      <selection activeCell="C22" sqref="C22"/>
    </sheetView>
  </sheetViews>
  <sheetFormatPr defaultColWidth="8.7109375" defaultRowHeight="15" x14ac:dyDescent="0.25"/>
  <cols>
    <col min="1" max="1" width="3" customWidth="1"/>
    <col min="2" max="2" width="81.5703125" bestFit="1" customWidth="1"/>
    <col min="3" max="3" width="20" bestFit="1" customWidth="1"/>
    <col min="4" max="4" width="16.28515625" bestFit="1" customWidth="1"/>
    <col min="5" max="5" width="58.7109375" bestFit="1" customWidth="1"/>
  </cols>
  <sheetData>
    <row r="1" spans="1:26" x14ac:dyDescent="0.25">
      <c r="A1" s="46"/>
      <c r="B1" s="46"/>
      <c r="C1" s="46"/>
      <c r="D1" s="46"/>
      <c r="E1" s="46"/>
      <c r="F1" s="46"/>
      <c r="G1" s="46"/>
      <c r="H1" s="46"/>
      <c r="I1" s="46"/>
      <c r="J1" s="46"/>
      <c r="K1" s="46"/>
      <c r="L1" s="46"/>
      <c r="M1" s="46"/>
      <c r="N1" s="46"/>
      <c r="O1" s="46"/>
      <c r="P1" s="46"/>
      <c r="Q1" s="46"/>
      <c r="R1" s="46"/>
      <c r="S1" s="46"/>
      <c r="T1" s="46"/>
      <c r="U1" s="46"/>
      <c r="V1" s="46"/>
      <c r="W1" s="46"/>
      <c r="X1" s="46"/>
      <c r="Y1" s="46"/>
      <c r="Z1" s="46"/>
    </row>
    <row r="2" spans="1:26" ht="18" x14ac:dyDescent="0.25">
      <c r="A2" s="46"/>
      <c r="B2" s="43" t="s">
        <v>855</v>
      </c>
      <c r="C2" s="44"/>
      <c r="D2" s="44"/>
      <c r="E2" s="44"/>
      <c r="F2" s="46"/>
      <c r="G2" s="46"/>
      <c r="H2" s="46"/>
      <c r="I2" s="46"/>
      <c r="J2" s="46"/>
      <c r="K2" s="46"/>
      <c r="L2" s="46"/>
      <c r="M2" s="46"/>
      <c r="N2" s="46"/>
      <c r="O2" s="46"/>
      <c r="P2" s="46"/>
      <c r="Q2" s="46"/>
      <c r="R2" s="46"/>
      <c r="S2" s="46"/>
      <c r="T2" s="46"/>
      <c r="U2" s="46"/>
      <c r="V2" s="46"/>
      <c r="W2" s="46"/>
      <c r="X2" s="46"/>
      <c r="Y2" s="46"/>
      <c r="Z2" s="46"/>
    </row>
    <row r="3" spans="1:26" x14ac:dyDescent="0.25">
      <c r="A3" s="46"/>
      <c r="B3" s="45" t="s">
        <v>59</v>
      </c>
      <c r="C3" s="45"/>
      <c r="D3" s="45"/>
      <c r="E3" s="45"/>
      <c r="F3" s="46"/>
      <c r="G3" s="46"/>
      <c r="H3" s="46"/>
      <c r="I3" s="46"/>
      <c r="J3" s="46"/>
      <c r="K3" s="46"/>
      <c r="L3" s="46"/>
      <c r="M3" s="46"/>
      <c r="N3" s="46"/>
      <c r="O3" s="46"/>
      <c r="P3" s="46"/>
      <c r="Q3" s="46"/>
      <c r="R3" s="46"/>
      <c r="S3" s="46"/>
      <c r="T3" s="46"/>
      <c r="U3" s="46"/>
      <c r="V3" s="46"/>
      <c r="W3" s="46"/>
      <c r="X3" s="46"/>
      <c r="Y3" s="46"/>
      <c r="Z3" s="46"/>
    </row>
    <row r="4" spans="1:26" x14ac:dyDescent="0.25">
      <c r="A4" s="46"/>
      <c r="B4" s="46"/>
      <c r="C4" s="46"/>
      <c r="D4" s="46"/>
      <c r="E4" s="46"/>
      <c r="F4" s="46"/>
      <c r="G4" s="46"/>
      <c r="H4" s="46"/>
      <c r="I4" s="46"/>
      <c r="J4" s="46"/>
      <c r="K4" s="46"/>
      <c r="L4" s="46"/>
      <c r="M4" s="46"/>
      <c r="N4" s="46"/>
      <c r="O4" s="46"/>
      <c r="P4" s="46"/>
      <c r="Q4" s="46"/>
      <c r="R4" s="46"/>
      <c r="S4" s="46"/>
      <c r="T4" s="46"/>
      <c r="U4" s="46"/>
      <c r="V4" s="46"/>
      <c r="W4" s="46"/>
      <c r="X4" s="46"/>
      <c r="Y4" s="46"/>
      <c r="Z4" s="46"/>
    </row>
    <row r="5" spans="1:26" x14ac:dyDescent="0.25">
      <c r="A5" s="46"/>
      <c r="B5" s="47" t="s">
        <v>60</v>
      </c>
      <c r="C5" s="46"/>
      <c r="D5" s="46"/>
      <c r="E5" s="46"/>
      <c r="F5" s="46"/>
      <c r="G5" s="46"/>
      <c r="H5" s="46"/>
      <c r="I5" s="46"/>
      <c r="J5" s="46"/>
      <c r="K5" s="46"/>
      <c r="L5" s="46"/>
      <c r="M5" s="46"/>
      <c r="N5" s="46"/>
      <c r="O5" s="46"/>
      <c r="P5" s="46"/>
      <c r="Q5" s="46"/>
      <c r="R5" s="46"/>
      <c r="S5" s="46"/>
      <c r="T5" s="46"/>
      <c r="U5" s="46"/>
      <c r="V5" s="46"/>
      <c r="W5" s="46"/>
      <c r="X5" s="46"/>
      <c r="Y5" s="46"/>
      <c r="Z5" s="46"/>
    </row>
    <row r="6" spans="1:26" x14ac:dyDescent="0.25">
      <c r="A6" s="46"/>
      <c r="B6" s="46"/>
      <c r="C6" s="46"/>
      <c r="D6" s="46"/>
      <c r="E6" s="46"/>
      <c r="F6" s="46"/>
      <c r="G6" s="46"/>
      <c r="H6" s="46"/>
      <c r="I6" s="46"/>
      <c r="J6" s="46"/>
      <c r="K6" s="46"/>
      <c r="L6" s="46"/>
      <c r="M6" s="46"/>
      <c r="N6" s="46"/>
      <c r="O6" s="46"/>
      <c r="P6" s="46"/>
      <c r="Q6" s="46"/>
      <c r="R6" s="46"/>
      <c r="S6" s="46"/>
      <c r="T6" s="46"/>
      <c r="U6" s="46"/>
      <c r="V6" s="46"/>
      <c r="W6" s="46"/>
      <c r="X6" s="46"/>
      <c r="Y6" s="46"/>
      <c r="Z6" s="46"/>
    </row>
    <row r="7" spans="1:26" x14ac:dyDescent="0.25">
      <c r="A7" s="46"/>
      <c r="B7" s="45" t="s">
        <v>61</v>
      </c>
      <c r="C7" s="45"/>
      <c r="D7" s="45"/>
      <c r="E7" s="45"/>
      <c r="F7" s="46"/>
      <c r="G7" s="46"/>
      <c r="H7" s="46"/>
      <c r="I7" s="46"/>
      <c r="J7" s="46"/>
      <c r="K7" s="46"/>
      <c r="L7" s="46"/>
      <c r="M7" s="46"/>
      <c r="N7" s="46"/>
      <c r="O7" s="46"/>
      <c r="P7" s="46"/>
      <c r="Q7" s="46"/>
      <c r="R7" s="46"/>
      <c r="S7" s="46"/>
      <c r="T7" s="46"/>
      <c r="U7" s="46"/>
      <c r="V7" s="46"/>
      <c r="W7" s="46"/>
      <c r="X7" s="46"/>
      <c r="Y7" s="46"/>
      <c r="Z7" s="46"/>
    </row>
    <row r="8" spans="1:26" x14ac:dyDescent="0.25">
      <c r="A8" s="46"/>
      <c r="B8" s="48" t="s">
        <v>62</v>
      </c>
      <c r="C8" s="3">
        <v>3</v>
      </c>
      <c r="D8" s="47" t="s">
        <v>63</v>
      </c>
      <c r="E8" s="47" t="s">
        <v>64</v>
      </c>
      <c r="F8" s="46"/>
      <c r="G8" s="46"/>
      <c r="H8" s="46"/>
      <c r="I8" s="46"/>
      <c r="J8" s="46"/>
      <c r="K8" s="46"/>
      <c r="L8" s="46"/>
      <c r="M8" s="46"/>
      <c r="N8" s="46"/>
      <c r="O8" s="46"/>
      <c r="P8" s="46"/>
      <c r="Q8" s="46"/>
      <c r="R8" s="46"/>
      <c r="S8" s="46"/>
      <c r="T8" s="46"/>
      <c r="U8" s="46"/>
      <c r="V8" s="46"/>
      <c r="W8" s="46"/>
      <c r="X8" s="46"/>
      <c r="Y8" s="46"/>
      <c r="Z8" s="46"/>
    </row>
    <row r="9" spans="1:26" x14ac:dyDescent="0.25">
      <c r="A9" s="46"/>
      <c r="B9" s="48" t="s">
        <v>65</v>
      </c>
      <c r="C9" s="4" t="s">
        <v>66</v>
      </c>
      <c r="D9" s="47" t="s">
        <v>67</v>
      </c>
      <c r="E9" s="47" t="s">
        <v>68</v>
      </c>
      <c r="F9" s="46"/>
      <c r="G9" s="46"/>
      <c r="H9" s="46"/>
      <c r="I9" s="46"/>
      <c r="J9" s="46"/>
      <c r="K9" s="46"/>
      <c r="L9" s="46"/>
      <c r="M9" s="46"/>
      <c r="N9" s="46"/>
      <c r="O9" s="46"/>
      <c r="P9" s="46"/>
      <c r="Q9" s="46"/>
      <c r="R9" s="46"/>
      <c r="S9" s="46"/>
      <c r="T9" s="46"/>
      <c r="U9" s="46"/>
      <c r="V9" s="46"/>
      <c r="W9" s="46"/>
      <c r="X9" s="46"/>
      <c r="Y9" s="46"/>
      <c r="Z9" s="46"/>
    </row>
    <row r="10" spans="1:26" x14ac:dyDescent="0.25">
      <c r="A10" s="46"/>
      <c r="B10" s="48" t="s">
        <v>69</v>
      </c>
      <c r="C10" s="3">
        <v>4</v>
      </c>
      <c r="D10" s="47" t="s">
        <v>70</v>
      </c>
      <c r="E10" s="47" t="s">
        <v>928</v>
      </c>
      <c r="F10" s="46"/>
      <c r="G10" s="46"/>
      <c r="H10" s="46"/>
      <c r="I10" s="46"/>
      <c r="J10" s="46"/>
      <c r="K10" s="46"/>
      <c r="L10" s="46"/>
      <c r="M10" s="46"/>
      <c r="N10" s="46"/>
      <c r="O10" s="46"/>
      <c r="P10" s="46"/>
      <c r="Q10" s="46"/>
      <c r="R10" s="46"/>
      <c r="S10" s="46"/>
      <c r="T10" s="46"/>
      <c r="U10" s="46"/>
      <c r="V10" s="46"/>
      <c r="W10" s="46"/>
      <c r="X10" s="46"/>
      <c r="Y10" s="46"/>
      <c r="Z10" s="46"/>
    </row>
    <row r="11" spans="1:26" x14ac:dyDescent="0.25">
      <c r="A11" s="46"/>
      <c r="B11" s="48" t="s">
        <v>71</v>
      </c>
      <c r="C11" s="5">
        <v>3.84</v>
      </c>
      <c r="D11" s="47" t="s">
        <v>72</v>
      </c>
      <c r="E11" s="47" t="s">
        <v>73</v>
      </c>
      <c r="F11" s="46"/>
      <c r="G11" s="46"/>
      <c r="H11" s="46"/>
      <c r="I11" s="46"/>
      <c r="J11" s="46"/>
      <c r="K11" s="46"/>
      <c r="L11" s="46"/>
      <c r="M11" s="46"/>
      <c r="N11" s="46"/>
      <c r="O11" s="46"/>
      <c r="P11" s="46"/>
      <c r="Q11" s="46"/>
      <c r="R11" s="46"/>
      <c r="S11" s="46"/>
      <c r="T11" s="46"/>
      <c r="U11" s="46"/>
      <c r="V11" s="46"/>
      <c r="W11" s="46"/>
      <c r="X11" s="46"/>
      <c r="Y11" s="46"/>
      <c r="Z11" s="46"/>
    </row>
    <row r="12" spans="1:26" x14ac:dyDescent="0.25">
      <c r="A12" s="46"/>
      <c r="B12" s="48" t="s">
        <v>74</v>
      </c>
      <c r="C12" s="4">
        <v>0</v>
      </c>
      <c r="D12" s="47" t="s">
        <v>75</v>
      </c>
      <c r="E12" s="47" t="s">
        <v>76</v>
      </c>
      <c r="F12" s="46"/>
      <c r="G12" s="46"/>
      <c r="H12" s="46"/>
      <c r="I12" s="46"/>
      <c r="J12" s="46"/>
      <c r="K12" s="46"/>
      <c r="L12" s="46"/>
      <c r="M12" s="46"/>
      <c r="N12" s="46"/>
      <c r="O12" s="46"/>
      <c r="P12" s="46"/>
      <c r="Q12" s="46"/>
      <c r="R12" s="46"/>
      <c r="S12" s="46"/>
      <c r="T12" s="46"/>
      <c r="U12" s="46"/>
      <c r="V12" s="46"/>
      <c r="W12" s="46"/>
      <c r="X12" s="46"/>
      <c r="Y12" s="46"/>
      <c r="Z12" s="46"/>
    </row>
    <row r="13" spans="1:26" x14ac:dyDescent="0.25">
      <c r="A13" s="46"/>
      <c r="B13" s="48" t="s">
        <v>77</v>
      </c>
      <c r="C13" s="4" t="s">
        <v>78</v>
      </c>
      <c r="D13" s="47" t="s">
        <v>67</v>
      </c>
      <c r="E13" s="47" t="s">
        <v>79</v>
      </c>
      <c r="F13" s="46"/>
      <c r="G13" s="46"/>
      <c r="H13" s="46"/>
      <c r="I13" s="46"/>
      <c r="J13" s="46"/>
      <c r="K13" s="46"/>
      <c r="L13" s="46"/>
      <c r="M13" s="46"/>
      <c r="N13" s="46"/>
      <c r="O13" s="46"/>
      <c r="P13" s="46"/>
      <c r="Q13" s="46"/>
      <c r="R13" s="46"/>
      <c r="S13" s="46"/>
      <c r="T13" s="46"/>
      <c r="U13" s="46"/>
      <c r="V13" s="46"/>
      <c r="W13" s="46"/>
      <c r="X13" s="46"/>
      <c r="Y13" s="46"/>
      <c r="Z13" s="46"/>
    </row>
    <row r="14" spans="1:26" x14ac:dyDescent="0.25">
      <c r="A14" s="46"/>
      <c r="B14" s="46"/>
      <c r="C14" s="46"/>
      <c r="D14" s="46"/>
      <c r="E14" s="46"/>
      <c r="F14" s="46"/>
      <c r="G14" s="46"/>
      <c r="H14" s="46"/>
      <c r="I14" s="46"/>
      <c r="J14" s="46"/>
      <c r="K14" s="46"/>
      <c r="L14" s="46"/>
      <c r="M14" s="46"/>
      <c r="N14" s="46"/>
      <c r="O14" s="46"/>
      <c r="P14" s="46"/>
      <c r="Q14" s="46"/>
      <c r="R14" s="46"/>
      <c r="S14" s="46"/>
      <c r="T14" s="46"/>
      <c r="U14" s="46"/>
      <c r="V14" s="46"/>
      <c r="W14" s="46"/>
      <c r="X14" s="46"/>
      <c r="Y14" s="46"/>
      <c r="Z14" s="46"/>
    </row>
    <row r="15" spans="1:26" x14ac:dyDescent="0.25">
      <c r="A15" s="46"/>
      <c r="B15" s="45" t="s">
        <v>80</v>
      </c>
      <c r="C15" s="45"/>
      <c r="D15" s="45"/>
      <c r="E15" s="45"/>
      <c r="F15" s="46"/>
      <c r="G15" s="46"/>
      <c r="H15" s="46"/>
      <c r="I15" s="46"/>
      <c r="J15" s="46"/>
      <c r="K15" s="46"/>
      <c r="L15" s="46"/>
      <c r="M15" s="46"/>
      <c r="N15" s="46"/>
      <c r="O15" s="46"/>
      <c r="P15" s="46"/>
      <c r="Q15" s="46"/>
      <c r="R15" s="46"/>
      <c r="S15" s="46"/>
      <c r="T15" s="46"/>
      <c r="U15" s="46"/>
      <c r="V15" s="46"/>
      <c r="W15" s="46"/>
      <c r="X15" s="46"/>
      <c r="Y15" s="46"/>
      <c r="Z15" s="46"/>
    </row>
    <row r="16" spans="1:26" x14ac:dyDescent="0.25">
      <c r="A16" s="46"/>
      <c r="B16" s="48" t="s">
        <v>81</v>
      </c>
      <c r="C16" s="50">
        <f>C8*C10</f>
        <v>12</v>
      </c>
      <c r="D16" s="51" t="s">
        <v>82</v>
      </c>
      <c r="E16" s="47" t="s">
        <v>83</v>
      </c>
      <c r="F16" s="46"/>
      <c r="G16" s="46"/>
      <c r="H16" s="46"/>
      <c r="I16" s="46"/>
      <c r="J16" s="46"/>
      <c r="K16" s="46"/>
      <c r="L16" s="46"/>
      <c r="M16" s="46"/>
      <c r="N16" s="46"/>
      <c r="O16" s="46"/>
      <c r="P16" s="46"/>
      <c r="Q16" s="46"/>
      <c r="R16" s="46"/>
      <c r="S16" s="46"/>
      <c r="T16" s="46"/>
      <c r="U16" s="46"/>
      <c r="V16" s="46"/>
      <c r="W16" s="46"/>
      <c r="X16" s="46"/>
      <c r="Y16" s="46"/>
      <c r="Z16" s="46"/>
    </row>
    <row r="17" spans="1:26" x14ac:dyDescent="0.25">
      <c r="A17" s="46"/>
      <c r="B17" s="48" t="s">
        <v>84</v>
      </c>
      <c r="C17" s="50">
        <f>IF(C9="NVMe + SSD (NVMe is Cache)",C8*C12,0)</f>
        <v>0</v>
      </c>
      <c r="D17" s="51" t="s">
        <v>82</v>
      </c>
      <c r="E17" s="47" t="s">
        <v>85</v>
      </c>
      <c r="F17" s="46"/>
      <c r="G17" s="46"/>
      <c r="H17" s="46"/>
      <c r="I17" s="46"/>
      <c r="J17" s="46"/>
      <c r="K17" s="46"/>
      <c r="L17" s="46"/>
      <c r="M17" s="46"/>
      <c r="N17" s="46"/>
      <c r="O17" s="46"/>
      <c r="P17" s="46"/>
      <c r="Q17" s="46"/>
      <c r="R17" s="46"/>
      <c r="S17" s="46"/>
      <c r="T17" s="46"/>
      <c r="U17" s="46"/>
      <c r="V17" s="46"/>
      <c r="W17" s="46"/>
      <c r="X17" s="46"/>
      <c r="Y17" s="46"/>
      <c r="Z17" s="46"/>
    </row>
    <row r="18" spans="1:26" x14ac:dyDescent="0.25">
      <c r="A18" s="46"/>
      <c r="B18" s="48" t="s">
        <v>86</v>
      </c>
      <c r="C18" s="52">
        <f>C16*C11</f>
        <v>46.08</v>
      </c>
      <c r="D18" s="51" t="s">
        <v>87</v>
      </c>
      <c r="E18" s="47" t="s">
        <v>88</v>
      </c>
      <c r="F18" s="46"/>
      <c r="G18" s="46"/>
      <c r="H18" s="46"/>
      <c r="I18" s="46"/>
      <c r="J18" s="46"/>
      <c r="K18" s="46"/>
      <c r="L18" s="46"/>
      <c r="M18" s="46"/>
      <c r="N18" s="46"/>
      <c r="O18" s="46"/>
      <c r="P18" s="46"/>
      <c r="Q18" s="46"/>
      <c r="R18" s="46"/>
      <c r="S18" s="46"/>
      <c r="T18" s="46"/>
      <c r="U18" s="46"/>
      <c r="V18" s="46"/>
      <c r="W18" s="46"/>
      <c r="X18" s="46"/>
      <c r="Y18" s="46"/>
      <c r="Z18" s="46"/>
    </row>
    <row r="19" spans="1:26" x14ac:dyDescent="0.25">
      <c r="A19" s="46"/>
      <c r="B19" s="48" t="s">
        <v>89</v>
      </c>
      <c r="C19" s="52">
        <f>C11*'Advanced Settings'!C8</f>
        <v>3.5327999999999999</v>
      </c>
      <c r="D19" s="51" t="s">
        <v>87</v>
      </c>
      <c r="E19" s="47" t="s">
        <v>90</v>
      </c>
      <c r="F19" s="46"/>
      <c r="G19" s="46"/>
      <c r="H19" s="46"/>
      <c r="I19" s="46"/>
      <c r="J19" s="46"/>
      <c r="K19" s="46"/>
      <c r="L19" s="46"/>
      <c r="M19" s="46"/>
      <c r="N19" s="46"/>
      <c r="O19" s="46"/>
      <c r="P19" s="46"/>
      <c r="Q19" s="46"/>
      <c r="R19" s="46"/>
      <c r="S19" s="46"/>
      <c r="T19" s="46"/>
      <c r="U19" s="46"/>
      <c r="V19" s="46"/>
      <c r="W19" s="46"/>
      <c r="X19" s="46"/>
      <c r="Y19" s="46"/>
      <c r="Z19" s="46"/>
    </row>
    <row r="20" spans="1:26" x14ac:dyDescent="0.25">
      <c r="A20" s="46"/>
      <c r="B20" s="48" t="s">
        <v>91</v>
      </c>
      <c r="C20" s="52">
        <f>C16*C19</f>
        <v>42.393599999999999</v>
      </c>
      <c r="D20" s="51" t="s">
        <v>87</v>
      </c>
      <c r="E20" s="47" t="s">
        <v>92</v>
      </c>
      <c r="F20" s="46"/>
      <c r="G20" s="46"/>
      <c r="H20" s="46"/>
      <c r="I20" s="46"/>
      <c r="J20" s="46"/>
      <c r="K20" s="46"/>
      <c r="L20" s="46"/>
      <c r="M20" s="46"/>
      <c r="N20" s="46"/>
      <c r="O20" s="46"/>
      <c r="P20" s="46"/>
      <c r="Q20" s="46"/>
      <c r="R20" s="46"/>
      <c r="S20" s="46"/>
      <c r="T20" s="46"/>
      <c r="U20" s="46"/>
      <c r="V20" s="46"/>
      <c r="W20" s="46"/>
      <c r="X20" s="46"/>
      <c r="Y20" s="46"/>
      <c r="Z20" s="46"/>
    </row>
    <row r="21" spans="1:26" x14ac:dyDescent="0.25">
      <c r="A21" s="46"/>
      <c r="B21" s="53" t="s">
        <v>93</v>
      </c>
      <c r="C21" s="54">
        <f>MIN(C8,4)*C19</f>
        <v>10.5984</v>
      </c>
      <c r="D21" s="51" t="s">
        <v>87</v>
      </c>
      <c r="E21" s="47" t="s">
        <v>94</v>
      </c>
      <c r="F21" s="46"/>
      <c r="G21" s="46"/>
      <c r="H21" s="46"/>
      <c r="I21" s="46"/>
      <c r="J21" s="46"/>
      <c r="K21" s="46"/>
      <c r="L21" s="46"/>
      <c r="M21" s="46"/>
      <c r="N21" s="46"/>
      <c r="O21" s="46"/>
      <c r="P21" s="46"/>
      <c r="Q21" s="46"/>
      <c r="R21" s="46"/>
      <c r="S21" s="46"/>
      <c r="T21" s="46"/>
      <c r="U21" s="46"/>
      <c r="V21" s="46"/>
      <c r="W21" s="46"/>
      <c r="X21" s="46"/>
      <c r="Y21" s="46"/>
      <c r="Z21" s="46"/>
    </row>
    <row r="22" spans="1:26" x14ac:dyDescent="0.25">
      <c r="A22" s="46"/>
      <c r="B22" s="53" t="s">
        <v>95</v>
      </c>
      <c r="C22" s="54">
        <f>'Advanced Settings'!C14</f>
        <v>0.75</v>
      </c>
      <c r="D22" s="51" t="s">
        <v>96</v>
      </c>
      <c r="E22" s="47" t="s">
        <v>97</v>
      </c>
      <c r="F22" s="46"/>
      <c r="G22" s="46"/>
      <c r="H22" s="46"/>
      <c r="I22" s="46"/>
      <c r="J22" s="46"/>
      <c r="K22" s="46"/>
      <c r="L22" s="46"/>
      <c r="M22" s="46"/>
      <c r="N22" s="46"/>
      <c r="O22" s="46"/>
      <c r="P22" s="46"/>
      <c r="Q22" s="46"/>
      <c r="R22" s="46"/>
      <c r="S22" s="46"/>
      <c r="T22" s="46"/>
      <c r="U22" s="46"/>
      <c r="V22" s="46"/>
      <c r="W22" s="46"/>
      <c r="X22" s="46"/>
      <c r="Y22" s="46"/>
      <c r="Z22" s="46"/>
    </row>
    <row r="23" spans="1:26" x14ac:dyDescent="0.25">
      <c r="A23" s="46"/>
      <c r="B23" s="46"/>
      <c r="C23" s="46"/>
      <c r="D23" s="46"/>
      <c r="E23" s="46"/>
      <c r="F23" s="46"/>
      <c r="G23" s="46"/>
      <c r="H23" s="46"/>
      <c r="I23" s="46"/>
      <c r="J23" s="46"/>
      <c r="K23" s="46"/>
      <c r="L23" s="46"/>
      <c r="M23" s="46"/>
      <c r="N23" s="46"/>
      <c r="O23" s="46"/>
      <c r="P23" s="46"/>
      <c r="Q23" s="46"/>
      <c r="R23" s="46"/>
      <c r="S23" s="46"/>
      <c r="T23" s="46"/>
      <c r="U23" s="46"/>
      <c r="V23" s="46"/>
      <c r="W23" s="46"/>
      <c r="X23" s="46"/>
      <c r="Y23" s="46"/>
      <c r="Z23" s="46"/>
    </row>
    <row r="24" spans="1:26" ht="36" customHeight="1" x14ac:dyDescent="0.3">
      <c r="A24" s="46"/>
      <c r="B24" s="55" t="s">
        <v>98</v>
      </c>
      <c r="C24" s="56">
        <f>C20-C21-C22</f>
        <v>31.045200000000001</v>
      </c>
      <c r="D24" s="55" t="s">
        <v>87</v>
      </c>
      <c r="E24" s="57" t="s">
        <v>99</v>
      </c>
      <c r="F24" s="46"/>
      <c r="G24" s="46"/>
      <c r="H24" s="46"/>
      <c r="I24" s="46"/>
      <c r="J24" s="46"/>
      <c r="K24" s="46"/>
      <c r="L24" s="46"/>
      <c r="M24" s="46"/>
      <c r="N24" s="46"/>
      <c r="O24" s="46"/>
      <c r="P24" s="46"/>
      <c r="Q24" s="46"/>
      <c r="R24" s="46"/>
      <c r="S24" s="46"/>
      <c r="T24" s="46"/>
      <c r="U24" s="46"/>
      <c r="V24" s="46"/>
      <c r="W24" s="46"/>
      <c r="X24" s="46"/>
      <c r="Y24" s="46"/>
      <c r="Z24" s="46"/>
    </row>
    <row r="25" spans="1:26" x14ac:dyDescent="0.25">
      <c r="A25" s="46"/>
      <c r="B25" s="46"/>
      <c r="C25" s="46"/>
      <c r="D25" s="46"/>
      <c r="E25" s="46"/>
      <c r="F25" s="46"/>
      <c r="G25" s="46"/>
      <c r="H25" s="46"/>
      <c r="I25" s="46"/>
      <c r="J25" s="46"/>
      <c r="K25" s="46"/>
      <c r="L25" s="46"/>
      <c r="M25" s="46"/>
      <c r="N25" s="46"/>
      <c r="O25" s="46"/>
      <c r="P25" s="46"/>
      <c r="Q25" s="46"/>
      <c r="R25" s="46"/>
      <c r="S25" s="46"/>
      <c r="T25" s="46"/>
      <c r="U25" s="46"/>
      <c r="V25" s="46"/>
      <c r="W25" s="46"/>
      <c r="X25" s="46"/>
      <c r="Y25" s="46"/>
      <c r="Z25" s="46"/>
    </row>
    <row r="26" spans="1:26" x14ac:dyDescent="0.25">
      <c r="A26" s="46"/>
      <c r="B26" s="58" t="s">
        <v>100</v>
      </c>
      <c r="C26" s="52">
        <f>ROUND(C24*1000/1024,2)</f>
        <v>30.32</v>
      </c>
      <c r="D26" s="51" t="s">
        <v>101</v>
      </c>
      <c r="E26" s="47" t="s">
        <v>102</v>
      </c>
      <c r="F26" s="46"/>
      <c r="G26" s="46"/>
      <c r="H26" s="46"/>
      <c r="I26" s="46"/>
      <c r="J26" s="46"/>
      <c r="K26" s="46"/>
      <c r="L26" s="46"/>
      <c r="M26" s="46"/>
      <c r="N26" s="46"/>
      <c r="O26" s="46"/>
      <c r="P26" s="46"/>
      <c r="Q26" s="46"/>
      <c r="R26" s="46"/>
      <c r="S26" s="46"/>
      <c r="T26" s="46"/>
      <c r="U26" s="46"/>
      <c r="V26" s="46"/>
      <c r="W26" s="46"/>
      <c r="X26" s="46"/>
      <c r="Y26" s="46"/>
      <c r="Z26" s="46"/>
    </row>
    <row r="27" spans="1:26" x14ac:dyDescent="0.25">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row>
    <row r="28" spans="1:26" x14ac:dyDescent="0.25">
      <c r="A28" s="46"/>
      <c r="B28" s="59" t="s">
        <v>471</v>
      </c>
      <c r="C28" s="60"/>
      <c r="D28" s="61"/>
      <c r="E28" s="62"/>
      <c r="F28" s="46"/>
      <c r="G28" s="46"/>
      <c r="H28" s="46"/>
      <c r="I28" s="46"/>
      <c r="J28" s="46"/>
      <c r="K28" s="46"/>
      <c r="L28" s="46"/>
      <c r="M28" s="46"/>
      <c r="N28" s="46"/>
      <c r="O28" s="46"/>
      <c r="P28" s="46"/>
      <c r="Q28" s="46"/>
      <c r="R28" s="46"/>
      <c r="S28" s="46"/>
      <c r="T28" s="46"/>
      <c r="U28" s="46"/>
      <c r="V28" s="46"/>
      <c r="W28" s="46"/>
      <c r="X28" s="46"/>
      <c r="Y28" s="46"/>
      <c r="Z28" s="46"/>
    </row>
    <row r="29" spans="1:26" x14ac:dyDescent="0.25">
      <c r="A29" s="46"/>
      <c r="B29" s="63" t="s">
        <v>472</v>
      </c>
      <c r="C29" s="6">
        <v>32</v>
      </c>
      <c r="D29" s="65" t="s">
        <v>473</v>
      </c>
      <c r="E29" s="66" t="s">
        <v>474</v>
      </c>
      <c r="F29" s="46"/>
      <c r="G29" s="46"/>
      <c r="H29" s="46"/>
      <c r="I29" s="46"/>
      <c r="J29" s="46"/>
      <c r="K29" s="46"/>
      <c r="L29" s="46"/>
      <c r="M29" s="46"/>
      <c r="N29" s="46"/>
      <c r="O29" s="46"/>
      <c r="P29" s="46"/>
      <c r="Q29" s="46"/>
      <c r="R29" s="46"/>
      <c r="S29" s="46"/>
      <c r="T29" s="46"/>
      <c r="U29" s="46"/>
      <c r="V29" s="46"/>
      <c r="W29" s="46"/>
      <c r="X29" s="46"/>
      <c r="Y29" s="46"/>
      <c r="Z29" s="46"/>
    </row>
    <row r="30" spans="1:26" x14ac:dyDescent="0.25">
      <c r="A30" s="46"/>
      <c r="B30" s="63" t="s">
        <v>475</v>
      </c>
      <c r="C30" s="7" t="s">
        <v>131</v>
      </c>
      <c r="D30" s="67" t="s">
        <v>476</v>
      </c>
      <c r="E30" s="66" t="s">
        <v>477</v>
      </c>
      <c r="F30" s="46"/>
      <c r="G30" s="46"/>
      <c r="H30" s="46"/>
      <c r="I30" s="46"/>
      <c r="J30" s="46"/>
      <c r="K30" s="46"/>
      <c r="L30" s="46"/>
      <c r="M30" s="46"/>
      <c r="N30" s="46"/>
      <c r="O30" s="46"/>
      <c r="P30" s="46"/>
      <c r="Q30" s="46"/>
      <c r="R30" s="46"/>
      <c r="S30" s="46"/>
      <c r="T30" s="46"/>
      <c r="U30" s="46"/>
      <c r="V30" s="46"/>
      <c r="W30" s="46"/>
      <c r="X30" s="46"/>
      <c r="Y30" s="46"/>
      <c r="Z30" s="46"/>
    </row>
    <row r="31" spans="1:26" x14ac:dyDescent="0.25">
      <c r="A31" s="46"/>
      <c r="B31" s="63" t="s">
        <v>478</v>
      </c>
      <c r="C31" s="6">
        <v>256</v>
      </c>
      <c r="D31" s="65" t="s">
        <v>126</v>
      </c>
      <c r="E31" s="66" t="s">
        <v>479</v>
      </c>
      <c r="F31" s="46"/>
      <c r="G31" s="46"/>
      <c r="H31" s="46"/>
      <c r="I31" s="46"/>
      <c r="J31" s="46"/>
      <c r="K31" s="46"/>
      <c r="L31" s="46"/>
      <c r="M31" s="46"/>
      <c r="N31" s="46"/>
      <c r="O31" s="46"/>
      <c r="P31" s="46"/>
      <c r="Q31" s="46"/>
      <c r="R31" s="46"/>
      <c r="S31" s="46"/>
      <c r="T31" s="46"/>
      <c r="U31" s="46"/>
      <c r="V31" s="46"/>
      <c r="W31" s="46"/>
      <c r="X31" s="46"/>
      <c r="Y31" s="46"/>
      <c r="Z31" s="46"/>
    </row>
    <row r="32" spans="1:26" x14ac:dyDescent="0.25">
      <c r="A32" s="46"/>
      <c r="B32" s="63" t="s">
        <v>480</v>
      </c>
      <c r="C32" s="6">
        <v>32</v>
      </c>
      <c r="D32" s="65" t="s">
        <v>126</v>
      </c>
      <c r="E32" s="66" t="s">
        <v>481</v>
      </c>
      <c r="F32" s="46"/>
      <c r="G32" s="46"/>
      <c r="H32" s="46"/>
      <c r="I32" s="46"/>
      <c r="J32" s="46"/>
      <c r="K32" s="46"/>
      <c r="L32" s="46"/>
      <c r="M32" s="46"/>
      <c r="N32" s="46"/>
      <c r="O32" s="46"/>
      <c r="P32" s="46"/>
      <c r="Q32" s="46"/>
      <c r="R32" s="46"/>
      <c r="S32" s="46"/>
      <c r="T32" s="46"/>
      <c r="U32" s="46"/>
      <c r="V32" s="46"/>
      <c r="W32" s="46"/>
      <c r="X32" s="46"/>
      <c r="Y32" s="46"/>
      <c r="Z32" s="46"/>
    </row>
    <row r="33" spans="1:26" x14ac:dyDescent="0.25">
      <c r="A33" s="46"/>
      <c r="B33" s="68"/>
      <c r="C33" s="68"/>
      <c r="D33" s="69"/>
      <c r="E33" s="70"/>
      <c r="F33" s="46"/>
      <c r="G33" s="46"/>
      <c r="H33" s="46"/>
      <c r="I33" s="46"/>
      <c r="J33" s="46"/>
      <c r="K33" s="46"/>
      <c r="L33" s="46"/>
      <c r="M33" s="46"/>
      <c r="N33" s="46"/>
      <c r="O33" s="46"/>
      <c r="P33" s="46"/>
      <c r="Q33" s="46"/>
      <c r="R33" s="46"/>
      <c r="S33" s="46"/>
      <c r="T33" s="46"/>
      <c r="U33" s="46"/>
      <c r="V33" s="46"/>
      <c r="W33" s="46"/>
      <c r="X33" s="46"/>
      <c r="Y33" s="46"/>
      <c r="Z33" s="46"/>
    </row>
    <row r="34" spans="1:26" x14ac:dyDescent="0.25">
      <c r="A34" s="46"/>
      <c r="B34" s="59" t="s">
        <v>482</v>
      </c>
      <c r="C34" s="60"/>
      <c r="D34" s="61"/>
      <c r="E34" s="62"/>
      <c r="F34" s="46"/>
      <c r="G34" s="46"/>
      <c r="H34" s="46"/>
      <c r="I34" s="46"/>
      <c r="J34" s="46"/>
      <c r="K34" s="46"/>
      <c r="L34" s="46"/>
      <c r="M34" s="46"/>
      <c r="N34" s="46"/>
      <c r="O34" s="46"/>
      <c r="P34" s="46"/>
      <c r="Q34" s="46"/>
      <c r="R34" s="46"/>
      <c r="S34" s="46"/>
      <c r="T34" s="46"/>
      <c r="U34" s="46"/>
      <c r="V34" s="46"/>
      <c r="W34" s="46"/>
      <c r="X34" s="46"/>
      <c r="Y34" s="46"/>
      <c r="Z34" s="46"/>
    </row>
    <row r="35" spans="1:26" x14ac:dyDescent="0.25">
      <c r="A35" s="46"/>
      <c r="B35" s="63" t="s">
        <v>483</v>
      </c>
      <c r="C35" s="71">
        <f>IF(C30="Yes",C29*2,C29)</f>
        <v>64</v>
      </c>
      <c r="D35" s="65" t="s">
        <v>484</v>
      </c>
      <c r="E35" s="66" t="s">
        <v>485</v>
      </c>
      <c r="F35" s="46"/>
      <c r="G35" s="46"/>
      <c r="H35" s="46"/>
      <c r="I35" s="46"/>
      <c r="J35" s="46"/>
      <c r="K35" s="46"/>
      <c r="L35" s="46"/>
      <c r="M35" s="46"/>
      <c r="N35" s="46"/>
      <c r="O35" s="46"/>
      <c r="P35" s="46"/>
      <c r="Q35" s="46"/>
      <c r="R35" s="46"/>
      <c r="S35" s="46"/>
      <c r="T35" s="46"/>
      <c r="U35" s="46"/>
      <c r="V35" s="46"/>
      <c r="W35" s="46"/>
      <c r="X35" s="46"/>
      <c r="Y35" s="46"/>
      <c r="Z35" s="46"/>
    </row>
    <row r="36" spans="1:26" x14ac:dyDescent="0.25">
      <c r="A36" s="46"/>
      <c r="B36" s="63" t="s">
        <v>486</v>
      </c>
      <c r="C36" s="71">
        <f>C31-C32</f>
        <v>224</v>
      </c>
      <c r="D36" s="65" t="s">
        <v>126</v>
      </c>
      <c r="E36" s="66" t="s">
        <v>487</v>
      </c>
      <c r="F36" s="46"/>
      <c r="G36" s="46"/>
      <c r="H36" s="46"/>
      <c r="I36" s="46"/>
      <c r="J36" s="46"/>
      <c r="K36" s="46"/>
      <c r="L36" s="46"/>
      <c r="M36" s="46"/>
      <c r="N36" s="46"/>
      <c r="O36" s="46"/>
      <c r="P36" s="46"/>
      <c r="Q36" s="46"/>
      <c r="R36" s="46"/>
      <c r="S36" s="46"/>
      <c r="T36" s="46"/>
      <c r="U36" s="46"/>
      <c r="V36" s="46"/>
      <c r="W36" s="46"/>
      <c r="X36" s="46"/>
      <c r="Y36" s="46"/>
      <c r="Z36" s="46"/>
    </row>
    <row r="37" spans="1:26" x14ac:dyDescent="0.25">
      <c r="A37" s="46"/>
      <c r="B37" s="72" t="s">
        <v>488</v>
      </c>
      <c r="C37" s="71">
        <f>C35*C8</f>
        <v>192</v>
      </c>
      <c r="D37" s="73" t="s">
        <v>484</v>
      </c>
      <c r="E37" s="66" t="s">
        <v>489</v>
      </c>
      <c r="F37" s="46"/>
      <c r="G37" s="46"/>
      <c r="H37" s="46"/>
      <c r="I37" s="46"/>
      <c r="J37" s="46"/>
      <c r="K37" s="46"/>
      <c r="L37" s="46"/>
      <c r="M37" s="46"/>
      <c r="N37" s="46"/>
      <c r="O37" s="46"/>
      <c r="P37" s="46"/>
      <c r="Q37" s="46"/>
      <c r="R37" s="46"/>
      <c r="S37" s="46"/>
      <c r="T37" s="46"/>
      <c r="U37" s="46"/>
      <c r="V37" s="46"/>
      <c r="W37" s="46"/>
      <c r="X37" s="46"/>
      <c r="Y37" s="46"/>
      <c r="Z37" s="46"/>
    </row>
    <row r="38" spans="1:26" x14ac:dyDescent="0.25">
      <c r="A38" s="46"/>
      <c r="B38" s="74" t="s">
        <v>490</v>
      </c>
      <c r="C38" s="75">
        <f>C36*C8</f>
        <v>672</v>
      </c>
      <c r="D38" s="76" t="s">
        <v>126</v>
      </c>
      <c r="E38" s="77" t="s">
        <v>494</v>
      </c>
      <c r="F38" s="46"/>
      <c r="G38" s="46"/>
      <c r="H38" s="46"/>
      <c r="I38" s="46"/>
      <c r="J38" s="46"/>
      <c r="K38" s="46"/>
      <c r="L38" s="46"/>
      <c r="M38" s="46"/>
      <c r="N38" s="46"/>
      <c r="O38" s="46"/>
      <c r="P38" s="46"/>
      <c r="Q38" s="46"/>
      <c r="R38" s="46"/>
      <c r="S38" s="46"/>
      <c r="T38" s="46"/>
      <c r="U38" s="46"/>
      <c r="V38" s="46"/>
      <c r="W38" s="46"/>
      <c r="X38" s="46"/>
      <c r="Y38" s="46"/>
      <c r="Z38" s="46"/>
    </row>
    <row r="39" spans="1:26" ht="36" customHeight="1" x14ac:dyDescent="0.25">
      <c r="A39" s="46"/>
      <c r="B39" s="78" t="s">
        <v>491</v>
      </c>
      <c r="C39" s="79">
        <f>C35*(C8-1)</f>
        <v>128</v>
      </c>
      <c r="D39" s="80" t="s">
        <v>484</v>
      </c>
      <c r="E39" s="81" t="s">
        <v>495</v>
      </c>
      <c r="F39" s="46"/>
      <c r="G39" s="46"/>
      <c r="H39" s="46"/>
      <c r="I39" s="46"/>
      <c r="J39" s="46"/>
      <c r="K39" s="46"/>
      <c r="L39" s="46"/>
      <c r="M39" s="46"/>
      <c r="N39" s="46"/>
      <c r="O39" s="46"/>
      <c r="P39" s="46"/>
      <c r="Q39" s="46"/>
      <c r="R39" s="46"/>
      <c r="S39" s="46"/>
      <c r="T39" s="46"/>
      <c r="U39" s="46"/>
      <c r="V39" s="46"/>
      <c r="W39" s="46"/>
      <c r="X39" s="46"/>
      <c r="Y39" s="46"/>
      <c r="Z39" s="46"/>
    </row>
    <row r="40" spans="1:26" ht="15.75" x14ac:dyDescent="0.25">
      <c r="A40" s="46"/>
      <c r="B40" s="82" t="s">
        <v>492</v>
      </c>
      <c r="C40" s="83">
        <f>C36*(C8-1)</f>
        <v>448</v>
      </c>
      <c r="D40" s="84" t="s">
        <v>126</v>
      </c>
      <c r="E40" s="85" t="s">
        <v>493</v>
      </c>
      <c r="F40" s="46"/>
      <c r="G40" s="46"/>
      <c r="H40" s="46"/>
      <c r="I40" s="46"/>
      <c r="J40" s="46"/>
      <c r="K40" s="46"/>
      <c r="L40" s="46"/>
      <c r="M40" s="46"/>
      <c r="N40" s="46"/>
      <c r="O40" s="46"/>
      <c r="P40" s="46"/>
      <c r="Q40" s="46"/>
      <c r="R40" s="46"/>
      <c r="S40" s="46"/>
      <c r="T40" s="46"/>
      <c r="U40" s="46"/>
      <c r="V40" s="46"/>
      <c r="W40" s="46"/>
      <c r="X40" s="46"/>
      <c r="Y40" s="46"/>
      <c r="Z40" s="46"/>
    </row>
    <row r="41" spans="1:26" ht="15.75" x14ac:dyDescent="0.25">
      <c r="A41" s="46"/>
      <c r="B41" s="86"/>
      <c r="C41" s="87"/>
      <c r="D41" s="88"/>
      <c r="E41" s="85"/>
      <c r="F41" s="46"/>
      <c r="G41" s="46"/>
      <c r="H41" s="46"/>
      <c r="I41" s="46"/>
      <c r="J41" s="46"/>
      <c r="K41" s="46"/>
      <c r="L41" s="46"/>
      <c r="M41" s="46"/>
      <c r="N41" s="46"/>
      <c r="O41" s="46"/>
      <c r="P41" s="46"/>
      <c r="Q41" s="46"/>
      <c r="R41" s="46"/>
      <c r="S41" s="46"/>
      <c r="T41" s="46"/>
      <c r="U41" s="46"/>
      <c r="V41" s="46"/>
      <c r="W41" s="46"/>
      <c r="X41" s="46"/>
      <c r="Y41" s="46"/>
      <c r="Z41" s="46"/>
    </row>
    <row r="42" spans="1:26" x14ac:dyDescent="0.25">
      <c r="A42" s="46"/>
      <c r="B42" s="89" t="s">
        <v>103</v>
      </c>
      <c r="C42" s="89"/>
      <c r="D42" s="89"/>
      <c r="E42" s="89"/>
      <c r="F42" s="46"/>
      <c r="G42" s="46"/>
      <c r="H42" s="46"/>
      <c r="I42" s="46"/>
      <c r="J42" s="46"/>
      <c r="K42" s="46"/>
      <c r="L42" s="46"/>
      <c r="M42" s="46"/>
      <c r="N42" s="46"/>
      <c r="O42" s="46"/>
      <c r="P42" s="46"/>
      <c r="Q42" s="46"/>
      <c r="R42" s="46"/>
      <c r="S42" s="46"/>
      <c r="T42" s="46"/>
      <c r="U42" s="46"/>
      <c r="V42" s="46"/>
      <c r="W42" s="46"/>
      <c r="X42" s="46"/>
      <c r="Y42" s="46"/>
      <c r="Z42" s="46"/>
    </row>
    <row r="43" spans="1:26" x14ac:dyDescent="0.25">
      <c r="A43" s="46"/>
      <c r="B43" s="90" t="s">
        <v>104</v>
      </c>
      <c r="C43" s="90" t="s">
        <v>105</v>
      </c>
      <c r="D43" s="90" t="s">
        <v>106</v>
      </c>
      <c r="E43" s="90" t="s">
        <v>107</v>
      </c>
      <c r="F43" s="46"/>
      <c r="G43" s="46"/>
      <c r="H43" s="46"/>
      <c r="I43" s="46"/>
      <c r="J43" s="46"/>
      <c r="K43" s="46"/>
      <c r="L43" s="46"/>
      <c r="M43" s="46"/>
      <c r="N43" s="46"/>
      <c r="O43" s="46"/>
      <c r="P43" s="46"/>
      <c r="Q43" s="46"/>
      <c r="R43" s="46"/>
      <c r="S43" s="46"/>
      <c r="T43" s="46"/>
      <c r="U43" s="46"/>
      <c r="V43" s="46"/>
      <c r="W43" s="46"/>
      <c r="X43" s="46"/>
      <c r="Y43" s="46"/>
      <c r="Z43" s="46"/>
    </row>
    <row r="44" spans="1:26" x14ac:dyDescent="0.25">
      <c r="A44" s="46"/>
      <c r="B44" s="51" t="s">
        <v>108</v>
      </c>
      <c r="C44" s="91" t="s">
        <v>109</v>
      </c>
      <c r="D44" s="91">
        <v>2</v>
      </c>
      <c r="E44" s="51" t="s">
        <v>110</v>
      </c>
      <c r="F44" s="46"/>
      <c r="G44" s="46"/>
      <c r="H44" s="46"/>
      <c r="I44" s="46"/>
      <c r="J44" s="46"/>
      <c r="K44" s="46"/>
      <c r="L44" s="46"/>
      <c r="M44" s="46"/>
      <c r="N44" s="46"/>
      <c r="O44" s="46"/>
      <c r="P44" s="46"/>
      <c r="Q44" s="46"/>
      <c r="R44" s="46"/>
      <c r="S44" s="46"/>
      <c r="T44" s="46"/>
      <c r="U44" s="46"/>
      <c r="V44" s="46"/>
      <c r="W44" s="46"/>
      <c r="X44" s="46"/>
      <c r="Y44" s="46"/>
      <c r="Z44" s="46"/>
    </row>
    <row r="45" spans="1:26" x14ac:dyDescent="0.25">
      <c r="A45" s="46"/>
      <c r="B45" s="51" t="s">
        <v>111</v>
      </c>
      <c r="C45" s="91" t="s">
        <v>112</v>
      </c>
      <c r="D45" s="91">
        <v>3</v>
      </c>
      <c r="E45" s="51" t="s">
        <v>113</v>
      </c>
      <c r="F45" s="46"/>
      <c r="G45" s="46"/>
      <c r="H45" s="46"/>
      <c r="I45" s="46"/>
      <c r="J45" s="46"/>
      <c r="K45" s="46"/>
      <c r="L45" s="46"/>
      <c r="M45" s="46"/>
      <c r="N45" s="46"/>
      <c r="O45" s="46"/>
      <c r="P45" s="46"/>
      <c r="Q45" s="46"/>
      <c r="R45" s="46"/>
      <c r="S45" s="46"/>
      <c r="T45" s="46"/>
      <c r="U45" s="46"/>
      <c r="V45" s="46"/>
      <c r="W45" s="46"/>
      <c r="X45" s="46"/>
      <c r="Y45" s="46"/>
      <c r="Z45" s="46"/>
    </row>
    <row r="46" spans="1:26" x14ac:dyDescent="0.25">
      <c r="A46" s="46"/>
      <c r="B46" s="51" t="s">
        <v>114</v>
      </c>
      <c r="C46" s="91" t="s">
        <v>109</v>
      </c>
      <c r="D46" s="91">
        <v>4</v>
      </c>
      <c r="E46" s="51" t="s">
        <v>113</v>
      </c>
      <c r="F46" s="46"/>
      <c r="G46" s="46"/>
      <c r="H46" s="46"/>
      <c r="I46" s="46"/>
      <c r="J46" s="46"/>
      <c r="K46" s="46"/>
      <c r="L46" s="46"/>
      <c r="M46" s="46"/>
      <c r="N46" s="46"/>
      <c r="O46" s="46"/>
      <c r="P46" s="46"/>
      <c r="Q46" s="46"/>
      <c r="R46" s="46"/>
      <c r="S46" s="46"/>
      <c r="T46" s="46"/>
      <c r="U46" s="46"/>
      <c r="V46" s="46"/>
      <c r="W46" s="46"/>
      <c r="X46" s="46"/>
      <c r="Y46" s="46"/>
      <c r="Z46" s="46"/>
    </row>
    <row r="47" spans="1:26" x14ac:dyDescent="0.25">
      <c r="A47" s="46"/>
      <c r="B47" s="51" t="s">
        <v>115</v>
      </c>
      <c r="C47" s="91" t="s">
        <v>116</v>
      </c>
      <c r="D47" s="91">
        <v>7</v>
      </c>
      <c r="E47" s="51" t="s">
        <v>113</v>
      </c>
      <c r="F47" s="46"/>
      <c r="G47" s="46"/>
      <c r="H47" s="46"/>
      <c r="I47" s="46"/>
      <c r="J47" s="46"/>
      <c r="K47" s="46"/>
      <c r="L47" s="46"/>
      <c r="M47" s="46"/>
      <c r="N47" s="46"/>
      <c r="O47" s="46"/>
      <c r="P47" s="46"/>
      <c r="Q47" s="46"/>
      <c r="R47" s="46"/>
      <c r="S47" s="46"/>
      <c r="T47" s="46"/>
      <c r="U47" s="46"/>
      <c r="V47" s="46"/>
      <c r="W47" s="46"/>
      <c r="X47" s="46"/>
      <c r="Y47" s="46"/>
      <c r="Z47" s="46"/>
    </row>
    <row r="48" spans="1:26" x14ac:dyDescent="0.25">
      <c r="A48" s="46"/>
      <c r="B48" s="51" t="s">
        <v>117</v>
      </c>
      <c r="C48" s="91" t="s">
        <v>118</v>
      </c>
      <c r="D48" s="91">
        <v>9</v>
      </c>
      <c r="E48" s="51" t="s">
        <v>113</v>
      </c>
      <c r="F48" s="46"/>
      <c r="G48" s="46"/>
      <c r="H48" s="46"/>
      <c r="I48" s="46"/>
      <c r="J48" s="46"/>
      <c r="K48" s="46"/>
      <c r="L48" s="46"/>
      <c r="M48" s="46"/>
      <c r="N48" s="46"/>
      <c r="O48" s="46"/>
      <c r="P48" s="46"/>
      <c r="Q48" s="46"/>
      <c r="R48" s="46"/>
      <c r="S48" s="46"/>
      <c r="T48" s="46"/>
      <c r="U48" s="46"/>
      <c r="V48" s="46"/>
      <c r="W48" s="46"/>
      <c r="X48" s="46"/>
      <c r="Y48" s="46"/>
      <c r="Z48" s="46"/>
    </row>
    <row r="49" spans="1:26" x14ac:dyDescent="0.25">
      <c r="A49" s="46"/>
      <c r="B49" s="51" t="s">
        <v>119</v>
      </c>
      <c r="C49" s="91" t="s">
        <v>120</v>
      </c>
      <c r="D49" s="91">
        <v>16</v>
      </c>
      <c r="E49" s="51" t="s">
        <v>113</v>
      </c>
      <c r="F49" s="46"/>
      <c r="G49" s="46"/>
      <c r="H49" s="46"/>
      <c r="I49" s="46"/>
      <c r="J49" s="46"/>
      <c r="K49" s="46"/>
      <c r="L49" s="46"/>
      <c r="M49" s="46"/>
      <c r="N49" s="46"/>
      <c r="O49" s="46"/>
      <c r="P49" s="46"/>
      <c r="Q49" s="46"/>
      <c r="R49" s="46"/>
      <c r="S49" s="46"/>
      <c r="T49" s="46"/>
      <c r="U49" s="46"/>
      <c r="V49" s="46"/>
      <c r="W49" s="46"/>
      <c r="X49" s="46"/>
      <c r="Y49" s="46"/>
      <c r="Z49" s="46"/>
    </row>
    <row r="50" spans="1:26" x14ac:dyDescent="0.25">
      <c r="A50" s="46"/>
      <c r="B50" s="51" t="s">
        <v>121</v>
      </c>
      <c r="C50" s="91" t="s">
        <v>122</v>
      </c>
      <c r="D50" s="91">
        <v>2</v>
      </c>
      <c r="E50" s="51" t="s">
        <v>123</v>
      </c>
      <c r="F50" s="46"/>
      <c r="G50" s="46"/>
      <c r="H50" s="46"/>
      <c r="I50" s="46"/>
      <c r="J50" s="46"/>
      <c r="K50" s="46"/>
      <c r="L50" s="46"/>
      <c r="M50" s="46"/>
      <c r="N50" s="46"/>
      <c r="O50" s="46"/>
      <c r="P50" s="46"/>
      <c r="Q50" s="46"/>
      <c r="R50" s="46"/>
      <c r="S50" s="46"/>
      <c r="T50" s="46"/>
      <c r="U50" s="46"/>
      <c r="V50" s="46"/>
      <c r="W50" s="46"/>
      <c r="X50" s="46"/>
      <c r="Y50" s="46"/>
      <c r="Z50" s="46"/>
    </row>
    <row r="51" spans="1:26" x14ac:dyDescent="0.25">
      <c r="A51" s="46"/>
      <c r="B51" s="46"/>
      <c r="C51" s="46"/>
      <c r="D51" s="46"/>
      <c r="E51" s="46"/>
      <c r="F51" s="46"/>
      <c r="G51" s="46"/>
      <c r="H51" s="46"/>
      <c r="I51" s="46"/>
      <c r="J51" s="46"/>
      <c r="K51" s="46"/>
      <c r="L51" s="46"/>
      <c r="M51" s="46"/>
      <c r="N51" s="46"/>
      <c r="O51" s="46"/>
      <c r="P51" s="46"/>
      <c r="Q51" s="46"/>
      <c r="R51" s="46"/>
      <c r="S51" s="46"/>
      <c r="T51" s="46"/>
      <c r="U51" s="46"/>
      <c r="V51" s="46"/>
      <c r="W51" s="46"/>
      <c r="X51" s="46"/>
      <c r="Y51" s="46"/>
      <c r="Z51" s="46"/>
    </row>
    <row r="52" spans="1:26" x14ac:dyDescent="0.25">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row>
    <row r="53" spans="1:26" x14ac:dyDescent="0.25">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row>
    <row r="54" spans="1:26" x14ac:dyDescent="0.25">
      <c r="A54" s="46"/>
      <c r="B54" s="46"/>
      <c r="C54" s="46"/>
      <c r="D54" s="46"/>
      <c r="E54" s="46"/>
      <c r="F54" s="46"/>
      <c r="G54" s="46"/>
      <c r="H54" s="46"/>
      <c r="I54" s="46"/>
      <c r="J54" s="46"/>
      <c r="K54" s="46"/>
      <c r="L54" s="46"/>
      <c r="M54" s="46"/>
      <c r="N54" s="46"/>
      <c r="O54" s="46"/>
      <c r="P54" s="46"/>
      <c r="Q54" s="46"/>
      <c r="R54" s="46"/>
      <c r="S54" s="46"/>
      <c r="T54" s="46"/>
      <c r="U54" s="46"/>
      <c r="V54" s="46"/>
      <c r="W54" s="46"/>
      <c r="X54" s="46"/>
      <c r="Y54" s="46"/>
      <c r="Z54" s="46"/>
    </row>
    <row r="55" spans="1:26" x14ac:dyDescent="0.25">
      <c r="A55" s="46"/>
      <c r="B55" s="46"/>
      <c r="C55" s="46"/>
      <c r="D55" s="46"/>
      <c r="E55" s="46"/>
      <c r="F55" s="46"/>
      <c r="G55" s="46"/>
      <c r="H55" s="46"/>
      <c r="I55" s="46"/>
      <c r="J55" s="46"/>
      <c r="K55" s="46"/>
      <c r="L55" s="46"/>
      <c r="M55" s="46"/>
      <c r="N55" s="46"/>
      <c r="O55" s="46"/>
      <c r="P55" s="46"/>
      <c r="Q55" s="46"/>
      <c r="R55" s="46"/>
      <c r="S55" s="46"/>
      <c r="T55" s="46"/>
      <c r="U55" s="46"/>
      <c r="V55" s="46"/>
      <c r="W55" s="46"/>
      <c r="X55" s="46"/>
      <c r="Y55" s="46"/>
      <c r="Z55" s="46"/>
    </row>
    <row r="56" spans="1:26" x14ac:dyDescent="0.25">
      <c r="A56" s="46"/>
      <c r="B56" s="46"/>
      <c r="C56" s="46"/>
      <c r="D56" s="46"/>
      <c r="E56" s="46"/>
      <c r="F56" s="46"/>
      <c r="G56" s="46"/>
      <c r="H56" s="46"/>
      <c r="I56" s="46"/>
      <c r="J56" s="46"/>
      <c r="K56" s="46"/>
      <c r="L56" s="46"/>
      <c r="M56" s="46"/>
      <c r="N56" s="46"/>
      <c r="O56" s="46"/>
      <c r="P56" s="46"/>
      <c r="Q56" s="46"/>
      <c r="R56" s="46"/>
      <c r="S56" s="46"/>
      <c r="T56" s="46"/>
      <c r="U56" s="46"/>
      <c r="V56" s="46"/>
      <c r="W56" s="46"/>
      <c r="X56" s="46"/>
      <c r="Y56" s="46"/>
      <c r="Z56" s="46"/>
    </row>
    <row r="57" spans="1:26" x14ac:dyDescent="0.25">
      <c r="A57" s="46"/>
      <c r="B57" s="46"/>
      <c r="C57" s="46"/>
      <c r="D57" s="46"/>
      <c r="E57" s="46"/>
      <c r="F57" s="46"/>
      <c r="G57" s="46"/>
      <c r="H57" s="46"/>
      <c r="I57" s="46"/>
      <c r="J57" s="46"/>
      <c r="K57" s="46"/>
      <c r="L57" s="46"/>
      <c r="M57" s="46"/>
      <c r="N57" s="46"/>
      <c r="O57" s="46"/>
      <c r="P57" s="46"/>
      <c r="Q57" s="46"/>
      <c r="R57" s="46"/>
      <c r="S57" s="46"/>
      <c r="T57" s="46"/>
      <c r="U57" s="46"/>
      <c r="V57" s="46"/>
      <c r="W57" s="46"/>
      <c r="X57" s="46"/>
      <c r="Y57" s="46"/>
      <c r="Z57" s="46"/>
    </row>
    <row r="58" spans="1:26" x14ac:dyDescent="0.25">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row>
    <row r="59" spans="1:26" x14ac:dyDescent="0.25">
      <c r="A59" s="46"/>
      <c r="B59" s="46"/>
      <c r="C59" s="46"/>
      <c r="D59" s="46"/>
      <c r="E59" s="46"/>
      <c r="F59" s="46"/>
      <c r="G59" s="46"/>
      <c r="H59" s="46"/>
      <c r="I59" s="46"/>
      <c r="J59" s="46"/>
      <c r="K59" s="46"/>
      <c r="L59" s="46"/>
      <c r="M59" s="46"/>
      <c r="N59" s="46"/>
      <c r="O59" s="46"/>
      <c r="P59" s="46"/>
      <c r="Q59" s="46"/>
      <c r="R59" s="46"/>
      <c r="S59" s="46"/>
      <c r="T59" s="46"/>
      <c r="U59" s="46"/>
      <c r="V59" s="46"/>
      <c r="W59" s="46"/>
      <c r="X59" s="46"/>
      <c r="Y59" s="46"/>
      <c r="Z59" s="46"/>
    </row>
    <row r="60" spans="1:26" x14ac:dyDescent="0.25">
      <c r="A60" s="46"/>
      <c r="B60" s="46"/>
      <c r="C60" s="46"/>
      <c r="D60" s="46"/>
      <c r="E60" s="46"/>
      <c r="F60" s="46"/>
      <c r="G60" s="46"/>
      <c r="H60" s="46"/>
      <c r="I60" s="46"/>
      <c r="J60" s="46"/>
      <c r="K60" s="46"/>
      <c r="L60" s="46"/>
      <c r="M60" s="46"/>
      <c r="N60" s="46"/>
      <c r="O60" s="46"/>
      <c r="P60" s="46"/>
      <c r="Q60" s="46"/>
      <c r="R60" s="46"/>
      <c r="S60" s="46"/>
      <c r="T60" s="46"/>
      <c r="U60" s="46"/>
      <c r="V60" s="46"/>
      <c r="W60" s="46"/>
      <c r="X60" s="46"/>
      <c r="Y60" s="46"/>
      <c r="Z60" s="46"/>
    </row>
    <row r="61" spans="1:26" x14ac:dyDescent="0.25">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row>
    <row r="62" spans="1:26" x14ac:dyDescent="0.25">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row>
    <row r="63" spans="1:26" x14ac:dyDescent="0.25">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row>
    <row r="64" spans="1:26" x14ac:dyDescent="0.25">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spans="1:26" x14ac:dyDescent="0.25">
      <c r="A65" s="46"/>
      <c r="B65" s="46"/>
      <c r="C65" s="46"/>
      <c r="D65" s="46"/>
      <c r="E65" s="46"/>
      <c r="F65" s="46"/>
      <c r="G65" s="46"/>
      <c r="H65" s="46"/>
      <c r="I65" s="46"/>
      <c r="J65" s="46"/>
      <c r="K65" s="46"/>
      <c r="L65" s="46"/>
      <c r="M65" s="46"/>
      <c r="N65" s="46"/>
      <c r="O65" s="46"/>
      <c r="P65" s="46"/>
      <c r="Q65" s="46"/>
      <c r="R65" s="46"/>
      <c r="S65" s="46"/>
      <c r="T65" s="46"/>
      <c r="U65" s="46"/>
      <c r="V65" s="46"/>
      <c r="W65" s="46"/>
      <c r="X65" s="46"/>
      <c r="Y65" s="46"/>
      <c r="Z65" s="46"/>
    </row>
    <row r="66" spans="1:26" x14ac:dyDescent="0.25">
      <c r="A66" s="46"/>
      <c r="B66" s="46"/>
      <c r="C66" s="46"/>
      <c r="D66" s="46"/>
      <c r="E66" s="46"/>
      <c r="F66" s="46"/>
      <c r="G66" s="46"/>
      <c r="H66" s="46"/>
      <c r="I66" s="46"/>
      <c r="J66" s="46"/>
      <c r="K66" s="46"/>
      <c r="L66" s="46"/>
      <c r="M66" s="46"/>
      <c r="N66" s="46"/>
      <c r="O66" s="46"/>
      <c r="P66" s="46"/>
      <c r="Q66" s="46"/>
      <c r="R66" s="46"/>
      <c r="S66" s="46"/>
      <c r="T66" s="46"/>
      <c r="U66" s="46"/>
      <c r="V66" s="46"/>
      <c r="W66" s="46"/>
      <c r="X66" s="46"/>
      <c r="Y66" s="46"/>
      <c r="Z66" s="46"/>
    </row>
    <row r="67" spans="1:26" x14ac:dyDescent="0.25">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row>
    <row r="68" spans="1:26" x14ac:dyDescent="0.25">
      <c r="A68" s="46"/>
      <c r="B68" s="46"/>
      <c r="C68" s="46"/>
      <c r="D68" s="46"/>
      <c r="E68" s="46"/>
      <c r="F68" s="46"/>
      <c r="G68" s="46"/>
      <c r="H68" s="46"/>
      <c r="I68" s="46"/>
      <c r="J68" s="46"/>
      <c r="K68" s="46"/>
      <c r="L68" s="46"/>
      <c r="M68" s="46"/>
      <c r="N68" s="46"/>
      <c r="O68" s="46"/>
      <c r="P68" s="46"/>
      <c r="Q68" s="46"/>
      <c r="R68" s="46"/>
      <c r="S68" s="46"/>
      <c r="T68" s="46"/>
      <c r="U68" s="46"/>
      <c r="V68" s="46"/>
      <c r="W68" s="46"/>
      <c r="X68" s="46"/>
      <c r="Y68" s="46"/>
      <c r="Z68" s="46"/>
    </row>
    <row r="69" spans="1:26" x14ac:dyDescent="0.25">
      <c r="A69" s="46"/>
      <c r="B69" s="46"/>
      <c r="C69" s="46"/>
      <c r="D69" s="46"/>
      <c r="E69" s="46"/>
      <c r="F69" s="46"/>
      <c r="G69" s="46"/>
      <c r="H69" s="46"/>
      <c r="I69" s="46"/>
      <c r="J69" s="46"/>
      <c r="K69" s="46"/>
      <c r="L69" s="46"/>
      <c r="M69" s="46"/>
      <c r="N69" s="46"/>
      <c r="O69" s="46"/>
      <c r="P69" s="46"/>
      <c r="Q69" s="46"/>
      <c r="R69" s="46"/>
      <c r="S69" s="46"/>
      <c r="T69" s="46"/>
      <c r="U69" s="46"/>
      <c r="V69" s="46"/>
      <c r="W69" s="46"/>
      <c r="X69" s="46"/>
      <c r="Y69" s="46"/>
      <c r="Z69" s="46"/>
    </row>
    <row r="70" spans="1:26" x14ac:dyDescent="0.25">
      <c r="A70" s="46"/>
      <c r="B70" s="46"/>
      <c r="C70" s="46"/>
      <c r="D70" s="46"/>
      <c r="E70" s="46"/>
      <c r="F70" s="46"/>
      <c r="G70" s="46"/>
      <c r="H70" s="46"/>
      <c r="I70" s="46"/>
      <c r="J70" s="46"/>
      <c r="K70" s="46"/>
      <c r="L70" s="46"/>
      <c r="M70" s="46"/>
      <c r="N70" s="46"/>
      <c r="O70" s="46"/>
      <c r="P70" s="46"/>
      <c r="Q70" s="46"/>
      <c r="R70" s="46"/>
      <c r="S70" s="46"/>
      <c r="T70" s="46"/>
      <c r="U70" s="46"/>
      <c r="V70" s="46"/>
      <c r="W70" s="46"/>
      <c r="X70" s="46"/>
      <c r="Y70" s="46"/>
      <c r="Z70" s="46"/>
    </row>
    <row r="71" spans="1:26" x14ac:dyDescent="0.25">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row>
    <row r="72" spans="1:26" x14ac:dyDescent="0.25">
      <c r="A72" s="46"/>
      <c r="B72" s="46"/>
      <c r="C72" s="46"/>
      <c r="D72" s="46"/>
      <c r="E72" s="46"/>
      <c r="F72" s="46"/>
      <c r="G72" s="46"/>
      <c r="H72" s="46"/>
      <c r="I72" s="46"/>
      <c r="J72" s="46"/>
      <c r="K72" s="46"/>
      <c r="L72" s="46"/>
      <c r="M72" s="46"/>
      <c r="N72" s="46"/>
      <c r="O72" s="46"/>
      <c r="P72" s="46"/>
      <c r="Q72" s="46"/>
      <c r="R72" s="46"/>
      <c r="S72" s="46"/>
      <c r="T72" s="46"/>
      <c r="U72" s="46"/>
      <c r="V72" s="46"/>
      <c r="W72" s="46"/>
      <c r="X72" s="46"/>
      <c r="Y72" s="46"/>
      <c r="Z72" s="46"/>
    </row>
    <row r="73" spans="1:26" x14ac:dyDescent="0.25">
      <c r="A73" s="46"/>
      <c r="B73" s="46"/>
      <c r="C73" s="46"/>
      <c r="D73" s="46"/>
      <c r="E73" s="46"/>
      <c r="F73" s="46"/>
      <c r="G73" s="46"/>
      <c r="H73" s="46"/>
      <c r="I73" s="46"/>
      <c r="J73" s="46"/>
      <c r="K73" s="46"/>
      <c r="L73" s="46"/>
      <c r="M73" s="46"/>
      <c r="N73" s="46"/>
      <c r="O73" s="46"/>
      <c r="P73" s="46"/>
      <c r="Q73" s="46"/>
      <c r="R73" s="46"/>
      <c r="S73" s="46"/>
      <c r="T73" s="46"/>
      <c r="U73" s="46"/>
      <c r="V73" s="46"/>
      <c r="W73" s="46"/>
      <c r="X73" s="46"/>
      <c r="Y73" s="46"/>
      <c r="Z73" s="46"/>
    </row>
    <row r="74" spans="1:26" x14ac:dyDescent="0.25">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spans="1:26" x14ac:dyDescent="0.25">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row>
    <row r="76" spans="1:26" x14ac:dyDescent="0.25">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row>
    <row r="77" spans="1:26" x14ac:dyDescent="0.25">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row>
    <row r="78" spans="1:26" x14ac:dyDescent="0.25">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row>
    <row r="79" spans="1:26" x14ac:dyDescent="0.25">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row>
    <row r="80" spans="1:26" x14ac:dyDescent="0.25">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x14ac:dyDescent="0.25">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row>
    <row r="83" spans="1:26" x14ac:dyDescent="0.25">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row>
    <row r="84" spans="1:26" x14ac:dyDescent="0.25">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spans="1:26" x14ac:dyDescent="0.25">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row>
    <row r="86" spans="1:26" x14ac:dyDescent="0.25">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row>
    <row r="87" spans="1:26" x14ac:dyDescent="0.25">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spans="1:26" x14ac:dyDescent="0.25">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row>
    <row r="89" spans="1:26" x14ac:dyDescent="0.25">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row>
    <row r="90" spans="1:26" x14ac:dyDescent="0.25">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row>
    <row r="91" spans="1:26"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spans="1:26"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spans="1:26" x14ac:dyDescent="0.25">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x14ac:dyDescent="0.25">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x14ac:dyDescent="0.25">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x14ac:dyDescent="0.25">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spans="1:26" x14ac:dyDescent="0.25">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0" spans="1:26" x14ac:dyDescent="0.25">
      <c r="A100" s="46"/>
      <c r="B100" s="46"/>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row>
    <row r="101" spans="1:26" x14ac:dyDescent="0.25">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row>
    <row r="102" spans="1:26" x14ac:dyDescent="0.25">
      <c r="A102" s="46"/>
      <c r="B102" s="46"/>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row>
    <row r="103" spans="1:26" x14ac:dyDescent="0.25">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row>
    <row r="104" spans="1:26" x14ac:dyDescent="0.2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row>
    <row r="105" spans="1:26" x14ac:dyDescent="0.25">
      <c r="A105" s="46"/>
      <c r="B105" s="46"/>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row>
    <row r="106" spans="1:26" x14ac:dyDescent="0.25">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row>
    <row r="107" spans="1:26" x14ac:dyDescent="0.25">
      <c r="A107" s="46"/>
      <c r="B107" s="46"/>
      <c r="C107" s="46"/>
      <c r="D107" s="46"/>
      <c r="E107" s="46"/>
      <c r="F107" s="46"/>
      <c r="G107" s="46"/>
      <c r="H107" s="46"/>
      <c r="I107" s="46"/>
      <c r="J107" s="46"/>
      <c r="K107" s="46"/>
      <c r="L107" s="46"/>
      <c r="M107" s="46"/>
      <c r="N107" s="46"/>
      <c r="O107" s="46"/>
      <c r="P107" s="46"/>
      <c r="Q107" s="46"/>
      <c r="R107" s="46"/>
      <c r="S107" s="46"/>
      <c r="T107" s="46"/>
      <c r="U107" s="46"/>
      <c r="V107" s="46"/>
      <c r="W107" s="46"/>
      <c r="X107" s="46"/>
      <c r="Y107" s="46"/>
      <c r="Z107" s="46"/>
    </row>
    <row r="108" spans="1:26" x14ac:dyDescent="0.25">
      <c r="A108" s="46"/>
      <c r="B108" s="46"/>
      <c r="C108" s="46"/>
      <c r="D108" s="46"/>
      <c r="E108" s="46"/>
      <c r="F108" s="46"/>
      <c r="G108" s="46"/>
      <c r="H108" s="46"/>
      <c r="I108" s="46"/>
      <c r="J108" s="46"/>
      <c r="K108" s="46"/>
      <c r="L108" s="46"/>
      <c r="M108" s="46"/>
      <c r="N108" s="46"/>
      <c r="O108" s="46"/>
      <c r="P108" s="46"/>
      <c r="Q108" s="46"/>
      <c r="R108" s="46"/>
      <c r="S108" s="46"/>
      <c r="T108" s="46"/>
      <c r="U108" s="46"/>
      <c r="V108" s="46"/>
      <c r="W108" s="46"/>
      <c r="X108" s="46"/>
      <c r="Y108" s="46"/>
      <c r="Z108" s="46"/>
    </row>
    <row r="109" spans="1:26" x14ac:dyDescent="0.25">
      <c r="A109" s="46"/>
      <c r="B109" s="46"/>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row>
    <row r="110" spans="1:26" x14ac:dyDescent="0.25">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row>
    <row r="111" spans="1:26" x14ac:dyDescent="0.25">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spans="1:26" x14ac:dyDescent="0.25">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spans="1:26" x14ac:dyDescent="0.25">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row>
    <row r="114" spans="1:26" x14ac:dyDescent="0.25">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row>
    <row r="115" spans="1:26" x14ac:dyDescent="0.2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spans="1:26" x14ac:dyDescent="0.25">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spans="1:26" x14ac:dyDescent="0.25">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spans="1:26" x14ac:dyDescent="0.25">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spans="1:26" x14ac:dyDescent="0.25">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spans="1:26" x14ac:dyDescent="0.25">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spans="1:26" x14ac:dyDescent="0.25">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spans="1:26" x14ac:dyDescent="0.25">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spans="1:26" x14ac:dyDescent="0.25">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spans="1:26" x14ac:dyDescent="0.25">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spans="1:26" x14ac:dyDescent="0.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spans="1:26" x14ac:dyDescent="0.25">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spans="1:26" x14ac:dyDescent="0.25">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spans="1:26" x14ac:dyDescent="0.25">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spans="1:26" x14ac:dyDescent="0.25">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spans="1:26" x14ac:dyDescent="0.25">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spans="1:26" x14ac:dyDescent="0.25">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spans="1:26" x14ac:dyDescent="0.25">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spans="1:26" x14ac:dyDescent="0.25">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spans="1:26" x14ac:dyDescent="0.25">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spans="1:26" x14ac:dyDescent="0.2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spans="1:26" x14ac:dyDescent="0.25">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spans="1:26" x14ac:dyDescent="0.25">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spans="1:26" x14ac:dyDescent="0.25">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spans="1:26" x14ac:dyDescent="0.25">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spans="1:26" x14ac:dyDescent="0.25">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spans="1:26" x14ac:dyDescent="0.25">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spans="1:26" x14ac:dyDescent="0.25">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spans="1:26" x14ac:dyDescent="0.25">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spans="1:26" x14ac:dyDescent="0.25">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spans="1:26" x14ac:dyDescent="0.2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spans="1:26" x14ac:dyDescent="0.25">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spans="1:26" x14ac:dyDescent="0.25">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spans="1:26" x14ac:dyDescent="0.25">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spans="1:26" x14ac:dyDescent="0.25">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spans="1:26" x14ac:dyDescent="0.25">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spans="1:26" x14ac:dyDescent="0.25">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spans="1:26" x14ac:dyDescent="0.25">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spans="1:26" x14ac:dyDescent="0.25">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spans="1:26" x14ac:dyDescent="0.25">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spans="1:26" x14ac:dyDescent="0.2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spans="1:26" x14ac:dyDescent="0.25">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spans="1:26" x14ac:dyDescent="0.25">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spans="1:26" x14ac:dyDescent="0.25">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spans="1:26" x14ac:dyDescent="0.25">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spans="1:26" x14ac:dyDescent="0.25">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spans="1:26" x14ac:dyDescent="0.25">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spans="1:26" x14ac:dyDescent="0.25">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spans="1:26" x14ac:dyDescent="0.25">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spans="1:26" x14ac:dyDescent="0.25">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spans="1:26" x14ac:dyDescent="0.2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spans="1:26" x14ac:dyDescent="0.25">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spans="1:26" x14ac:dyDescent="0.25">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spans="1:26" x14ac:dyDescent="0.25">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spans="1:26" x14ac:dyDescent="0.25">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spans="1:26" x14ac:dyDescent="0.25">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spans="1:26" x14ac:dyDescent="0.25">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spans="1:26" x14ac:dyDescent="0.25">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spans="1:26" x14ac:dyDescent="0.25">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spans="1:26" x14ac:dyDescent="0.25">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spans="1:26" x14ac:dyDescent="0.2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spans="1:26" x14ac:dyDescent="0.25">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spans="1:26" x14ac:dyDescent="0.25">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spans="1:26" x14ac:dyDescent="0.25">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spans="1:26" x14ac:dyDescent="0.25">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spans="1:26" x14ac:dyDescent="0.25">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spans="1:26" x14ac:dyDescent="0.25">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spans="1:26" x14ac:dyDescent="0.25">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spans="1:26" x14ac:dyDescent="0.25">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spans="1:26" x14ac:dyDescent="0.25">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spans="1:26" x14ac:dyDescent="0.2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spans="1:26" x14ac:dyDescent="0.25">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spans="1:26" x14ac:dyDescent="0.25">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spans="1:26" x14ac:dyDescent="0.25">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spans="1:26" x14ac:dyDescent="0.25">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spans="1:26" x14ac:dyDescent="0.25">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spans="1:26" x14ac:dyDescent="0.25">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spans="1:26" x14ac:dyDescent="0.25">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spans="1:26" x14ac:dyDescent="0.25">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spans="1:26" x14ac:dyDescent="0.25">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spans="1:26" x14ac:dyDescent="0.2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spans="1:26" x14ac:dyDescent="0.25">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spans="1:26" x14ac:dyDescent="0.25">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spans="1:26" x14ac:dyDescent="0.25">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spans="1:26" x14ac:dyDescent="0.25">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spans="1:26" x14ac:dyDescent="0.25">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spans="1:26" x14ac:dyDescent="0.25">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spans="1:26" x14ac:dyDescent="0.25">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spans="1:26" x14ac:dyDescent="0.25">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spans="1:26" x14ac:dyDescent="0.25">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spans="1:26" x14ac:dyDescent="0.2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spans="1:26" x14ac:dyDescent="0.25">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spans="1:26" x14ac:dyDescent="0.25">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spans="1:26" x14ac:dyDescent="0.25">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spans="1:26" x14ac:dyDescent="0.25">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spans="1:26" x14ac:dyDescent="0.25">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spans="1:26" x14ac:dyDescent="0.25">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spans="1:26" x14ac:dyDescent="0.25">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spans="1:26" x14ac:dyDescent="0.25">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spans="1:26" x14ac:dyDescent="0.25">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spans="1:26" x14ac:dyDescent="0.2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spans="1:26" x14ac:dyDescent="0.25">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spans="1:26" x14ac:dyDescent="0.25">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spans="1:26" x14ac:dyDescent="0.25">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spans="1:26" x14ac:dyDescent="0.25">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spans="1:26" x14ac:dyDescent="0.25">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spans="1:26" x14ac:dyDescent="0.25">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spans="1:26" x14ac:dyDescent="0.25">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spans="1:26" x14ac:dyDescent="0.25">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spans="1:26" x14ac:dyDescent="0.25">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spans="1:26" x14ac:dyDescent="0.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spans="1:26" x14ac:dyDescent="0.25">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spans="1:26" x14ac:dyDescent="0.25">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spans="1:26" x14ac:dyDescent="0.25">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spans="1:26" x14ac:dyDescent="0.25">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spans="1:26" x14ac:dyDescent="0.25">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spans="1:26" x14ac:dyDescent="0.25">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spans="1:26" x14ac:dyDescent="0.25">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spans="1:26" x14ac:dyDescent="0.25">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spans="1:26" x14ac:dyDescent="0.25">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spans="1:26" x14ac:dyDescent="0.2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spans="1:26" x14ac:dyDescent="0.25">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spans="1:26" x14ac:dyDescent="0.25">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spans="1:26" x14ac:dyDescent="0.25">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spans="1:26" x14ac:dyDescent="0.25">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spans="1:26" x14ac:dyDescent="0.25">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spans="1:26" x14ac:dyDescent="0.25">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spans="1:26" x14ac:dyDescent="0.25">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spans="1:26" x14ac:dyDescent="0.25">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spans="1:26" x14ac:dyDescent="0.25">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spans="1:26" x14ac:dyDescent="0.2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spans="1:26" x14ac:dyDescent="0.25">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spans="1:26" x14ac:dyDescent="0.25">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spans="1:26" x14ac:dyDescent="0.25">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spans="1:26" x14ac:dyDescent="0.25">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spans="1:26" x14ac:dyDescent="0.25">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spans="1:26" x14ac:dyDescent="0.25">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spans="1:26" x14ac:dyDescent="0.25">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spans="1:26" x14ac:dyDescent="0.25">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spans="1:26" x14ac:dyDescent="0.25">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spans="1:26" x14ac:dyDescent="0.2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spans="1:26" x14ac:dyDescent="0.25">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spans="1:26" x14ac:dyDescent="0.25">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spans="1:26" x14ac:dyDescent="0.25">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spans="1:26" x14ac:dyDescent="0.25">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spans="1:26" x14ac:dyDescent="0.25">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spans="1:26" x14ac:dyDescent="0.25">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spans="1:26" x14ac:dyDescent="0.25">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spans="1:26" x14ac:dyDescent="0.25">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spans="1:26" x14ac:dyDescent="0.25">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spans="1:26" x14ac:dyDescent="0.2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spans="1:26" x14ac:dyDescent="0.25">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spans="1:26" x14ac:dyDescent="0.25">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spans="1:26" x14ac:dyDescent="0.25">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spans="1:26" x14ac:dyDescent="0.25">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spans="1:26" x14ac:dyDescent="0.25">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spans="1:26" x14ac:dyDescent="0.25">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spans="1:26" x14ac:dyDescent="0.25">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spans="1:26" x14ac:dyDescent="0.25">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spans="1:26" x14ac:dyDescent="0.25">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spans="1:26" x14ac:dyDescent="0.2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spans="1:26" x14ac:dyDescent="0.25">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spans="1:26" x14ac:dyDescent="0.25">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spans="1:26" x14ac:dyDescent="0.25">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spans="1:26" x14ac:dyDescent="0.25">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spans="1:26" x14ac:dyDescent="0.25">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spans="1:26" x14ac:dyDescent="0.25">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spans="1:26" x14ac:dyDescent="0.25">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spans="1:26" x14ac:dyDescent="0.25">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spans="1:26" x14ac:dyDescent="0.25">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spans="1:26" x14ac:dyDescent="0.2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spans="1:26" x14ac:dyDescent="0.25">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spans="1:26" x14ac:dyDescent="0.25">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spans="1:26" x14ac:dyDescent="0.25">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spans="1:26" x14ac:dyDescent="0.25">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spans="1:26" x14ac:dyDescent="0.25">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spans="1:26" x14ac:dyDescent="0.25">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spans="1:26" x14ac:dyDescent="0.25">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spans="1:26" x14ac:dyDescent="0.25">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spans="1:26" x14ac:dyDescent="0.25">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spans="1:26" x14ac:dyDescent="0.2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spans="1:26" x14ac:dyDescent="0.25">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spans="1:26" x14ac:dyDescent="0.25">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spans="1:26" x14ac:dyDescent="0.25">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spans="1:26" x14ac:dyDescent="0.25">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spans="1:26" x14ac:dyDescent="0.25">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spans="1:26" x14ac:dyDescent="0.25">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spans="1:26" x14ac:dyDescent="0.25">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spans="1:26" x14ac:dyDescent="0.25">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spans="1:26" x14ac:dyDescent="0.25">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spans="1:26" x14ac:dyDescent="0.2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spans="1:26" x14ac:dyDescent="0.25">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spans="1:26" x14ac:dyDescent="0.25">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spans="1:26" x14ac:dyDescent="0.25">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spans="1:26" x14ac:dyDescent="0.25">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spans="1:26" x14ac:dyDescent="0.25">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spans="1:26" x14ac:dyDescent="0.25">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spans="1:26" x14ac:dyDescent="0.25">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spans="1:26" x14ac:dyDescent="0.25">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spans="1:26" x14ac:dyDescent="0.25">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spans="1:26" x14ac:dyDescent="0.2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spans="1:26" x14ac:dyDescent="0.25">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spans="1:26" x14ac:dyDescent="0.25">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spans="1:26" x14ac:dyDescent="0.25">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spans="1:26" x14ac:dyDescent="0.25">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spans="1:26" x14ac:dyDescent="0.25">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spans="1:26" x14ac:dyDescent="0.25">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spans="1:26" x14ac:dyDescent="0.25">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spans="1:26" x14ac:dyDescent="0.25">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spans="1:26" x14ac:dyDescent="0.25">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spans="1:26" x14ac:dyDescent="0.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spans="1:26" x14ac:dyDescent="0.25">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spans="1:26" x14ac:dyDescent="0.25">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spans="1:26" x14ac:dyDescent="0.25">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spans="1:26" x14ac:dyDescent="0.25">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spans="1:26" x14ac:dyDescent="0.25">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spans="1:26" x14ac:dyDescent="0.25">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spans="1:26" x14ac:dyDescent="0.25">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spans="1:26" x14ac:dyDescent="0.25">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spans="1:26" x14ac:dyDescent="0.25">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spans="1:26" x14ac:dyDescent="0.2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spans="1:26" x14ac:dyDescent="0.25">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spans="1:26" x14ac:dyDescent="0.25">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spans="1:26" x14ac:dyDescent="0.25">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spans="1:26" x14ac:dyDescent="0.25">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spans="1:26" x14ac:dyDescent="0.25">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spans="1:26" x14ac:dyDescent="0.25">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spans="1:26" x14ac:dyDescent="0.25">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spans="1:26" x14ac:dyDescent="0.25">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spans="1:26" x14ac:dyDescent="0.25">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spans="1:26" x14ac:dyDescent="0.2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spans="1:26" x14ac:dyDescent="0.25">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spans="1:26" x14ac:dyDescent="0.25">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spans="1:26" x14ac:dyDescent="0.25">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spans="1:26" x14ac:dyDescent="0.25">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spans="1:26" x14ac:dyDescent="0.25">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spans="1:26" x14ac:dyDescent="0.25">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spans="1:26" x14ac:dyDescent="0.25">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spans="1:26" x14ac:dyDescent="0.25">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spans="1:26" x14ac:dyDescent="0.25">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spans="1:26" x14ac:dyDescent="0.2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spans="1:26" x14ac:dyDescent="0.25">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spans="1:26" x14ac:dyDescent="0.25">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spans="1:26" x14ac:dyDescent="0.25">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spans="1:26" x14ac:dyDescent="0.25">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spans="1:26" x14ac:dyDescent="0.25">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spans="1:26" x14ac:dyDescent="0.25">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spans="1:26" x14ac:dyDescent="0.25">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spans="1:26" x14ac:dyDescent="0.25">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spans="1:26" x14ac:dyDescent="0.25">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spans="1:26" x14ac:dyDescent="0.2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spans="1:26" x14ac:dyDescent="0.25">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spans="1:26" x14ac:dyDescent="0.25">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spans="1:26" x14ac:dyDescent="0.25">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spans="1:26" x14ac:dyDescent="0.25">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spans="1:26" x14ac:dyDescent="0.25">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spans="1:26" x14ac:dyDescent="0.25">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spans="1:26" x14ac:dyDescent="0.25">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spans="1:26" x14ac:dyDescent="0.25">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spans="1:26" x14ac:dyDescent="0.25">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spans="1:26" x14ac:dyDescent="0.2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spans="1:26" x14ac:dyDescent="0.25">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spans="1:26" x14ac:dyDescent="0.25">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spans="1:26" x14ac:dyDescent="0.25">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spans="1:26" x14ac:dyDescent="0.25">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spans="1:26" x14ac:dyDescent="0.25">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spans="1:26" x14ac:dyDescent="0.25">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spans="1:26" x14ac:dyDescent="0.25">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spans="1:26" x14ac:dyDescent="0.25">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spans="1:26" x14ac:dyDescent="0.25">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spans="1:26" x14ac:dyDescent="0.2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spans="1:26" x14ac:dyDescent="0.25">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spans="1:26" x14ac:dyDescent="0.25">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spans="1:26" x14ac:dyDescent="0.25">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spans="1:26" x14ac:dyDescent="0.25">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spans="1:26" x14ac:dyDescent="0.25">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spans="1:26" x14ac:dyDescent="0.25">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spans="1:26" x14ac:dyDescent="0.25">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spans="1:26" x14ac:dyDescent="0.25">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spans="1:26" x14ac:dyDescent="0.25">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spans="1:26" x14ac:dyDescent="0.2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spans="1:26" x14ac:dyDescent="0.25">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spans="1:26" x14ac:dyDescent="0.25">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spans="1:26" x14ac:dyDescent="0.25">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spans="1:26" x14ac:dyDescent="0.25">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spans="1:26" x14ac:dyDescent="0.25">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spans="1:26" x14ac:dyDescent="0.25">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spans="1:26" x14ac:dyDescent="0.25">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spans="1:26" x14ac:dyDescent="0.25">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spans="1:26" x14ac:dyDescent="0.25">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spans="1:26" x14ac:dyDescent="0.2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spans="1:26" x14ac:dyDescent="0.25">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spans="1:26" x14ac:dyDescent="0.25">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spans="1:26" x14ac:dyDescent="0.25">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spans="1:26" x14ac:dyDescent="0.25">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spans="1:26" x14ac:dyDescent="0.25">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spans="1:26" x14ac:dyDescent="0.25">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spans="1:26" x14ac:dyDescent="0.25">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spans="1:26" x14ac:dyDescent="0.25">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spans="1:26" x14ac:dyDescent="0.25">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spans="1:26" x14ac:dyDescent="0.2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spans="1:26" x14ac:dyDescent="0.25">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spans="1:26" x14ac:dyDescent="0.25">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spans="1:26" x14ac:dyDescent="0.25">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spans="1:26" x14ac:dyDescent="0.25">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spans="1:26" x14ac:dyDescent="0.25">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spans="1:26" x14ac:dyDescent="0.25">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spans="1:26" x14ac:dyDescent="0.25">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spans="1:26" x14ac:dyDescent="0.25">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spans="1:26" x14ac:dyDescent="0.25">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spans="1:26" x14ac:dyDescent="0.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spans="1:26" x14ac:dyDescent="0.25">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spans="1:26" x14ac:dyDescent="0.25">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spans="1:26" x14ac:dyDescent="0.25">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spans="1:26" x14ac:dyDescent="0.25">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spans="1:26" x14ac:dyDescent="0.25">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spans="1:26" x14ac:dyDescent="0.25">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spans="1:26" x14ac:dyDescent="0.25">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spans="1:26" x14ac:dyDescent="0.25">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spans="1:26" x14ac:dyDescent="0.25">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spans="1:26" x14ac:dyDescent="0.2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spans="1:26" x14ac:dyDescent="0.25">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spans="1:26" x14ac:dyDescent="0.25">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spans="1:26" x14ac:dyDescent="0.25">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spans="1:26" x14ac:dyDescent="0.25">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spans="1:26" x14ac:dyDescent="0.25">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spans="1:26" x14ac:dyDescent="0.25">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spans="1:26" x14ac:dyDescent="0.25">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spans="1:26" x14ac:dyDescent="0.25">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spans="1:26" x14ac:dyDescent="0.25">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spans="1:26" x14ac:dyDescent="0.2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spans="1:26" x14ac:dyDescent="0.25">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spans="1:26" x14ac:dyDescent="0.25">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spans="1:26" x14ac:dyDescent="0.25">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spans="1:26" x14ac:dyDescent="0.25">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spans="1:26" x14ac:dyDescent="0.25">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spans="1:26" x14ac:dyDescent="0.25">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spans="1:26" x14ac:dyDescent="0.25">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spans="1:26" x14ac:dyDescent="0.25">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spans="1:26" x14ac:dyDescent="0.25">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spans="1:26" x14ac:dyDescent="0.2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spans="1:26" x14ac:dyDescent="0.25">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spans="1:26" x14ac:dyDescent="0.25">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spans="1:26" x14ac:dyDescent="0.25">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spans="1:26" x14ac:dyDescent="0.25">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spans="1:26" x14ac:dyDescent="0.25">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spans="1:26" x14ac:dyDescent="0.25">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spans="1:26" x14ac:dyDescent="0.25">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spans="1:26" x14ac:dyDescent="0.25">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spans="1:26" x14ac:dyDescent="0.25">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spans="1:26" x14ac:dyDescent="0.2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spans="1:26" x14ac:dyDescent="0.25">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spans="1:26" x14ac:dyDescent="0.25">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spans="1:26" x14ac:dyDescent="0.25">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spans="1:26" x14ac:dyDescent="0.25">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spans="1:26" x14ac:dyDescent="0.25">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spans="1:26" x14ac:dyDescent="0.25">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spans="1:26" x14ac:dyDescent="0.25">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spans="1:26" x14ac:dyDescent="0.25">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spans="1:26" x14ac:dyDescent="0.25">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spans="1:26" x14ac:dyDescent="0.2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spans="1:26" x14ac:dyDescent="0.25">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spans="1:26" x14ac:dyDescent="0.25">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spans="1:26" x14ac:dyDescent="0.25">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spans="1:26" x14ac:dyDescent="0.25">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spans="1:26" x14ac:dyDescent="0.25">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spans="1:26" x14ac:dyDescent="0.25">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spans="1:26" x14ac:dyDescent="0.25">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spans="1:26" x14ac:dyDescent="0.25">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spans="1:26" x14ac:dyDescent="0.25">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spans="1:26" x14ac:dyDescent="0.2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spans="1:26" x14ac:dyDescent="0.25">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spans="1:26" x14ac:dyDescent="0.25">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spans="1:26" x14ac:dyDescent="0.25">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spans="1:26" x14ac:dyDescent="0.25">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spans="1:26" x14ac:dyDescent="0.25">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spans="1:26" x14ac:dyDescent="0.25">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spans="1:26" x14ac:dyDescent="0.25">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spans="1:26" x14ac:dyDescent="0.25">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spans="1:26" x14ac:dyDescent="0.25">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spans="1:26" x14ac:dyDescent="0.2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spans="1:26" x14ac:dyDescent="0.25">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spans="1:26" x14ac:dyDescent="0.25">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spans="1:26" x14ac:dyDescent="0.25">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spans="1:26" x14ac:dyDescent="0.25">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spans="1:26" x14ac:dyDescent="0.25">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sheetData>
  <sheetProtection sheet="1" objects="1" scenarios="1"/>
  <mergeCells count="5">
    <mergeCell ref="B42:E42"/>
    <mergeCell ref="B2:E2"/>
    <mergeCell ref="B3:E3"/>
    <mergeCell ref="B7:E7"/>
    <mergeCell ref="B15:E15"/>
  </mergeCells>
  <dataValidations count="4">
    <dataValidation type="list" allowBlank="1" showInputMessage="1" showErrorMessage="1" sqref="C30" xr:uid="{208F75E0-F2A1-4AC3-9974-D19C6353B932}">
      <formula1>"Yes,No"</formula1>
    </dataValidation>
    <dataValidation type="list" allowBlank="1" showInputMessage="1" showErrorMessage="1" sqref="C8" xr:uid="{963EA7CF-AB54-452B-9133-7FB4F618FCFE}">
      <formula1>"1,2,3,4,5,6,7,8,9,10,11,12,13,14,15,16"</formula1>
    </dataValidation>
    <dataValidation type="list" allowBlank="1" showInputMessage="1" showErrorMessage="1" sqref="C9" xr:uid="{FC4CFF6C-92C0-4D41-A5B4-FEE181220D93}">
      <formula1>"All-NVMe (No Cache),NVMe + SSD (NVMe is Cache)"</formula1>
    </dataValidation>
    <dataValidation type="list" allowBlank="1" showInputMessage="1" showErrorMessage="1" sqref="C13" xr:uid="{917C79B0-9ED1-4181-A9E4-68BB849EAF90}">
      <formula1>"Fixed (Thick),Thin"</formula1>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sheetPr>
  <dimension ref="A1:Z500"/>
  <sheetViews>
    <sheetView topLeftCell="A100" zoomScaleNormal="100" workbookViewId="0">
      <selection activeCell="B139" sqref="B139"/>
    </sheetView>
  </sheetViews>
  <sheetFormatPr defaultColWidth="8.7109375" defaultRowHeight="15" x14ac:dyDescent="0.25"/>
  <cols>
    <col min="1" max="1" width="2.85546875" customWidth="1"/>
    <col min="2" max="2" width="74.42578125" bestFit="1" customWidth="1"/>
    <col min="3" max="3" width="51.7109375" bestFit="1" customWidth="1"/>
    <col min="4" max="4" width="19" customWidth="1"/>
    <col min="5" max="5" width="41" bestFit="1" customWidth="1"/>
    <col min="6" max="6" width="122.140625" bestFit="1" customWidth="1"/>
    <col min="7" max="7" width="50" customWidth="1"/>
  </cols>
  <sheetData>
    <row r="1" spans="1:26" x14ac:dyDescent="0.25">
      <c r="A1" s="46"/>
      <c r="B1" s="46"/>
      <c r="C1" s="46"/>
      <c r="D1" s="46"/>
      <c r="E1" s="46"/>
      <c r="F1" s="46"/>
      <c r="G1" s="46"/>
      <c r="H1" s="46"/>
      <c r="I1" s="46"/>
      <c r="J1" s="46"/>
      <c r="K1" s="46"/>
      <c r="L1" s="46"/>
      <c r="M1" s="46"/>
      <c r="N1" s="46"/>
      <c r="O1" s="46"/>
      <c r="P1" s="46"/>
      <c r="Q1" s="46"/>
      <c r="R1" s="46"/>
      <c r="S1" s="46"/>
      <c r="T1" s="46"/>
      <c r="U1" s="46"/>
      <c r="V1" s="46"/>
      <c r="W1" s="46"/>
      <c r="X1" s="46"/>
      <c r="Y1" s="46"/>
      <c r="Z1" s="46"/>
    </row>
    <row r="2" spans="1:26" ht="18" x14ac:dyDescent="0.25">
      <c r="A2" s="46"/>
      <c r="B2" s="124" t="s">
        <v>322</v>
      </c>
      <c r="C2" s="125"/>
      <c r="D2" s="125"/>
      <c r="E2" s="125"/>
      <c r="F2" s="125"/>
      <c r="G2" s="46"/>
      <c r="H2" s="46"/>
      <c r="I2" s="46"/>
      <c r="J2" s="46"/>
      <c r="K2" s="46"/>
      <c r="L2" s="46"/>
      <c r="M2" s="46"/>
      <c r="N2" s="46"/>
      <c r="O2" s="46"/>
      <c r="P2" s="46"/>
      <c r="Q2" s="46"/>
      <c r="R2" s="46"/>
      <c r="S2" s="46"/>
      <c r="T2" s="46"/>
      <c r="U2" s="46"/>
      <c r="V2" s="46"/>
      <c r="W2" s="46"/>
      <c r="X2" s="46"/>
      <c r="Y2" s="46"/>
      <c r="Z2" s="46"/>
    </row>
    <row r="3" spans="1:26" x14ac:dyDescent="0.25">
      <c r="A3" s="46"/>
      <c r="B3" s="126" t="s">
        <v>323</v>
      </c>
      <c r="C3" s="127"/>
      <c r="D3" s="127"/>
      <c r="E3" s="127"/>
      <c r="F3" s="127"/>
      <c r="G3" s="46"/>
      <c r="H3" s="46"/>
      <c r="I3" s="46"/>
      <c r="J3" s="46"/>
      <c r="K3" s="46"/>
      <c r="L3" s="46"/>
      <c r="M3" s="46"/>
      <c r="N3" s="46"/>
      <c r="O3" s="46"/>
      <c r="P3" s="46"/>
      <c r="Q3" s="46"/>
      <c r="R3" s="46"/>
      <c r="S3" s="46"/>
      <c r="T3" s="46"/>
      <c r="U3" s="46"/>
      <c r="V3" s="46"/>
      <c r="W3" s="46"/>
      <c r="X3" s="46"/>
      <c r="Y3" s="46"/>
      <c r="Z3" s="46"/>
    </row>
    <row r="4" spans="1:26" x14ac:dyDescent="0.25">
      <c r="A4" s="46"/>
      <c r="B4" s="46"/>
      <c r="C4" s="46"/>
      <c r="D4" s="46"/>
      <c r="E4" s="46"/>
      <c r="F4" s="46"/>
      <c r="G4" s="46"/>
      <c r="H4" s="46"/>
      <c r="I4" s="46"/>
      <c r="J4" s="46"/>
      <c r="K4" s="46"/>
      <c r="L4" s="46"/>
      <c r="M4" s="46"/>
      <c r="N4" s="46"/>
      <c r="O4" s="46"/>
      <c r="P4" s="46"/>
      <c r="Q4" s="46"/>
      <c r="R4" s="46"/>
      <c r="S4" s="46"/>
      <c r="T4" s="46"/>
      <c r="U4" s="46"/>
      <c r="V4" s="46"/>
      <c r="W4" s="46"/>
      <c r="X4" s="46"/>
      <c r="Y4" s="46"/>
      <c r="Z4" s="46"/>
    </row>
    <row r="5" spans="1:26" ht="30" customHeight="1" x14ac:dyDescent="0.3">
      <c r="A5" s="46"/>
      <c r="B5" s="128" t="s">
        <v>124</v>
      </c>
      <c r="C5" s="129">
        <f>'Hardware Inputs'!C24</f>
        <v>31.045200000000001</v>
      </c>
      <c r="D5" s="128" t="s">
        <v>87</v>
      </c>
      <c r="E5" s="130">
        <f>'Hardware Inputs'!C24</f>
        <v>31.045200000000001</v>
      </c>
      <c r="F5" s="131"/>
      <c r="G5" s="46"/>
      <c r="H5" s="46"/>
      <c r="I5" s="46"/>
      <c r="J5" s="46"/>
      <c r="K5" s="46"/>
      <c r="L5" s="46"/>
      <c r="M5" s="46"/>
      <c r="N5" s="46"/>
      <c r="O5" s="46"/>
      <c r="P5" s="46"/>
      <c r="Q5" s="46"/>
      <c r="R5" s="46"/>
      <c r="S5" s="46"/>
      <c r="T5" s="46"/>
      <c r="U5" s="46"/>
      <c r="V5" s="46"/>
      <c r="W5" s="46"/>
      <c r="X5" s="46"/>
      <c r="Y5" s="46"/>
      <c r="Z5" s="46"/>
    </row>
    <row r="6" spans="1:26" x14ac:dyDescent="0.25">
      <c r="A6" s="46"/>
      <c r="B6" s="46"/>
      <c r="C6" s="46"/>
      <c r="D6" s="46"/>
      <c r="E6" s="46"/>
      <c r="F6" s="46"/>
      <c r="G6" s="46"/>
      <c r="H6" s="46"/>
      <c r="I6" s="46"/>
      <c r="J6" s="46"/>
      <c r="K6" s="46"/>
      <c r="L6" s="46"/>
      <c r="M6" s="46"/>
      <c r="N6" s="46"/>
      <c r="O6" s="46"/>
      <c r="P6" s="46"/>
      <c r="Q6" s="46"/>
      <c r="R6" s="46"/>
      <c r="S6" s="46"/>
      <c r="T6" s="46"/>
      <c r="U6" s="46"/>
      <c r="V6" s="46"/>
      <c r="W6" s="46"/>
      <c r="X6" s="46"/>
      <c r="Y6" s="46"/>
      <c r="Z6" s="46"/>
    </row>
    <row r="7" spans="1:26" ht="24" customHeight="1" x14ac:dyDescent="0.25">
      <c r="A7" s="46"/>
      <c r="B7" s="126" t="s">
        <v>621</v>
      </c>
      <c r="C7" s="127"/>
      <c r="D7" s="127"/>
      <c r="E7" s="127"/>
      <c r="F7" s="127"/>
      <c r="G7" s="46"/>
      <c r="H7" s="46"/>
      <c r="I7" s="46"/>
      <c r="J7" s="46"/>
      <c r="K7" s="46"/>
      <c r="L7" s="46"/>
      <c r="M7" s="46"/>
      <c r="N7" s="46"/>
      <c r="O7" s="46"/>
      <c r="P7" s="46"/>
      <c r="Q7" s="46"/>
      <c r="R7" s="46"/>
      <c r="S7" s="46"/>
      <c r="T7" s="46"/>
      <c r="U7" s="46"/>
      <c r="V7" s="46"/>
      <c r="W7" s="46"/>
      <c r="X7" s="46"/>
      <c r="Y7" s="46"/>
      <c r="Z7" s="46"/>
    </row>
    <row r="8" spans="1:26" x14ac:dyDescent="0.25">
      <c r="A8" s="46"/>
      <c r="B8" s="132" t="s">
        <v>324</v>
      </c>
      <c r="C8" s="244" t="str">
        <f>'AVD Planning'!C6</f>
        <v>Yes</v>
      </c>
      <c r="D8" s="46"/>
      <c r="E8" s="46"/>
      <c r="F8" s="134" t="s">
        <v>821</v>
      </c>
      <c r="G8" s="46"/>
      <c r="H8" s="46"/>
      <c r="I8" s="46"/>
      <c r="J8" s="46"/>
      <c r="K8" s="46"/>
      <c r="L8" s="46"/>
      <c r="M8" s="46"/>
      <c r="N8" s="46"/>
      <c r="O8" s="46"/>
      <c r="P8" s="46"/>
      <c r="Q8" s="46"/>
      <c r="R8" s="46"/>
      <c r="S8" s="46"/>
      <c r="T8" s="46"/>
      <c r="U8" s="46"/>
      <c r="V8" s="46"/>
      <c r="W8" s="46"/>
      <c r="X8" s="46"/>
      <c r="Y8" s="46"/>
      <c r="Z8" s="46"/>
    </row>
    <row r="9" spans="1:26" ht="21.95" customHeight="1" x14ac:dyDescent="0.25">
      <c r="A9" s="46"/>
      <c r="B9" s="135" t="s">
        <v>817</v>
      </c>
      <c r="C9" s="136"/>
      <c r="D9" s="136"/>
      <c r="E9" s="136"/>
      <c r="F9" s="137" t="s">
        <v>822</v>
      </c>
      <c r="G9" s="46"/>
      <c r="H9" s="46"/>
      <c r="I9" s="46"/>
      <c r="J9" s="46"/>
      <c r="K9" s="46"/>
      <c r="L9" s="46"/>
      <c r="M9" s="46"/>
      <c r="N9" s="46"/>
      <c r="O9" s="46"/>
      <c r="P9" s="46"/>
      <c r="Q9" s="46"/>
      <c r="R9" s="46"/>
      <c r="S9" s="46"/>
      <c r="T9" s="46"/>
      <c r="U9" s="46"/>
      <c r="V9" s="46"/>
      <c r="W9" s="46"/>
      <c r="X9" s="46"/>
      <c r="Y9" s="46"/>
      <c r="Z9" s="46"/>
    </row>
    <row r="10" spans="1:26" x14ac:dyDescent="0.25">
      <c r="A10" s="46"/>
      <c r="B10" s="132" t="s">
        <v>326</v>
      </c>
      <c r="C10" s="245">
        <f>'AVD Planning'!C9</f>
        <v>32</v>
      </c>
      <c r="D10" s="139" t="s">
        <v>125</v>
      </c>
      <c r="E10" s="46"/>
      <c r="F10" s="46"/>
      <c r="G10" s="46"/>
      <c r="H10" s="46"/>
      <c r="I10" s="46"/>
      <c r="J10" s="46"/>
      <c r="K10" s="46"/>
      <c r="L10" s="46"/>
      <c r="M10" s="46"/>
      <c r="N10" s="46"/>
      <c r="O10" s="46"/>
      <c r="P10" s="46"/>
      <c r="Q10" s="46"/>
      <c r="R10" s="46"/>
      <c r="S10" s="46"/>
      <c r="T10" s="46"/>
      <c r="U10" s="46"/>
      <c r="V10" s="46"/>
      <c r="W10" s="46"/>
      <c r="X10" s="46"/>
      <c r="Y10" s="46"/>
      <c r="Z10" s="46"/>
    </row>
    <row r="11" spans="1:26" x14ac:dyDescent="0.25">
      <c r="A11" s="46"/>
      <c r="B11" s="132" t="s">
        <v>328</v>
      </c>
      <c r="C11" s="246">
        <f>'AVD Planning'!C10</f>
        <v>127</v>
      </c>
      <c r="D11" s="139" t="s">
        <v>126</v>
      </c>
      <c r="E11" s="46"/>
      <c r="F11" s="46"/>
      <c r="G11" s="46"/>
      <c r="H11" s="46"/>
      <c r="I11" s="46"/>
      <c r="J11" s="46"/>
      <c r="K11" s="46"/>
      <c r="L11" s="46"/>
      <c r="M11" s="46"/>
      <c r="N11" s="46"/>
      <c r="O11" s="46"/>
      <c r="P11" s="46"/>
      <c r="Q11" s="46"/>
      <c r="R11" s="46"/>
      <c r="S11" s="46"/>
      <c r="T11" s="46"/>
      <c r="U11" s="46"/>
      <c r="V11" s="46"/>
      <c r="W11" s="46"/>
      <c r="X11" s="46"/>
      <c r="Y11" s="46"/>
      <c r="Z11" s="46"/>
    </row>
    <row r="12" spans="1:26" x14ac:dyDescent="0.25">
      <c r="A12" s="46"/>
      <c r="B12" s="132" t="s">
        <v>330</v>
      </c>
      <c r="C12" s="246">
        <f>'AVD Planning'!C11</f>
        <v>50</v>
      </c>
      <c r="D12" s="139" t="s">
        <v>126</v>
      </c>
      <c r="E12" s="46"/>
      <c r="F12" s="46"/>
      <c r="G12" s="46"/>
      <c r="H12" s="46"/>
      <c r="I12" s="46"/>
      <c r="J12" s="46"/>
      <c r="K12" s="46"/>
      <c r="L12" s="46"/>
      <c r="M12" s="46"/>
      <c r="N12" s="46"/>
      <c r="O12" s="46"/>
      <c r="P12" s="46"/>
      <c r="Q12" s="46"/>
      <c r="R12" s="46"/>
      <c r="S12" s="46"/>
      <c r="T12" s="46"/>
      <c r="U12" s="46"/>
      <c r="V12" s="46"/>
      <c r="W12" s="46"/>
      <c r="X12" s="46"/>
      <c r="Y12" s="46"/>
      <c r="Z12" s="46"/>
    </row>
    <row r="13" spans="1:26" x14ac:dyDescent="0.25">
      <c r="A13" s="46"/>
      <c r="B13" s="132" t="s">
        <v>332</v>
      </c>
      <c r="C13" s="244" t="str">
        <f>'AVD Planning'!C12</f>
        <v>Two-Way Mirror</v>
      </c>
      <c r="D13" s="134" t="str">
        <f>'AVD Planning'!D12</f>
        <v>50% eff.</v>
      </c>
      <c r="E13" s="46"/>
      <c r="F13" s="46"/>
      <c r="G13" s="46"/>
      <c r="H13" s="46"/>
      <c r="I13" s="46"/>
      <c r="J13" s="46"/>
      <c r="K13" s="46"/>
      <c r="L13" s="46"/>
      <c r="M13" s="46"/>
      <c r="N13" s="46"/>
      <c r="O13" s="46"/>
      <c r="P13" s="46"/>
      <c r="Q13" s="46"/>
      <c r="R13" s="46"/>
      <c r="S13" s="46"/>
      <c r="T13" s="46"/>
      <c r="U13" s="46"/>
      <c r="V13" s="46"/>
      <c r="W13" s="46"/>
      <c r="X13" s="46"/>
      <c r="Y13" s="46"/>
      <c r="Z13" s="46"/>
    </row>
    <row r="14" spans="1:26" x14ac:dyDescent="0.25">
      <c r="A14" s="46"/>
      <c r="B14" s="140" t="s">
        <v>333</v>
      </c>
      <c r="C14" s="141">
        <f>'AVD Planning'!C13</f>
        <v>5.53</v>
      </c>
      <c r="D14" s="142" t="s">
        <v>87</v>
      </c>
      <c r="E14" s="46"/>
      <c r="F14" s="46"/>
      <c r="G14" s="46"/>
      <c r="H14" s="46"/>
      <c r="I14" s="46"/>
      <c r="J14" s="46"/>
      <c r="K14" s="46"/>
      <c r="L14" s="46"/>
      <c r="M14" s="46"/>
      <c r="N14" s="46"/>
      <c r="O14" s="46"/>
      <c r="P14" s="46"/>
      <c r="Q14" s="46"/>
      <c r="R14" s="46"/>
      <c r="S14" s="46"/>
      <c r="T14" s="46"/>
      <c r="U14" s="46"/>
      <c r="V14" s="46"/>
      <c r="W14" s="46"/>
      <c r="X14" s="46"/>
      <c r="Y14" s="46"/>
      <c r="Z14" s="46"/>
    </row>
    <row r="15" spans="1:26" x14ac:dyDescent="0.25">
      <c r="A15" s="46"/>
      <c r="B15" s="143" t="s">
        <v>334</v>
      </c>
      <c r="C15" s="144">
        <f>'AVD Planning'!C14</f>
        <v>11.06</v>
      </c>
      <c r="D15" s="145" t="s">
        <v>87</v>
      </c>
      <c r="E15" s="46"/>
      <c r="F15" s="46"/>
      <c r="G15" s="46"/>
      <c r="H15" s="46"/>
      <c r="I15" s="46"/>
      <c r="J15" s="46"/>
      <c r="K15" s="46"/>
      <c r="L15" s="46"/>
      <c r="M15" s="46"/>
      <c r="N15" s="46"/>
      <c r="O15" s="46"/>
      <c r="P15" s="46"/>
      <c r="Q15" s="46"/>
      <c r="R15" s="46"/>
      <c r="S15" s="46"/>
      <c r="T15" s="46"/>
      <c r="U15" s="46"/>
      <c r="V15" s="46"/>
      <c r="W15" s="46"/>
      <c r="X15" s="46"/>
      <c r="Y15" s="46"/>
      <c r="Z15" s="46"/>
    </row>
    <row r="16" spans="1:26" ht="21.95" customHeight="1" x14ac:dyDescent="0.25">
      <c r="A16" s="46"/>
      <c r="B16" s="146" t="s">
        <v>823</v>
      </c>
      <c r="C16" s="147"/>
      <c r="D16" s="147"/>
      <c r="E16" s="147"/>
      <c r="F16" s="147"/>
      <c r="G16" s="46"/>
      <c r="H16" s="46"/>
      <c r="I16" s="46"/>
      <c r="J16" s="46"/>
      <c r="K16" s="46"/>
      <c r="L16" s="46"/>
      <c r="M16" s="46"/>
      <c r="N16" s="46"/>
      <c r="O16" s="46"/>
      <c r="P16" s="46"/>
      <c r="Q16" s="46"/>
      <c r="R16" s="46"/>
      <c r="S16" s="46"/>
      <c r="T16" s="46"/>
      <c r="U16" s="46"/>
      <c r="V16" s="46"/>
      <c r="W16" s="46"/>
      <c r="X16" s="46"/>
      <c r="Y16" s="46"/>
      <c r="Z16" s="46"/>
    </row>
    <row r="17" spans="1:26" ht="21.95" customHeight="1" x14ac:dyDescent="0.25">
      <c r="A17" s="46"/>
      <c r="B17" s="132" t="s">
        <v>658</v>
      </c>
      <c r="C17" s="244" t="str">
        <f>'AVD Planning'!C17</f>
        <v>S2D Volume (local)</v>
      </c>
      <c r="D17" s="46"/>
      <c r="E17" s="46"/>
      <c r="F17" s="46"/>
      <c r="G17" s="46"/>
      <c r="H17" s="46"/>
      <c r="I17" s="46"/>
      <c r="J17" s="46"/>
      <c r="K17" s="46"/>
      <c r="L17" s="46"/>
      <c r="M17" s="46"/>
      <c r="N17" s="46"/>
      <c r="O17" s="46"/>
      <c r="P17" s="46"/>
      <c r="Q17" s="46"/>
      <c r="R17" s="46"/>
      <c r="S17" s="46"/>
      <c r="T17" s="46"/>
      <c r="U17" s="46"/>
      <c r="V17" s="46"/>
      <c r="W17" s="46"/>
      <c r="X17" s="46"/>
      <c r="Y17" s="46"/>
      <c r="Z17" s="46"/>
    </row>
    <row r="18" spans="1:26" x14ac:dyDescent="0.25">
      <c r="A18" s="46"/>
      <c r="B18" s="132" t="s">
        <v>335</v>
      </c>
      <c r="C18" s="245">
        <f>'AVD Planning'!C18</f>
        <v>1300</v>
      </c>
      <c r="D18" s="139" t="s">
        <v>128</v>
      </c>
      <c r="E18" s="46"/>
      <c r="F18" s="46"/>
      <c r="G18" s="46"/>
      <c r="H18" s="46"/>
      <c r="I18" s="46"/>
      <c r="J18" s="46"/>
      <c r="K18" s="46"/>
      <c r="L18" s="46"/>
      <c r="M18" s="46"/>
      <c r="N18" s="46"/>
      <c r="O18" s="46"/>
      <c r="P18" s="46"/>
      <c r="Q18" s="46"/>
      <c r="R18" s="46"/>
      <c r="S18" s="46"/>
      <c r="T18" s="46"/>
      <c r="U18" s="46"/>
      <c r="V18" s="46"/>
      <c r="W18" s="46"/>
      <c r="X18" s="46"/>
      <c r="Y18" s="46"/>
      <c r="Z18" s="46"/>
    </row>
    <row r="19" spans="1:26" x14ac:dyDescent="0.25">
      <c r="A19" s="46"/>
      <c r="B19" s="132" t="s">
        <v>762</v>
      </c>
      <c r="C19" s="245">
        <f>'AVD Planning'!C19</f>
        <v>300</v>
      </c>
      <c r="D19" s="139" t="s">
        <v>128</v>
      </c>
      <c r="E19" s="46"/>
      <c r="F19" s="46"/>
      <c r="G19" s="46"/>
      <c r="H19" s="46"/>
      <c r="I19" s="46"/>
      <c r="J19" s="46"/>
      <c r="K19" s="46"/>
      <c r="L19" s="46"/>
      <c r="M19" s="46"/>
      <c r="N19" s="46"/>
      <c r="O19" s="46"/>
      <c r="P19" s="46"/>
      <c r="Q19" s="46"/>
      <c r="R19" s="46"/>
      <c r="S19" s="46"/>
      <c r="T19" s="46"/>
      <c r="U19" s="46"/>
      <c r="V19" s="46"/>
      <c r="W19" s="46"/>
      <c r="X19" s="46"/>
      <c r="Y19" s="46"/>
      <c r="Z19" s="46"/>
    </row>
    <row r="20" spans="1:26" x14ac:dyDescent="0.25">
      <c r="A20" s="46"/>
      <c r="B20" s="132" t="s">
        <v>818</v>
      </c>
      <c r="C20" s="246">
        <f>'AVD Planning'!C20</f>
        <v>5</v>
      </c>
      <c r="D20" s="139" t="s">
        <v>126</v>
      </c>
      <c r="E20" s="46"/>
      <c r="F20" s="46"/>
      <c r="G20" s="46"/>
      <c r="H20" s="46"/>
      <c r="I20" s="46"/>
      <c r="J20" s="46"/>
      <c r="K20" s="46"/>
      <c r="L20" s="46"/>
      <c r="M20" s="46"/>
      <c r="N20" s="46"/>
      <c r="O20" s="46"/>
      <c r="P20" s="46"/>
      <c r="Q20" s="46"/>
      <c r="R20" s="46"/>
      <c r="S20" s="46"/>
      <c r="T20" s="46"/>
      <c r="U20" s="46"/>
      <c r="V20" s="46"/>
      <c r="W20" s="46"/>
      <c r="X20" s="46"/>
      <c r="Y20" s="46"/>
      <c r="Z20" s="46"/>
    </row>
    <row r="21" spans="1:26" x14ac:dyDescent="0.25">
      <c r="A21" s="46"/>
      <c r="B21" s="132" t="s">
        <v>747</v>
      </c>
      <c r="C21" s="247">
        <f>'AVD Planning'!C21</f>
        <v>0.3</v>
      </c>
      <c r="D21" s="139" t="s">
        <v>129</v>
      </c>
      <c r="E21" s="46"/>
      <c r="F21" s="46"/>
      <c r="G21" s="46"/>
      <c r="H21" s="46"/>
      <c r="I21" s="46"/>
      <c r="J21" s="46"/>
      <c r="K21" s="46"/>
      <c r="L21" s="46"/>
      <c r="M21" s="46"/>
      <c r="N21" s="46"/>
      <c r="O21" s="46"/>
      <c r="P21" s="46"/>
      <c r="Q21" s="46"/>
      <c r="R21" s="46"/>
      <c r="S21" s="46"/>
      <c r="T21" s="46"/>
      <c r="U21" s="46"/>
      <c r="V21" s="46"/>
      <c r="W21" s="46"/>
      <c r="X21" s="46"/>
      <c r="Y21" s="46"/>
      <c r="Z21" s="46"/>
    </row>
    <row r="22" spans="1:26" x14ac:dyDescent="0.25">
      <c r="A22" s="46"/>
      <c r="B22" s="132" t="s">
        <v>340</v>
      </c>
      <c r="C22" s="244" t="str">
        <f>'AVD Planning'!C22</f>
        <v>Three-Way Mirror</v>
      </c>
      <c r="D22" s="134" t="str">
        <f>'AVD Planning'!D22</f>
        <v>33% eff.</v>
      </c>
      <c r="E22" s="46"/>
      <c r="F22" s="46"/>
      <c r="G22" s="46"/>
      <c r="H22" s="46"/>
      <c r="I22" s="46"/>
      <c r="J22" s="46"/>
      <c r="K22" s="46"/>
      <c r="L22" s="46"/>
      <c r="M22" s="46"/>
      <c r="N22" s="46"/>
      <c r="O22" s="46"/>
      <c r="P22" s="46"/>
      <c r="Q22" s="46"/>
      <c r="R22" s="46"/>
      <c r="S22" s="46"/>
      <c r="T22" s="46"/>
      <c r="U22" s="46"/>
      <c r="V22" s="46"/>
      <c r="W22" s="46"/>
      <c r="X22" s="46"/>
      <c r="Y22" s="46"/>
      <c r="Z22" s="46"/>
    </row>
    <row r="23" spans="1:26" x14ac:dyDescent="0.25">
      <c r="A23" s="46"/>
      <c r="B23" s="140" t="s">
        <v>341</v>
      </c>
      <c r="C23" s="141">
        <f>'AVD Planning'!C23</f>
        <v>8.25</v>
      </c>
      <c r="D23" s="142" t="s">
        <v>87</v>
      </c>
      <c r="E23" s="46"/>
      <c r="F23" s="46"/>
      <c r="G23" s="46"/>
      <c r="H23" s="46"/>
      <c r="I23" s="46"/>
      <c r="J23" s="46"/>
      <c r="K23" s="46"/>
      <c r="L23" s="46"/>
      <c r="M23" s="46"/>
      <c r="N23" s="46"/>
      <c r="O23" s="46"/>
      <c r="P23" s="46"/>
      <c r="Q23" s="46"/>
      <c r="R23" s="46"/>
      <c r="S23" s="46"/>
      <c r="T23" s="46"/>
      <c r="U23" s="46"/>
      <c r="V23" s="46"/>
      <c r="W23" s="46"/>
      <c r="X23" s="46"/>
      <c r="Y23" s="46"/>
      <c r="Z23" s="46"/>
    </row>
    <row r="24" spans="1:26" x14ac:dyDescent="0.25">
      <c r="A24" s="46"/>
      <c r="B24" s="143" t="s">
        <v>342</v>
      </c>
      <c r="C24" s="144">
        <f>'AVD Planning'!C24</f>
        <v>24.75</v>
      </c>
      <c r="D24" s="145" t="s">
        <v>87</v>
      </c>
      <c r="E24" s="46"/>
      <c r="F24" s="46"/>
      <c r="G24" s="46"/>
      <c r="H24" s="46"/>
      <c r="I24" s="46"/>
      <c r="J24" s="46"/>
      <c r="K24" s="46"/>
      <c r="L24" s="46"/>
      <c r="M24" s="46"/>
      <c r="N24" s="46"/>
      <c r="O24" s="46"/>
      <c r="P24" s="46"/>
      <c r="Q24" s="46"/>
      <c r="R24" s="46"/>
      <c r="S24" s="46"/>
      <c r="T24" s="46"/>
      <c r="U24" s="46"/>
      <c r="V24" s="46"/>
      <c r="W24" s="46"/>
      <c r="X24" s="46"/>
      <c r="Y24" s="46"/>
      <c r="Z24" s="46"/>
    </row>
    <row r="25" spans="1:26" ht="21.95" customHeight="1" x14ac:dyDescent="0.25">
      <c r="A25" s="46"/>
      <c r="B25" s="148" t="s">
        <v>343</v>
      </c>
      <c r="C25" s="149">
        <f>'AVD Planning'!C25</f>
        <v>35.81</v>
      </c>
      <c r="D25" s="140" t="s">
        <v>87</v>
      </c>
      <c r="E25" s="46"/>
      <c r="F25" s="46"/>
      <c r="G25" s="46"/>
      <c r="H25" s="46"/>
      <c r="I25" s="46"/>
      <c r="J25" s="46"/>
      <c r="K25" s="46"/>
      <c r="L25" s="46"/>
      <c r="M25" s="46"/>
      <c r="N25" s="46"/>
      <c r="O25" s="46"/>
      <c r="P25" s="46"/>
      <c r="Q25" s="46"/>
      <c r="R25" s="46"/>
      <c r="S25" s="46"/>
      <c r="T25" s="46"/>
      <c r="U25" s="46"/>
      <c r="V25" s="46"/>
      <c r="W25" s="46"/>
      <c r="X25" s="46"/>
      <c r="Y25" s="46"/>
      <c r="Z25" s="46"/>
    </row>
    <row r="26" spans="1:26" ht="21.95" customHeight="1" x14ac:dyDescent="0.25">
      <c r="A26" s="150"/>
      <c r="B26" s="146" t="s">
        <v>819</v>
      </c>
      <c r="C26" s="151"/>
      <c r="D26" s="147"/>
      <c r="E26" s="147"/>
      <c r="F26" s="147"/>
      <c r="G26" s="46"/>
      <c r="H26" s="46"/>
      <c r="I26" s="46"/>
      <c r="J26" s="46"/>
      <c r="K26" s="46"/>
      <c r="L26" s="46"/>
      <c r="M26" s="46"/>
      <c r="N26" s="46"/>
      <c r="O26" s="46"/>
      <c r="P26" s="46"/>
      <c r="Q26" s="46"/>
      <c r="R26" s="46"/>
      <c r="S26" s="46"/>
      <c r="T26" s="46"/>
      <c r="U26" s="46"/>
      <c r="V26" s="46"/>
      <c r="W26" s="46"/>
      <c r="X26" s="46"/>
      <c r="Y26" s="46"/>
      <c r="Z26" s="46"/>
    </row>
    <row r="27" spans="1:26" x14ac:dyDescent="0.25">
      <c r="A27" s="150"/>
      <c r="B27" s="132" t="s">
        <v>662</v>
      </c>
      <c r="C27" s="248">
        <f>'AVD Planning'!C28</f>
        <v>8</v>
      </c>
      <c r="D27" s="139" t="s">
        <v>484</v>
      </c>
      <c r="E27" s="46"/>
      <c r="F27" s="46"/>
      <c r="G27" s="46"/>
      <c r="H27" s="46"/>
      <c r="I27" s="46"/>
      <c r="J27" s="46"/>
      <c r="K27" s="46"/>
      <c r="L27" s="46"/>
      <c r="M27" s="46"/>
      <c r="N27" s="46"/>
      <c r="O27" s="46"/>
      <c r="P27" s="46"/>
      <c r="Q27" s="46"/>
      <c r="R27" s="46"/>
      <c r="S27" s="46"/>
      <c r="T27" s="46"/>
      <c r="U27" s="46"/>
      <c r="V27" s="46"/>
      <c r="W27" s="46"/>
      <c r="X27" s="46"/>
      <c r="Y27" s="46"/>
      <c r="Z27" s="46"/>
    </row>
    <row r="28" spans="1:26" x14ac:dyDescent="0.25">
      <c r="A28" s="150"/>
      <c r="B28" s="132" t="s">
        <v>663</v>
      </c>
      <c r="C28" s="246">
        <f>'AVD Planning'!C29</f>
        <v>32</v>
      </c>
      <c r="D28" s="139" t="s">
        <v>126</v>
      </c>
      <c r="E28" s="46"/>
      <c r="F28" s="46"/>
      <c r="G28" s="46"/>
      <c r="H28" s="46"/>
      <c r="I28" s="46"/>
      <c r="J28" s="46"/>
      <c r="K28" s="46"/>
      <c r="L28" s="46"/>
      <c r="M28" s="46"/>
      <c r="N28" s="46"/>
      <c r="O28" s="46"/>
      <c r="P28" s="46"/>
      <c r="Q28" s="46"/>
      <c r="R28" s="46"/>
      <c r="S28" s="46"/>
      <c r="T28" s="46"/>
      <c r="U28" s="46"/>
      <c r="V28" s="46"/>
      <c r="W28" s="46"/>
      <c r="X28" s="46"/>
      <c r="Y28" s="46"/>
      <c r="Z28" s="46"/>
    </row>
    <row r="29" spans="1:26" x14ac:dyDescent="0.25">
      <c r="A29" s="150"/>
      <c r="B29" s="132" t="s">
        <v>625</v>
      </c>
      <c r="C29" s="249" t="str">
        <f>'AVD Planning'!C30</f>
        <v>4:1</v>
      </c>
      <c r="D29" s="139" t="s">
        <v>501</v>
      </c>
      <c r="E29" s="46"/>
      <c r="F29" s="46"/>
      <c r="G29" s="46"/>
      <c r="H29" s="46"/>
      <c r="I29" s="46"/>
      <c r="J29" s="46"/>
      <c r="K29" s="46"/>
      <c r="L29" s="46"/>
      <c r="M29" s="46"/>
      <c r="N29" s="46"/>
      <c r="O29" s="46"/>
      <c r="P29" s="46"/>
      <c r="Q29" s="46"/>
      <c r="R29" s="46"/>
      <c r="S29" s="46"/>
      <c r="T29" s="46"/>
      <c r="U29" s="46"/>
      <c r="V29" s="46"/>
      <c r="W29" s="46"/>
      <c r="X29" s="46"/>
      <c r="Y29" s="46"/>
      <c r="Z29" s="46"/>
    </row>
    <row r="30" spans="1:26" x14ac:dyDescent="0.25">
      <c r="A30" s="150"/>
      <c r="B30" s="132" t="s">
        <v>502</v>
      </c>
      <c r="C30" s="248">
        <f>'AVD Planning'!C31</f>
        <v>2</v>
      </c>
      <c r="D30" s="139" t="s">
        <v>484</v>
      </c>
      <c r="E30" s="46"/>
      <c r="F30" s="46"/>
      <c r="G30" s="46"/>
      <c r="H30" s="46"/>
      <c r="I30" s="46"/>
      <c r="J30" s="46"/>
      <c r="K30" s="46"/>
      <c r="L30" s="46"/>
      <c r="M30" s="46"/>
      <c r="N30" s="46"/>
      <c r="O30" s="46"/>
      <c r="P30" s="46"/>
      <c r="Q30" s="46"/>
      <c r="R30" s="46"/>
      <c r="S30" s="46"/>
      <c r="T30" s="46"/>
      <c r="U30" s="46"/>
      <c r="V30" s="46"/>
      <c r="W30" s="46"/>
      <c r="X30" s="46"/>
      <c r="Y30" s="46"/>
      <c r="Z30" s="46"/>
    </row>
    <row r="31" spans="1:26" x14ac:dyDescent="0.25">
      <c r="A31" s="150"/>
      <c r="B31" s="132" t="s">
        <v>504</v>
      </c>
      <c r="C31" s="246">
        <f>'AVD Planning'!C32</f>
        <v>4</v>
      </c>
      <c r="D31" s="139" t="s">
        <v>126</v>
      </c>
      <c r="E31" s="46"/>
      <c r="F31" s="46"/>
      <c r="G31" s="46"/>
      <c r="H31" s="46"/>
      <c r="I31" s="46"/>
      <c r="J31" s="46"/>
      <c r="K31" s="46"/>
      <c r="L31" s="46"/>
      <c r="M31" s="46"/>
      <c r="N31" s="46"/>
      <c r="O31" s="46"/>
      <c r="P31" s="46"/>
      <c r="Q31" s="46"/>
      <c r="R31" s="46"/>
      <c r="S31" s="46"/>
      <c r="T31" s="46"/>
      <c r="U31" s="46"/>
      <c r="V31" s="46"/>
      <c r="W31" s="46"/>
      <c r="X31" s="46"/>
      <c r="Y31" s="46"/>
      <c r="Z31" s="46"/>
    </row>
    <row r="32" spans="1:26" x14ac:dyDescent="0.25">
      <c r="A32" s="150"/>
      <c r="B32" s="140" t="s">
        <v>506</v>
      </c>
      <c r="C32" s="141">
        <f>'AVD Planning'!C33</f>
        <v>4</v>
      </c>
      <c r="D32" s="142" t="s">
        <v>507</v>
      </c>
      <c r="E32" s="46"/>
      <c r="F32" s="46"/>
      <c r="G32" s="46"/>
      <c r="H32" s="46"/>
      <c r="I32" s="46"/>
      <c r="J32" s="46"/>
      <c r="K32" s="46"/>
      <c r="L32" s="46"/>
      <c r="M32" s="46"/>
      <c r="N32" s="46"/>
      <c r="O32" s="46"/>
      <c r="P32" s="46"/>
      <c r="Q32" s="46"/>
      <c r="R32" s="46"/>
      <c r="S32" s="46"/>
      <c r="T32" s="46"/>
      <c r="U32" s="46"/>
      <c r="V32" s="46"/>
      <c r="W32" s="46"/>
      <c r="X32" s="46"/>
      <c r="Y32" s="46"/>
      <c r="Z32" s="46"/>
    </row>
    <row r="33" spans="1:26" x14ac:dyDescent="0.25">
      <c r="A33" s="150"/>
      <c r="B33" s="140" t="s">
        <v>820</v>
      </c>
      <c r="C33" s="141">
        <f>'AVD Planning'!C34</f>
        <v>75</v>
      </c>
      <c r="D33" s="142" t="s">
        <v>125</v>
      </c>
      <c r="E33" s="46"/>
      <c r="F33" s="46"/>
      <c r="G33" s="46"/>
      <c r="H33" s="46"/>
      <c r="I33" s="46"/>
      <c r="J33" s="46"/>
      <c r="K33" s="46"/>
      <c r="L33" s="46"/>
      <c r="M33" s="46"/>
      <c r="N33" s="46"/>
      <c r="O33" s="46"/>
      <c r="P33" s="46"/>
      <c r="Q33" s="46"/>
      <c r="R33" s="46"/>
      <c r="S33" s="46"/>
      <c r="T33" s="46"/>
      <c r="U33" s="46"/>
      <c r="V33" s="46"/>
      <c r="W33" s="46"/>
      <c r="X33" s="46"/>
      <c r="Y33" s="46"/>
      <c r="Z33" s="46"/>
    </row>
    <row r="34" spans="1:26" x14ac:dyDescent="0.25">
      <c r="A34" s="150"/>
      <c r="B34" s="152" t="s">
        <v>511</v>
      </c>
      <c r="C34" s="153" t="str">
        <f>'AVD Planning'!C35</f>
        <v>✗ FAIL — Need 75 VMs but only 32 configured</v>
      </c>
      <c r="D34" s="46"/>
      <c r="E34" s="46"/>
      <c r="F34" s="46"/>
      <c r="G34" s="46"/>
      <c r="H34" s="46"/>
      <c r="I34" s="46"/>
      <c r="J34" s="46"/>
      <c r="K34" s="46"/>
      <c r="L34" s="46"/>
      <c r="M34" s="46"/>
      <c r="N34" s="46"/>
      <c r="O34" s="46"/>
      <c r="P34" s="46"/>
      <c r="Q34" s="46"/>
      <c r="R34" s="46"/>
      <c r="S34" s="46"/>
      <c r="T34" s="46"/>
      <c r="U34" s="46"/>
      <c r="V34" s="46"/>
      <c r="W34" s="46"/>
      <c r="X34" s="46"/>
      <c r="Y34" s="46"/>
      <c r="Z34" s="46"/>
    </row>
    <row r="35" spans="1:26" x14ac:dyDescent="0.25">
      <c r="A35" s="150"/>
      <c r="B35" s="140" t="s">
        <v>512</v>
      </c>
      <c r="C35" s="141">
        <f>'AVD Planning'!C36</f>
        <v>256</v>
      </c>
      <c r="D35" s="142" t="s">
        <v>484</v>
      </c>
      <c r="E35" s="46"/>
      <c r="F35" s="46"/>
      <c r="G35" s="46"/>
      <c r="H35" s="46"/>
      <c r="I35" s="46"/>
      <c r="J35" s="46"/>
      <c r="K35" s="46"/>
      <c r="L35" s="46"/>
      <c r="M35" s="46"/>
      <c r="N35" s="46"/>
      <c r="O35" s="46"/>
      <c r="P35" s="46"/>
      <c r="Q35" s="46"/>
      <c r="R35" s="46"/>
      <c r="S35" s="46"/>
      <c r="T35" s="46"/>
      <c r="U35" s="46"/>
      <c r="V35" s="46"/>
      <c r="W35" s="46"/>
      <c r="X35" s="46"/>
      <c r="Y35" s="46"/>
      <c r="Z35" s="46"/>
    </row>
    <row r="36" spans="1:26" x14ac:dyDescent="0.25">
      <c r="A36" s="150"/>
      <c r="B36" s="140" t="s">
        <v>627</v>
      </c>
      <c r="C36" s="141">
        <f>'AVD Planning'!C37</f>
        <v>1024</v>
      </c>
      <c r="D36" s="142" t="s">
        <v>126</v>
      </c>
      <c r="E36" s="46"/>
      <c r="F36" s="46"/>
      <c r="G36" s="46"/>
      <c r="H36" s="46"/>
      <c r="I36" s="46"/>
      <c r="J36" s="46"/>
      <c r="K36" s="46"/>
      <c r="L36" s="46"/>
      <c r="M36" s="46"/>
      <c r="N36" s="46"/>
      <c r="O36" s="46"/>
      <c r="P36" s="46"/>
      <c r="Q36" s="46"/>
      <c r="R36" s="46"/>
      <c r="S36" s="46"/>
      <c r="T36" s="46"/>
      <c r="U36" s="46"/>
      <c r="V36" s="46"/>
      <c r="W36" s="46"/>
      <c r="X36" s="46"/>
      <c r="Y36" s="46"/>
      <c r="Z36" s="46"/>
    </row>
    <row r="37" spans="1:26" x14ac:dyDescent="0.25">
      <c r="A37" s="150"/>
      <c r="B37" s="140" t="s">
        <v>628</v>
      </c>
      <c r="C37" s="141">
        <f>'AVD Planning'!C38</f>
        <v>64</v>
      </c>
      <c r="D37" s="142" t="s">
        <v>484</v>
      </c>
      <c r="E37" s="46"/>
      <c r="F37" s="46"/>
      <c r="G37" s="46"/>
      <c r="H37" s="46"/>
      <c r="I37" s="46"/>
      <c r="J37" s="46"/>
      <c r="K37" s="46"/>
      <c r="L37" s="46"/>
      <c r="M37" s="46"/>
      <c r="N37" s="46"/>
      <c r="O37" s="46"/>
      <c r="P37" s="46"/>
      <c r="Q37" s="46"/>
      <c r="R37" s="46"/>
      <c r="S37" s="46"/>
      <c r="T37" s="46"/>
      <c r="U37" s="46"/>
      <c r="V37" s="46"/>
      <c r="W37" s="46"/>
      <c r="X37" s="46"/>
      <c r="Y37" s="46"/>
      <c r="Z37" s="46"/>
    </row>
    <row r="38" spans="1:26" ht="21.95" customHeight="1" x14ac:dyDescent="0.25">
      <c r="A38" s="150"/>
      <c r="B38" s="46"/>
      <c r="C38" s="46"/>
      <c r="D38" s="46"/>
      <c r="E38" s="46"/>
      <c r="F38" s="46"/>
      <c r="G38" s="46"/>
      <c r="H38" s="46"/>
      <c r="I38" s="46"/>
      <c r="J38" s="46"/>
      <c r="K38" s="46"/>
      <c r="L38" s="46"/>
      <c r="M38" s="46"/>
      <c r="N38" s="46"/>
      <c r="O38" s="46"/>
      <c r="P38" s="46"/>
      <c r="Q38" s="46"/>
      <c r="R38" s="46"/>
      <c r="S38" s="46"/>
      <c r="T38" s="46"/>
      <c r="U38" s="46"/>
      <c r="V38" s="46"/>
      <c r="W38" s="46"/>
      <c r="X38" s="46"/>
      <c r="Y38" s="46"/>
      <c r="Z38" s="46"/>
    </row>
    <row r="39" spans="1:26" x14ac:dyDescent="0.25">
      <c r="A39" s="150"/>
      <c r="B39" s="46"/>
      <c r="C39" s="46"/>
      <c r="D39" s="46"/>
      <c r="E39" s="46"/>
      <c r="F39" s="46"/>
      <c r="G39" s="46"/>
      <c r="H39" s="46"/>
      <c r="I39" s="46"/>
      <c r="J39" s="46"/>
      <c r="K39" s="46"/>
      <c r="L39" s="46"/>
      <c r="M39" s="46"/>
      <c r="N39" s="46"/>
      <c r="O39" s="46"/>
      <c r="P39" s="46"/>
      <c r="Q39" s="46"/>
      <c r="R39" s="46"/>
      <c r="S39" s="46"/>
      <c r="T39" s="46"/>
      <c r="U39" s="46"/>
      <c r="V39" s="46"/>
      <c r="W39" s="46"/>
      <c r="X39" s="46"/>
      <c r="Y39" s="46"/>
      <c r="Z39" s="46"/>
    </row>
    <row r="40" spans="1:26" x14ac:dyDescent="0.25">
      <c r="A40" s="150"/>
      <c r="B40" s="46"/>
      <c r="C40" s="46"/>
      <c r="D40" s="46"/>
      <c r="E40" s="46"/>
      <c r="F40" s="46"/>
      <c r="G40" s="46"/>
      <c r="H40" s="46"/>
      <c r="I40" s="46"/>
      <c r="J40" s="46"/>
      <c r="K40" s="46"/>
      <c r="L40" s="46"/>
      <c r="M40" s="46"/>
      <c r="N40" s="46"/>
      <c r="O40" s="46"/>
      <c r="P40" s="46"/>
      <c r="Q40" s="46"/>
      <c r="R40" s="46"/>
      <c r="S40" s="46"/>
      <c r="T40" s="46"/>
      <c r="U40" s="46"/>
      <c r="V40" s="46"/>
      <c r="W40" s="46"/>
      <c r="X40" s="46"/>
      <c r="Y40" s="46"/>
      <c r="Z40" s="46"/>
    </row>
    <row r="41" spans="1:26" x14ac:dyDescent="0.25">
      <c r="A41" s="46"/>
      <c r="B41" s="46"/>
      <c r="C41" s="46"/>
      <c r="D41" s="46"/>
      <c r="E41" s="46"/>
      <c r="F41" s="46"/>
      <c r="G41" s="46"/>
      <c r="H41" s="46"/>
      <c r="I41" s="46"/>
      <c r="J41" s="46"/>
      <c r="K41" s="46"/>
      <c r="L41" s="46"/>
      <c r="M41" s="46"/>
      <c r="N41" s="46"/>
      <c r="O41" s="46"/>
      <c r="P41" s="46"/>
      <c r="Q41" s="46"/>
      <c r="R41" s="46"/>
      <c r="S41" s="46"/>
      <c r="T41" s="46"/>
      <c r="U41" s="46"/>
      <c r="V41" s="46"/>
      <c r="W41" s="46"/>
      <c r="X41" s="46"/>
      <c r="Y41" s="46"/>
      <c r="Z41" s="46"/>
    </row>
    <row r="42" spans="1:26" x14ac:dyDescent="0.25">
      <c r="A42" s="46"/>
      <c r="B42" s="46"/>
      <c r="C42" s="46"/>
      <c r="D42" s="46"/>
      <c r="E42" s="46"/>
      <c r="F42" s="46"/>
      <c r="G42" s="46"/>
      <c r="H42" s="46"/>
      <c r="I42" s="46"/>
      <c r="J42" s="46"/>
      <c r="K42" s="46"/>
      <c r="L42" s="46"/>
      <c r="M42" s="46"/>
      <c r="N42" s="46"/>
      <c r="O42" s="46"/>
      <c r="P42" s="46"/>
      <c r="Q42" s="46"/>
      <c r="R42" s="46"/>
      <c r="S42" s="46"/>
      <c r="T42" s="46"/>
      <c r="U42" s="46"/>
      <c r="V42" s="46"/>
      <c r="W42" s="46"/>
      <c r="X42" s="46"/>
      <c r="Y42" s="46"/>
      <c r="Z42" s="46"/>
    </row>
    <row r="43" spans="1:26" x14ac:dyDescent="0.25">
      <c r="A43" s="46"/>
      <c r="B43" s="154" t="s">
        <v>344</v>
      </c>
      <c r="C43" s="155"/>
      <c r="D43" s="62"/>
      <c r="E43" s="127"/>
      <c r="F43" s="156"/>
      <c r="G43" s="46"/>
      <c r="H43" s="46"/>
      <c r="I43" s="46"/>
      <c r="J43" s="46"/>
      <c r="K43" s="46"/>
      <c r="L43" s="46"/>
      <c r="M43" s="46"/>
      <c r="N43" s="46"/>
      <c r="O43" s="46"/>
      <c r="P43" s="46"/>
      <c r="Q43" s="46"/>
      <c r="R43" s="46"/>
      <c r="S43" s="46"/>
      <c r="T43" s="46"/>
      <c r="U43" s="46"/>
      <c r="V43" s="46"/>
      <c r="W43" s="46"/>
      <c r="X43" s="46"/>
      <c r="Y43" s="46"/>
      <c r="Z43" s="46"/>
    </row>
    <row r="44" spans="1:26" x14ac:dyDescent="0.25">
      <c r="A44" s="46"/>
      <c r="B44" s="157" t="s">
        <v>345</v>
      </c>
      <c r="C44" s="16" t="s">
        <v>299</v>
      </c>
      <c r="D44" s="158"/>
      <c r="E44" s="46"/>
      <c r="F44" s="134" t="s">
        <v>325</v>
      </c>
      <c r="G44" s="46"/>
      <c r="H44" s="46"/>
      <c r="I44" s="46"/>
      <c r="J44" s="46"/>
      <c r="K44" s="46"/>
      <c r="L44" s="46"/>
      <c r="M44" s="46"/>
      <c r="N44" s="46"/>
      <c r="O44" s="46"/>
      <c r="P44" s="46"/>
      <c r="Q44" s="46"/>
      <c r="R44" s="46"/>
      <c r="S44" s="46"/>
      <c r="T44" s="46"/>
      <c r="U44" s="46"/>
      <c r="V44" s="46"/>
      <c r="W44" s="46"/>
      <c r="X44" s="46"/>
      <c r="Y44" s="46"/>
      <c r="Z44" s="46"/>
    </row>
    <row r="45" spans="1:26" x14ac:dyDescent="0.25">
      <c r="A45" s="46"/>
      <c r="B45" s="159" t="s">
        <v>346</v>
      </c>
      <c r="C45" s="160"/>
      <c r="D45" s="160"/>
      <c r="E45" s="161"/>
      <c r="F45" s="161"/>
      <c r="G45" s="46"/>
      <c r="H45" s="46"/>
      <c r="I45" s="46"/>
      <c r="J45" s="46"/>
      <c r="K45" s="46"/>
      <c r="L45" s="46"/>
      <c r="M45" s="46"/>
      <c r="N45" s="46"/>
      <c r="O45" s="46"/>
      <c r="P45" s="46"/>
      <c r="Q45" s="46"/>
      <c r="R45" s="46"/>
      <c r="S45" s="46"/>
      <c r="T45" s="46"/>
      <c r="U45" s="46"/>
      <c r="V45" s="46"/>
      <c r="W45" s="46"/>
      <c r="X45" s="46"/>
      <c r="Y45" s="46"/>
      <c r="Z45" s="46"/>
    </row>
    <row r="46" spans="1:26" x14ac:dyDescent="0.25">
      <c r="A46" s="46"/>
      <c r="B46" s="162" t="s">
        <v>347</v>
      </c>
      <c r="C46" s="64">
        <v>1</v>
      </c>
      <c r="D46" s="163" t="s">
        <v>348</v>
      </c>
      <c r="E46" s="46"/>
      <c r="F46" s="134" t="s">
        <v>349</v>
      </c>
      <c r="G46" s="46"/>
      <c r="H46" s="46"/>
      <c r="I46" s="46"/>
      <c r="J46" s="46"/>
      <c r="K46" s="46"/>
      <c r="L46" s="46"/>
      <c r="M46" s="46"/>
      <c r="N46" s="46"/>
      <c r="O46" s="46"/>
      <c r="P46" s="46"/>
      <c r="Q46" s="46"/>
      <c r="R46" s="46"/>
      <c r="S46" s="46"/>
      <c r="T46" s="46"/>
      <c r="U46" s="46"/>
      <c r="V46" s="46"/>
      <c r="W46" s="46"/>
      <c r="X46" s="46"/>
      <c r="Y46" s="46"/>
      <c r="Z46" s="46"/>
    </row>
    <row r="47" spans="1:26" x14ac:dyDescent="0.25">
      <c r="A47" s="46"/>
      <c r="B47" s="162" t="s">
        <v>350</v>
      </c>
      <c r="C47" s="6">
        <v>1</v>
      </c>
      <c r="D47" s="163" t="s">
        <v>303</v>
      </c>
      <c r="E47" s="46"/>
      <c r="F47" s="134" t="s">
        <v>351</v>
      </c>
      <c r="G47" s="46"/>
      <c r="H47" s="46"/>
      <c r="I47" s="46"/>
      <c r="J47" s="46"/>
      <c r="K47" s="46"/>
      <c r="L47" s="46"/>
      <c r="M47" s="46"/>
      <c r="N47" s="46"/>
      <c r="O47" s="46"/>
      <c r="P47" s="46"/>
      <c r="Q47" s="46"/>
      <c r="R47" s="46"/>
      <c r="S47" s="46"/>
      <c r="T47" s="46"/>
      <c r="U47" s="46"/>
      <c r="V47" s="46"/>
      <c r="W47" s="46"/>
      <c r="X47" s="46"/>
      <c r="Y47" s="46"/>
      <c r="Z47" s="46"/>
    </row>
    <row r="48" spans="1:26" x14ac:dyDescent="0.25">
      <c r="A48" s="46"/>
      <c r="B48" s="162" t="s">
        <v>352</v>
      </c>
      <c r="C48" s="6">
        <v>3</v>
      </c>
      <c r="D48" s="163" t="s">
        <v>303</v>
      </c>
      <c r="E48" s="46"/>
      <c r="F48" s="134" t="s">
        <v>353</v>
      </c>
      <c r="G48" s="46"/>
      <c r="H48" s="46"/>
      <c r="I48" s="46"/>
      <c r="J48" s="46"/>
      <c r="K48" s="46"/>
      <c r="L48" s="46"/>
      <c r="M48" s="46"/>
      <c r="N48" s="46"/>
      <c r="O48" s="46"/>
      <c r="P48" s="46"/>
      <c r="Q48" s="46"/>
      <c r="R48" s="46"/>
      <c r="S48" s="46"/>
      <c r="T48" s="46"/>
      <c r="U48" s="46"/>
      <c r="V48" s="46"/>
      <c r="W48" s="46"/>
      <c r="X48" s="46"/>
      <c r="Y48" s="46"/>
      <c r="Z48" s="46"/>
    </row>
    <row r="49" spans="1:26" x14ac:dyDescent="0.25">
      <c r="A49" s="46"/>
      <c r="B49" s="162" t="s">
        <v>354</v>
      </c>
      <c r="C49" s="17">
        <v>200</v>
      </c>
      <c r="D49" s="163" t="s">
        <v>126</v>
      </c>
      <c r="E49" s="46"/>
      <c r="F49" s="134" t="s">
        <v>355</v>
      </c>
      <c r="G49" s="46"/>
      <c r="H49" s="46"/>
      <c r="I49" s="46"/>
      <c r="J49" s="46"/>
      <c r="K49" s="46"/>
      <c r="L49" s="46"/>
      <c r="M49" s="46"/>
      <c r="N49" s="46"/>
      <c r="O49" s="46"/>
      <c r="P49" s="46"/>
      <c r="Q49" s="46"/>
      <c r="R49" s="46"/>
      <c r="S49" s="46"/>
      <c r="T49" s="46"/>
      <c r="U49" s="46"/>
      <c r="V49" s="46"/>
      <c r="W49" s="46"/>
      <c r="X49" s="46"/>
      <c r="Y49" s="46"/>
      <c r="Z49" s="46"/>
    </row>
    <row r="50" spans="1:26" x14ac:dyDescent="0.25">
      <c r="A50" s="46"/>
      <c r="B50" s="164" t="s">
        <v>356</v>
      </c>
      <c r="C50" s="250"/>
      <c r="D50" s="165"/>
      <c r="E50" s="161"/>
      <c r="F50" s="161"/>
      <c r="G50" s="46"/>
      <c r="H50" s="46"/>
      <c r="I50" s="46"/>
      <c r="J50" s="46"/>
      <c r="K50" s="46"/>
      <c r="L50" s="46"/>
      <c r="M50" s="46"/>
      <c r="N50" s="46"/>
      <c r="O50" s="46"/>
      <c r="P50" s="46"/>
      <c r="Q50" s="46"/>
      <c r="R50" s="46"/>
      <c r="S50" s="46"/>
      <c r="T50" s="46"/>
      <c r="U50" s="46"/>
      <c r="V50" s="46"/>
      <c r="W50" s="46"/>
      <c r="X50" s="46"/>
      <c r="Y50" s="46"/>
      <c r="Z50" s="46"/>
    </row>
    <row r="51" spans="1:26" x14ac:dyDescent="0.25">
      <c r="A51" s="46"/>
      <c r="B51" s="162" t="s">
        <v>357</v>
      </c>
      <c r="C51" s="18">
        <v>0</v>
      </c>
      <c r="D51" s="163" t="s">
        <v>87</v>
      </c>
      <c r="E51" s="46"/>
      <c r="F51" s="134" t="s">
        <v>358</v>
      </c>
      <c r="G51" s="46"/>
      <c r="H51" s="46"/>
      <c r="I51" s="46"/>
      <c r="J51" s="46"/>
      <c r="K51" s="46"/>
      <c r="L51" s="46"/>
      <c r="M51" s="46"/>
      <c r="N51" s="46"/>
      <c r="O51" s="46"/>
      <c r="P51" s="46"/>
      <c r="Q51" s="46"/>
      <c r="R51" s="46"/>
      <c r="S51" s="46"/>
      <c r="T51" s="46"/>
      <c r="U51" s="46"/>
      <c r="V51" s="46"/>
      <c r="W51" s="46"/>
      <c r="X51" s="46"/>
      <c r="Y51" s="46"/>
      <c r="Z51" s="46"/>
    </row>
    <row r="52" spans="1:26" x14ac:dyDescent="0.25">
      <c r="A52" s="46"/>
      <c r="B52" s="162" t="s">
        <v>359</v>
      </c>
      <c r="C52" s="18">
        <v>0</v>
      </c>
      <c r="D52" s="163" t="s">
        <v>87</v>
      </c>
      <c r="E52" s="46"/>
      <c r="F52" s="134" t="s">
        <v>360</v>
      </c>
      <c r="G52" s="46"/>
      <c r="H52" s="46"/>
      <c r="I52" s="46"/>
      <c r="J52" s="46"/>
      <c r="K52" s="46"/>
      <c r="L52" s="46"/>
      <c r="M52" s="46"/>
      <c r="N52" s="46"/>
      <c r="O52" s="46"/>
      <c r="P52" s="46"/>
      <c r="Q52" s="46"/>
      <c r="R52" s="46"/>
      <c r="S52" s="46"/>
      <c r="T52" s="46"/>
      <c r="U52" s="46"/>
      <c r="V52" s="46"/>
      <c r="W52" s="46"/>
      <c r="X52" s="46"/>
      <c r="Y52" s="46"/>
      <c r="Z52" s="46"/>
    </row>
    <row r="53" spans="1:26" x14ac:dyDescent="0.25">
      <c r="A53" s="46"/>
      <c r="B53" s="162" t="s">
        <v>361</v>
      </c>
      <c r="C53" s="7" t="s">
        <v>111</v>
      </c>
      <c r="D53" s="166" t="str">
        <f>CONCATENATE(TEXT(IF(C53="Three-Way Mirror",1/3,IF(C53="Two-Way Mirror",0.5,IF(C53="Dual Parity",IF('Hardware Inputs'!C8&gt;=16,0.8,IF('Hardware Inputs'!C8&gt;=9,0.75,IF('Hardware Inputs'!C8&gt;=7,2/3,0.5))),IF(C53="Nested Two-Way Mirror",0.25,1/3)))),"0%")," eff.")</f>
        <v>33% eff.</v>
      </c>
      <c r="E53" s="46"/>
      <c r="F53" s="46"/>
      <c r="G53" s="46"/>
      <c r="H53" s="46"/>
      <c r="I53" s="46"/>
      <c r="J53" s="46"/>
      <c r="K53" s="46"/>
      <c r="L53" s="46"/>
      <c r="M53" s="46"/>
      <c r="N53" s="46"/>
      <c r="O53" s="46"/>
      <c r="P53" s="46"/>
      <c r="Q53" s="46"/>
      <c r="R53" s="46"/>
      <c r="S53" s="46"/>
      <c r="T53" s="46"/>
      <c r="U53" s="46"/>
      <c r="V53" s="46"/>
      <c r="W53" s="46"/>
      <c r="X53" s="46"/>
      <c r="Y53" s="46"/>
      <c r="Z53" s="46"/>
    </row>
    <row r="54" spans="1:26" x14ac:dyDescent="0.25">
      <c r="A54" s="46"/>
      <c r="B54" s="167" t="s">
        <v>362</v>
      </c>
      <c r="C54" s="168">
        <f>IF($C$44="No",0,ROUND(((C47+C48)*C49/1024)+C51+C52,2))</f>
        <v>0</v>
      </c>
      <c r="D54" s="169" t="s">
        <v>87</v>
      </c>
      <c r="E54" s="46"/>
      <c r="F54" s="170" t="str">
        <f>IF(C54&gt;64,"WARNING: Exceeds 64 TB max volume size!","")</f>
        <v/>
      </c>
      <c r="G54" s="46"/>
      <c r="H54" s="46"/>
      <c r="I54" s="46"/>
      <c r="J54" s="46"/>
      <c r="K54" s="46"/>
      <c r="L54" s="46"/>
      <c r="M54" s="46"/>
      <c r="N54" s="46"/>
      <c r="O54" s="46"/>
      <c r="P54" s="46"/>
      <c r="Q54" s="46"/>
      <c r="R54" s="46"/>
      <c r="S54" s="46"/>
      <c r="T54" s="46"/>
      <c r="U54" s="46"/>
      <c r="V54" s="46"/>
      <c r="W54" s="46"/>
      <c r="X54" s="46"/>
      <c r="Y54" s="46"/>
      <c r="Z54" s="46"/>
    </row>
    <row r="55" spans="1:26" ht="15.75" x14ac:dyDescent="0.25">
      <c r="A55" s="46"/>
      <c r="B55" s="171" t="s">
        <v>363</v>
      </c>
      <c r="C55" s="172">
        <f>IF(C54=0,0,ROUND(C54/IF(C53="Three-Way Mirror",1/3,IF(C53="Two-Way Mirror",0.5,IF(C53="Dual Parity",IF('Hardware Inputs'!C8&gt;=16,0.8,IF('Hardware Inputs'!C8&gt;=9,0.75,IF('Hardware Inputs'!C8&gt;=7,2/3,0.5))),IF(C53="Nested Two-Way Mirror",0.25,1/3)))),2))</f>
        <v>0</v>
      </c>
      <c r="D55" s="173" t="s">
        <v>87</v>
      </c>
      <c r="E55" s="46"/>
      <c r="F55" s="134" t="s">
        <v>364</v>
      </c>
      <c r="G55" s="46"/>
      <c r="H55" s="46"/>
      <c r="I55" s="46"/>
      <c r="J55" s="46"/>
      <c r="K55" s="46"/>
      <c r="L55" s="46"/>
      <c r="M55" s="46"/>
      <c r="N55" s="46"/>
      <c r="O55" s="46"/>
      <c r="P55" s="46"/>
      <c r="Q55" s="46"/>
      <c r="R55" s="46"/>
      <c r="S55" s="46"/>
      <c r="T55" s="46"/>
      <c r="U55" s="46"/>
      <c r="V55" s="46"/>
      <c r="W55" s="46"/>
      <c r="X55" s="46"/>
      <c r="Y55" s="46"/>
      <c r="Z55" s="46"/>
    </row>
    <row r="56" spans="1:26" x14ac:dyDescent="0.25">
      <c r="A56" s="150"/>
      <c r="B56" s="174" t="s">
        <v>516</v>
      </c>
      <c r="C56" s="175"/>
      <c r="D56" s="176"/>
      <c r="E56" s="177"/>
      <c r="F56" s="178"/>
      <c r="G56" s="46"/>
      <c r="H56" s="46"/>
      <c r="I56" s="46"/>
      <c r="J56" s="46"/>
      <c r="K56" s="46"/>
      <c r="L56" s="46"/>
      <c r="M56" s="46"/>
      <c r="N56" s="46"/>
      <c r="O56" s="46"/>
      <c r="P56" s="46"/>
      <c r="Q56" s="46"/>
      <c r="R56" s="46"/>
      <c r="S56" s="46"/>
      <c r="T56" s="46"/>
      <c r="U56" s="46"/>
      <c r="V56" s="46"/>
      <c r="W56" s="46"/>
      <c r="X56" s="46"/>
      <c r="Y56" s="46"/>
      <c r="Z56" s="46"/>
    </row>
    <row r="57" spans="1:26" x14ac:dyDescent="0.25">
      <c r="A57" s="150"/>
      <c r="B57" s="179" t="s">
        <v>517</v>
      </c>
      <c r="C57" s="18">
        <v>4</v>
      </c>
      <c r="D57" s="65" t="s">
        <v>484</v>
      </c>
      <c r="E57" s="180"/>
      <c r="F57" s="181" t="s">
        <v>518</v>
      </c>
      <c r="G57" s="46"/>
      <c r="H57" s="46"/>
      <c r="I57" s="46"/>
      <c r="J57" s="46"/>
      <c r="K57" s="46"/>
      <c r="L57" s="46"/>
      <c r="M57" s="46"/>
      <c r="N57" s="46"/>
      <c r="O57" s="46"/>
      <c r="P57" s="46"/>
      <c r="Q57" s="46"/>
      <c r="R57" s="46"/>
      <c r="S57" s="46"/>
      <c r="T57" s="46"/>
      <c r="U57" s="46"/>
      <c r="V57" s="46"/>
      <c r="W57" s="46"/>
      <c r="X57" s="46"/>
      <c r="Y57" s="46"/>
      <c r="Z57" s="46"/>
    </row>
    <row r="58" spans="1:26" x14ac:dyDescent="0.25">
      <c r="A58" s="150"/>
      <c r="B58" s="179" t="s">
        <v>519</v>
      </c>
      <c r="C58" s="17">
        <v>16</v>
      </c>
      <c r="D58" s="65" t="s">
        <v>126</v>
      </c>
      <c r="E58" s="180"/>
      <c r="F58" s="181" t="s">
        <v>520</v>
      </c>
      <c r="G58" s="46"/>
      <c r="H58" s="46"/>
      <c r="I58" s="46"/>
      <c r="J58" s="46"/>
      <c r="K58" s="46"/>
      <c r="L58" s="46"/>
      <c r="M58" s="46"/>
      <c r="N58" s="46"/>
      <c r="O58" s="46"/>
      <c r="P58" s="46"/>
      <c r="Q58" s="46"/>
      <c r="R58" s="46"/>
      <c r="S58" s="46"/>
      <c r="T58" s="46"/>
      <c r="U58" s="46"/>
      <c r="V58" s="46"/>
      <c r="W58" s="46"/>
      <c r="X58" s="46"/>
      <c r="Y58" s="46"/>
      <c r="Z58" s="46"/>
    </row>
    <row r="59" spans="1:26" x14ac:dyDescent="0.25">
      <c r="A59" s="150"/>
      <c r="B59" s="179" t="s">
        <v>521</v>
      </c>
      <c r="C59" s="18">
        <v>8</v>
      </c>
      <c r="D59" s="65" t="s">
        <v>484</v>
      </c>
      <c r="E59" s="180"/>
      <c r="F59" s="181" t="s">
        <v>522</v>
      </c>
      <c r="G59" s="46"/>
      <c r="H59" s="46"/>
      <c r="I59" s="46"/>
      <c r="J59" s="46"/>
      <c r="K59" s="46"/>
      <c r="L59" s="46"/>
      <c r="M59" s="46"/>
      <c r="N59" s="46"/>
      <c r="O59" s="46"/>
      <c r="P59" s="46"/>
      <c r="Q59" s="46"/>
      <c r="R59" s="46"/>
      <c r="S59" s="46"/>
      <c r="T59" s="46"/>
      <c r="U59" s="46"/>
      <c r="V59" s="46"/>
      <c r="W59" s="46"/>
      <c r="X59" s="46"/>
      <c r="Y59" s="46"/>
      <c r="Z59" s="46"/>
    </row>
    <row r="60" spans="1:26" x14ac:dyDescent="0.25">
      <c r="A60" s="150"/>
      <c r="B60" s="179" t="s">
        <v>523</v>
      </c>
      <c r="C60" s="17">
        <v>32</v>
      </c>
      <c r="D60" s="65" t="s">
        <v>126</v>
      </c>
      <c r="E60" s="180"/>
      <c r="F60" s="181" t="s">
        <v>524</v>
      </c>
      <c r="G60" s="46"/>
      <c r="H60" s="46"/>
      <c r="I60" s="46"/>
      <c r="J60" s="46"/>
      <c r="K60" s="46"/>
      <c r="L60" s="46"/>
      <c r="M60" s="46"/>
      <c r="N60" s="46"/>
      <c r="O60" s="46"/>
      <c r="P60" s="46"/>
      <c r="Q60" s="46"/>
      <c r="R60" s="46"/>
      <c r="S60" s="46"/>
      <c r="T60" s="46"/>
      <c r="U60" s="46"/>
      <c r="V60" s="46"/>
      <c r="W60" s="46"/>
      <c r="X60" s="46"/>
      <c r="Y60" s="46"/>
      <c r="Z60" s="46"/>
    </row>
    <row r="61" spans="1:26" x14ac:dyDescent="0.25">
      <c r="A61" s="150"/>
      <c r="B61" s="179" t="s">
        <v>625</v>
      </c>
      <c r="C61" s="19" t="s">
        <v>515</v>
      </c>
      <c r="D61" s="65" t="s">
        <v>501</v>
      </c>
      <c r="E61" s="180"/>
      <c r="F61" s="181" t="s">
        <v>650</v>
      </c>
      <c r="G61" s="46"/>
      <c r="H61" s="46"/>
      <c r="I61" s="46"/>
      <c r="J61" s="46"/>
      <c r="K61" s="46"/>
      <c r="L61" s="46"/>
      <c r="M61" s="46"/>
      <c r="N61" s="46"/>
      <c r="O61" s="46"/>
      <c r="P61" s="46"/>
      <c r="Q61" s="46"/>
      <c r="R61" s="46"/>
      <c r="S61" s="46"/>
      <c r="T61" s="46"/>
      <c r="U61" s="46"/>
      <c r="V61" s="46"/>
      <c r="W61" s="46"/>
      <c r="X61" s="46"/>
      <c r="Y61" s="46"/>
      <c r="Z61" s="46"/>
    </row>
    <row r="62" spans="1:26" x14ac:dyDescent="0.25">
      <c r="A62" s="150"/>
      <c r="B62" s="182" t="s">
        <v>525</v>
      </c>
      <c r="C62" s="168">
        <f>IF(C44="No",0,(C47*C57)+(C48*C59))</f>
        <v>0</v>
      </c>
      <c r="D62" s="73" t="s">
        <v>484</v>
      </c>
      <c r="E62" s="180"/>
      <c r="F62" s="181" t="s">
        <v>526</v>
      </c>
      <c r="G62" s="46"/>
      <c r="H62" s="46"/>
      <c r="I62" s="46"/>
      <c r="J62" s="46"/>
      <c r="K62" s="46"/>
      <c r="L62" s="46"/>
      <c r="M62" s="46"/>
      <c r="N62" s="46"/>
      <c r="O62" s="46"/>
      <c r="P62" s="46"/>
      <c r="Q62" s="46"/>
      <c r="R62" s="46"/>
      <c r="S62" s="46"/>
      <c r="T62" s="46"/>
      <c r="U62" s="46"/>
      <c r="V62" s="46"/>
      <c r="W62" s="46"/>
      <c r="X62" s="46"/>
      <c r="Y62" s="46"/>
      <c r="Z62" s="46"/>
    </row>
    <row r="63" spans="1:26" x14ac:dyDescent="0.25">
      <c r="A63" s="150"/>
      <c r="B63" s="182" t="s">
        <v>651</v>
      </c>
      <c r="C63" s="168">
        <f>IF(C44="No",0,ROUND(((C47*C57)+(C48*C59))/IF(C61="1:1",1,IF(C61="2:1",2,IF(C61="3:1",3,IF(C61="4:1",4,1)))),0))</f>
        <v>0</v>
      </c>
      <c r="D63" s="73" t="s">
        <v>484</v>
      </c>
      <c r="E63" s="180"/>
      <c r="F63" s="181" t="s">
        <v>652</v>
      </c>
      <c r="G63" s="46"/>
      <c r="H63" s="46"/>
      <c r="I63" s="46"/>
      <c r="J63" s="46"/>
      <c r="K63" s="46"/>
      <c r="L63" s="46"/>
      <c r="M63" s="46"/>
      <c r="N63" s="46"/>
      <c r="O63" s="46"/>
      <c r="P63" s="46"/>
      <c r="Q63" s="46"/>
      <c r="R63" s="46"/>
      <c r="S63" s="46"/>
      <c r="T63" s="46"/>
      <c r="U63" s="46"/>
      <c r="V63" s="46"/>
      <c r="W63" s="46"/>
      <c r="X63" s="46"/>
      <c r="Y63" s="46"/>
      <c r="Z63" s="46"/>
    </row>
    <row r="64" spans="1:26" x14ac:dyDescent="0.25">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spans="1:26" x14ac:dyDescent="0.25">
      <c r="A65" s="46"/>
      <c r="B65" s="126" t="s">
        <v>365</v>
      </c>
      <c r="C65" s="127"/>
      <c r="D65" s="127"/>
      <c r="E65" s="127"/>
      <c r="F65" s="127"/>
      <c r="G65" s="46"/>
      <c r="H65" s="46"/>
      <c r="I65" s="46"/>
      <c r="J65" s="46"/>
      <c r="K65" s="46"/>
      <c r="L65" s="46"/>
      <c r="M65" s="46"/>
      <c r="N65" s="46"/>
      <c r="O65" s="46"/>
      <c r="P65" s="46"/>
      <c r="Q65" s="46"/>
      <c r="R65" s="46"/>
      <c r="S65" s="46"/>
      <c r="T65" s="46"/>
      <c r="U65" s="46"/>
      <c r="V65" s="46"/>
      <c r="W65" s="46"/>
      <c r="X65" s="46"/>
      <c r="Y65" s="46"/>
      <c r="Z65" s="46"/>
    </row>
    <row r="66" spans="1:26" x14ac:dyDescent="0.25">
      <c r="A66" s="46"/>
      <c r="B66" s="183" t="s">
        <v>366</v>
      </c>
      <c r="C66" s="20" t="s">
        <v>299</v>
      </c>
      <c r="D66" s="184"/>
      <c r="E66" s="46"/>
      <c r="F66" s="134" t="s">
        <v>367</v>
      </c>
      <c r="G66" s="46"/>
      <c r="H66" s="46"/>
      <c r="I66" s="46"/>
      <c r="J66" s="46"/>
      <c r="K66" s="46"/>
      <c r="L66" s="46"/>
      <c r="M66" s="46"/>
      <c r="N66" s="46"/>
      <c r="O66" s="46"/>
      <c r="P66" s="46"/>
      <c r="Q66" s="46"/>
      <c r="R66" s="46"/>
      <c r="S66" s="46"/>
      <c r="T66" s="46"/>
      <c r="U66" s="46"/>
      <c r="V66" s="46"/>
      <c r="W66" s="46"/>
      <c r="X66" s="46"/>
      <c r="Y66" s="46"/>
      <c r="Z66" s="46"/>
    </row>
    <row r="67" spans="1:26" x14ac:dyDescent="0.25">
      <c r="A67" s="46"/>
      <c r="B67" s="162" t="s">
        <v>368</v>
      </c>
      <c r="C67" s="6">
        <v>0</v>
      </c>
      <c r="D67" s="163" t="s">
        <v>125</v>
      </c>
      <c r="E67" s="46"/>
      <c r="F67" s="134" t="s">
        <v>369</v>
      </c>
      <c r="G67" s="46"/>
      <c r="H67" s="46"/>
      <c r="I67" s="46"/>
      <c r="J67" s="46"/>
      <c r="K67" s="46"/>
      <c r="L67" s="46"/>
      <c r="M67" s="46"/>
      <c r="N67" s="46"/>
      <c r="O67" s="46"/>
      <c r="P67" s="46"/>
      <c r="Q67" s="46"/>
      <c r="R67" s="46"/>
      <c r="S67" s="46"/>
      <c r="T67" s="46"/>
      <c r="U67" s="46"/>
      <c r="V67" s="46"/>
      <c r="W67" s="46"/>
      <c r="X67" s="46"/>
      <c r="Y67" s="46"/>
      <c r="Z67" s="46"/>
    </row>
    <row r="68" spans="1:26" x14ac:dyDescent="0.25">
      <c r="A68" s="46"/>
      <c r="B68" s="162" t="s">
        <v>370</v>
      </c>
      <c r="C68" s="17">
        <v>200</v>
      </c>
      <c r="D68" s="163" t="s">
        <v>126</v>
      </c>
      <c r="E68" s="46"/>
      <c r="F68" s="134" t="s">
        <v>371</v>
      </c>
      <c r="G68" s="46"/>
      <c r="H68" s="46"/>
      <c r="I68" s="46"/>
      <c r="J68" s="46"/>
      <c r="K68" s="46"/>
      <c r="L68" s="46"/>
      <c r="M68" s="46"/>
      <c r="N68" s="46"/>
      <c r="O68" s="46"/>
      <c r="P68" s="46"/>
      <c r="Q68" s="46"/>
      <c r="R68" s="46"/>
      <c r="S68" s="46"/>
      <c r="T68" s="46"/>
      <c r="U68" s="46"/>
      <c r="V68" s="46"/>
      <c r="W68" s="46"/>
      <c r="X68" s="46"/>
      <c r="Y68" s="46"/>
      <c r="Z68" s="46"/>
    </row>
    <row r="69" spans="1:26" x14ac:dyDescent="0.25">
      <c r="A69" s="46"/>
      <c r="B69" s="162" t="s">
        <v>372</v>
      </c>
      <c r="C69" s="7" t="s">
        <v>111</v>
      </c>
      <c r="D69" s="166" t="str">
        <f>CONCATENATE(TEXT(IF(C69="Three-Way Mirror",1/3,IF(C69="Two-Way Mirror",0.5,IF(C69="Dual Parity",IF('Hardware Inputs'!C8&gt;=16,0.8,IF('Hardware Inputs'!C8&gt;=9,0.75,IF('Hardware Inputs'!C8&gt;=7,2/3,0.5))),IF(C69="Nested Two-Way Mirror",0.25,1/3)))),"0%")," eff.")</f>
        <v>33% eff.</v>
      </c>
      <c r="E69" s="46"/>
      <c r="F69" s="46"/>
      <c r="G69" s="46"/>
      <c r="H69" s="46"/>
      <c r="I69" s="46"/>
      <c r="J69" s="46"/>
      <c r="K69" s="46"/>
      <c r="L69" s="46"/>
      <c r="M69" s="46"/>
      <c r="N69" s="46"/>
      <c r="O69" s="46"/>
      <c r="P69" s="46"/>
      <c r="Q69" s="46"/>
      <c r="R69" s="46"/>
      <c r="S69" s="46"/>
      <c r="T69" s="46"/>
      <c r="U69" s="46"/>
      <c r="V69" s="46"/>
      <c r="W69" s="46"/>
      <c r="X69" s="46"/>
      <c r="Y69" s="46"/>
      <c r="Z69" s="46"/>
    </row>
    <row r="70" spans="1:26" x14ac:dyDescent="0.25">
      <c r="A70" s="46"/>
      <c r="B70" s="167" t="s">
        <v>373</v>
      </c>
      <c r="C70" s="168">
        <f>IF($C$66="No",0,IF(C67=0,0,ROUND(C67*C68/1024,2)))</f>
        <v>0</v>
      </c>
      <c r="D70" s="169" t="s">
        <v>87</v>
      </c>
      <c r="E70" s="46"/>
      <c r="F70" s="170" t="str">
        <f>IF(C70&gt;64,"WARNING: Exceeds 64 TB max volume size!","")</f>
        <v/>
      </c>
      <c r="G70" s="46"/>
      <c r="H70" s="46"/>
      <c r="I70" s="46"/>
      <c r="J70" s="46"/>
      <c r="K70" s="46"/>
      <c r="L70" s="46"/>
      <c r="M70" s="46"/>
      <c r="N70" s="46"/>
      <c r="O70" s="46"/>
      <c r="P70" s="46"/>
      <c r="Q70" s="46"/>
      <c r="R70" s="46"/>
      <c r="S70" s="46"/>
      <c r="T70" s="46"/>
      <c r="U70" s="46"/>
      <c r="V70" s="46"/>
      <c r="W70" s="46"/>
      <c r="X70" s="46"/>
      <c r="Y70" s="46"/>
      <c r="Z70" s="46"/>
    </row>
    <row r="71" spans="1:26" ht="15.75" x14ac:dyDescent="0.25">
      <c r="A71" s="46"/>
      <c r="B71" s="171" t="s">
        <v>374</v>
      </c>
      <c r="C71" s="172">
        <f>IF(C70=0,0,ROUND(C70/IF(C69="Three-Way Mirror",1/3,IF(C69="Two-Way Mirror",0.5,IF(C69="Dual Parity",IF('Hardware Inputs'!C8&gt;=16,0.8,IF('Hardware Inputs'!C8&gt;=9,0.75,IF('Hardware Inputs'!C8&gt;=7,2/3,0.5))),IF(C69="Nested Two-Way Mirror",0.25,1/3)))),2))</f>
        <v>0</v>
      </c>
      <c r="D71" s="173" t="s">
        <v>87</v>
      </c>
      <c r="E71" s="46"/>
      <c r="F71" s="134" t="s">
        <v>127</v>
      </c>
      <c r="G71" s="46"/>
      <c r="H71" s="46"/>
      <c r="I71" s="46"/>
      <c r="J71" s="46"/>
      <c r="K71" s="46"/>
      <c r="L71" s="46"/>
      <c r="M71" s="46"/>
      <c r="N71" s="46"/>
      <c r="O71" s="46"/>
      <c r="P71" s="46"/>
      <c r="Q71" s="46"/>
      <c r="R71" s="46"/>
      <c r="S71" s="46"/>
      <c r="T71" s="46"/>
      <c r="U71" s="46"/>
      <c r="V71" s="46"/>
      <c r="W71" s="46"/>
      <c r="X71" s="46"/>
      <c r="Y71" s="46"/>
      <c r="Z71" s="46"/>
    </row>
    <row r="72" spans="1:26" x14ac:dyDescent="0.25">
      <c r="A72" s="150"/>
      <c r="B72" s="174" t="s">
        <v>527</v>
      </c>
      <c r="C72" s="175"/>
      <c r="D72" s="176"/>
      <c r="E72" s="177"/>
      <c r="F72" s="178"/>
      <c r="G72" s="46"/>
      <c r="H72" s="46"/>
      <c r="I72" s="46"/>
      <c r="J72" s="46"/>
      <c r="K72" s="46"/>
      <c r="L72" s="46"/>
      <c r="M72" s="46"/>
      <c r="N72" s="46"/>
      <c r="O72" s="46"/>
      <c r="P72" s="46"/>
      <c r="Q72" s="46"/>
      <c r="R72" s="46"/>
      <c r="S72" s="46"/>
      <c r="T72" s="46"/>
      <c r="U72" s="46"/>
      <c r="V72" s="46"/>
      <c r="W72" s="46"/>
      <c r="X72" s="46"/>
      <c r="Y72" s="46"/>
      <c r="Z72" s="46"/>
    </row>
    <row r="73" spans="1:26" x14ac:dyDescent="0.25">
      <c r="A73" s="150"/>
      <c r="B73" s="179" t="s">
        <v>528</v>
      </c>
      <c r="C73" s="18">
        <v>4</v>
      </c>
      <c r="D73" s="65" t="s">
        <v>484</v>
      </c>
      <c r="E73" s="180"/>
      <c r="F73" s="181" t="s">
        <v>529</v>
      </c>
      <c r="G73" s="46"/>
      <c r="H73" s="46"/>
      <c r="I73" s="46"/>
      <c r="J73" s="46"/>
      <c r="K73" s="46"/>
      <c r="L73" s="46"/>
      <c r="M73" s="46"/>
      <c r="N73" s="46"/>
      <c r="O73" s="46"/>
      <c r="P73" s="46"/>
      <c r="Q73" s="46"/>
      <c r="R73" s="46"/>
      <c r="S73" s="46"/>
      <c r="T73" s="46"/>
      <c r="U73" s="46"/>
      <c r="V73" s="46"/>
      <c r="W73" s="46"/>
      <c r="X73" s="46"/>
      <c r="Y73" s="46"/>
      <c r="Z73" s="46"/>
    </row>
    <row r="74" spans="1:26" x14ac:dyDescent="0.25">
      <c r="A74" s="150"/>
      <c r="B74" s="179" t="s">
        <v>530</v>
      </c>
      <c r="C74" s="17">
        <v>16</v>
      </c>
      <c r="D74" s="65" t="s">
        <v>126</v>
      </c>
      <c r="E74" s="180"/>
      <c r="F74" s="181" t="s">
        <v>531</v>
      </c>
      <c r="G74" s="46"/>
      <c r="H74" s="46"/>
      <c r="I74" s="46"/>
      <c r="J74" s="46"/>
      <c r="K74" s="46"/>
      <c r="L74" s="46"/>
      <c r="M74" s="46"/>
      <c r="N74" s="46"/>
      <c r="O74" s="46"/>
      <c r="P74" s="46"/>
      <c r="Q74" s="46"/>
      <c r="R74" s="46"/>
      <c r="S74" s="46"/>
      <c r="T74" s="46"/>
      <c r="U74" s="46"/>
      <c r="V74" s="46"/>
      <c r="W74" s="46"/>
      <c r="X74" s="46"/>
      <c r="Y74" s="46"/>
      <c r="Z74" s="46"/>
    </row>
    <row r="75" spans="1:26" x14ac:dyDescent="0.25">
      <c r="A75" s="150"/>
      <c r="B75" s="179" t="s">
        <v>625</v>
      </c>
      <c r="C75" s="19" t="s">
        <v>515</v>
      </c>
      <c r="D75" s="65" t="s">
        <v>501</v>
      </c>
      <c r="E75" s="180"/>
      <c r="F75" s="181" t="s">
        <v>650</v>
      </c>
      <c r="G75" s="46"/>
      <c r="H75" s="46"/>
      <c r="I75" s="46"/>
      <c r="J75" s="46"/>
      <c r="K75" s="46"/>
      <c r="L75" s="46"/>
      <c r="M75" s="46"/>
      <c r="N75" s="46"/>
      <c r="O75" s="46"/>
      <c r="P75" s="46"/>
      <c r="Q75" s="46"/>
      <c r="R75" s="46"/>
      <c r="S75" s="46"/>
      <c r="T75" s="46"/>
      <c r="U75" s="46"/>
      <c r="V75" s="46"/>
      <c r="W75" s="46"/>
      <c r="X75" s="46"/>
      <c r="Y75" s="46"/>
      <c r="Z75" s="46"/>
    </row>
    <row r="76" spans="1:26" x14ac:dyDescent="0.25">
      <c r="A76" s="150"/>
      <c r="B76" s="182" t="s">
        <v>532</v>
      </c>
      <c r="C76" s="168">
        <f>IF(C66="No",0,C67*C73)</f>
        <v>0</v>
      </c>
      <c r="D76" s="73" t="s">
        <v>484</v>
      </c>
      <c r="E76" s="180"/>
      <c r="F76" s="181" t="s">
        <v>533</v>
      </c>
      <c r="G76" s="46"/>
      <c r="H76" s="46"/>
      <c r="I76" s="46"/>
      <c r="J76" s="46"/>
      <c r="K76" s="46"/>
      <c r="L76" s="46"/>
      <c r="M76" s="46"/>
      <c r="N76" s="46"/>
      <c r="O76" s="46"/>
      <c r="P76" s="46"/>
      <c r="Q76" s="46"/>
      <c r="R76" s="46"/>
      <c r="S76" s="46"/>
      <c r="T76" s="46"/>
      <c r="U76" s="46"/>
      <c r="V76" s="46"/>
      <c r="W76" s="46"/>
      <c r="X76" s="46"/>
      <c r="Y76" s="46"/>
      <c r="Z76" s="46"/>
    </row>
    <row r="77" spans="1:26" x14ac:dyDescent="0.25">
      <c r="A77" s="150"/>
      <c r="B77" s="182" t="s">
        <v>653</v>
      </c>
      <c r="C77" s="168">
        <f>IF(C66="No",0,ROUND((C67*C73)/IF(C75="1:1",1,IF(C75="2:1",2,IF(C75="3:1",3,IF(C75="4:1",4,1)))),0))</f>
        <v>0</v>
      </c>
      <c r="D77" s="73" t="s">
        <v>484</v>
      </c>
      <c r="E77" s="180"/>
      <c r="F77" s="181" t="s">
        <v>652</v>
      </c>
      <c r="G77" s="46"/>
      <c r="H77" s="46"/>
      <c r="I77" s="46"/>
      <c r="J77" s="46"/>
      <c r="K77" s="46"/>
      <c r="L77" s="46"/>
      <c r="M77" s="46"/>
      <c r="N77" s="46"/>
      <c r="O77" s="46"/>
      <c r="P77" s="46"/>
      <c r="Q77" s="46"/>
      <c r="R77" s="46"/>
      <c r="S77" s="46"/>
      <c r="T77" s="46"/>
      <c r="U77" s="46"/>
      <c r="V77" s="46"/>
      <c r="W77" s="46"/>
      <c r="X77" s="46"/>
      <c r="Y77" s="46"/>
      <c r="Z77" s="46"/>
    </row>
    <row r="78" spans="1:26" x14ac:dyDescent="0.25">
      <c r="A78" s="150"/>
      <c r="B78" s="185"/>
      <c r="C78" s="186"/>
      <c r="D78" s="185"/>
      <c r="E78" s="150"/>
      <c r="F78" s="187"/>
      <c r="G78" s="46"/>
      <c r="H78" s="46"/>
      <c r="I78" s="46"/>
      <c r="J78" s="46"/>
      <c r="K78" s="46"/>
      <c r="L78" s="46"/>
      <c r="M78" s="46"/>
      <c r="N78" s="46"/>
      <c r="O78" s="46"/>
      <c r="P78" s="46"/>
      <c r="Q78" s="46"/>
      <c r="R78" s="46"/>
      <c r="S78" s="46"/>
      <c r="T78" s="46"/>
      <c r="U78" s="46"/>
      <c r="V78" s="46"/>
      <c r="W78" s="46"/>
      <c r="X78" s="46"/>
      <c r="Y78" s="46"/>
      <c r="Z78" s="46"/>
    </row>
    <row r="79" spans="1:26" x14ac:dyDescent="0.25">
      <c r="A79" s="150"/>
      <c r="B79" s="185"/>
      <c r="C79" s="186"/>
      <c r="D79" s="185"/>
      <c r="E79" s="150"/>
      <c r="F79" s="187"/>
      <c r="G79" s="46"/>
      <c r="H79" s="46"/>
      <c r="I79" s="46"/>
      <c r="J79" s="46"/>
      <c r="K79" s="46"/>
      <c r="L79" s="46"/>
      <c r="M79" s="46"/>
      <c r="N79" s="46"/>
      <c r="O79" s="46"/>
      <c r="P79" s="46"/>
      <c r="Q79" s="46"/>
      <c r="R79" s="46"/>
      <c r="S79" s="46"/>
      <c r="T79" s="46"/>
      <c r="U79" s="46"/>
      <c r="V79" s="46"/>
      <c r="W79" s="46"/>
      <c r="X79" s="46"/>
      <c r="Y79" s="46"/>
      <c r="Z79" s="46"/>
    </row>
    <row r="80" spans="1:26" x14ac:dyDescent="0.25">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x14ac:dyDescent="0.25">
      <c r="A82" s="46"/>
      <c r="B82" s="126" t="s">
        <v>375</v>
      </c>
      <c r="C82" s="127"/>
      <c r="D82" s="127"/>
      <c r="E82" s="127"/>
      <c r="F82" s="127"/>
      <c r="G82" s="46"/>
      <c r="H82" s="46"/>
      <c r="I82" s="46"/>
      <c r="J82" s="46"/>
      <c r="K82" s="46"/>
      <c r="L82" s="46"/>
      <c r="M82" s="46"/>
      <c r="N82" s="46"/>
      <c r="O82" s="46"/>
      <c r="P82" s="46"/>
      <c r="Q82" s="46"/>
      <c r="R82" s="46"/>
      <c r="S82" s="46"/>
      <c r="T82" s="46"/>
      <c r="U82" s="46"/>
      <c r="V82" s="46"/>
      <c r="W82" s="46"/>
      <c r="X82" s="46"/>
      <c r="Y82" s="46"/>
      <c r="Z82" s="46"/>
    </row>
    <row r="83" spans="1:26" x14ac:dyDescent="0.25">
      <c r="A83" s="46"/>
      <c r="B83" s="183" t="s">
        <v>376</v>
      </c>
      <c r="C83" s="20" t="s">
        <v>299</v>
      </c>
      <c r="D83" s="184"/>
      <c r="E83" s="46"/>
      <c r="F83" s="134" t="s">
        <v>325</v>
      </c>
      <c r="G83" s="46"/>
      <c r="H83" s="46"/>
      <c r="I83" s="46"/>
      <c r="J83" s="46"/>
      <c r="K83" s="46"/>
      <c r="L83" s="46"/>
      <c r="M83" s="46"/>
      <c r="N83" s="46"/>
      <c r="O83" s="46"/>
      <c r="P83" s="46"/>
      <c r="Q83" s="46"/>
      <c r="R83" s="46"/>
      <c r="S83" s="46"/>
      <c r="T83" s="46"/>
      <c r="U83" s="46"/>
      <c r="V83" s="46"/>
      <c r="W83" s="46"/>
      <c r="X83" s="46"/>
      <c r="Y83" s="46"/>
      <c r="Z83" s="46"/>
    </row>
    <row r="84" spans="1:26" x14ac:dyDescent="0.25">
      <c r="A84" s="46"/>
      <c r="B84" s="162" t="s">
        <v>377</v>
      </c>
      <c r="C84" s="6">
        <v>0</v>
      </c>
      <c r="D84" s="163" t="s">
        <v>125</v>
      </c>
      <c r="E84" s="46"/>
      <c r="F84" s="46"/>
      <c r="G84" s="46"/>
      <c r="H84" s="46"/>
      <c r="I84" s="46"/>
      <c r="J84" s="46"/>
      <c r="K84" s="46"/>
      <c r="L84" s="46"/>
      <c r="M84" s="46"/>
      <c r="N84" s="46"/>
      <c r="O84" s="46"/>
      <c r="P84" s="46"/>
      <c r="Q84" s="46"/>
      <c r="R84" s="46"/>
      <c r="S84" s="46"/>
      <c r="T84" s="46"/>
      <c r="U84" s="46"/>
      <c r="V84" s="46"/>
      <c r="W84" s="46"/>
      <c r="X84" s="46"/>
      <c r="Y84" s="46"/>
      <c r="Z84" s="46"/>
    </row>
    <row r="85" spans="1:26" x14ac:dyDescent="0.25">
      <c r="A85" s="46"/>
      <c r="B85" s="162" t="s">
        <v>370</v>
      </c>
      <c r="C85" s="17">
        <v>120</v>
      </c>
      <c r="D85" s="163" t="s">
        <v>126</v>
      </c>
      <c r="E85" s="46"/>
      <c r="F85" s="46"/>
      <c r="G85" s="46"/>
      <c r="H85" s="46"/>
      <c r="I85" s="46"/>
      <c r="J85" s="46"/>
      <c r="K85" s="46"/>
      <c r="L85" s="46"/>
      <c r="M85" s="46"/>
      <c r="N85" s="46"/>
      <c r="O85" s="46"/>
      <c r="P85" s="46"/>
      <c r="Q85" s="46"/>
      <c r="R85" s="46"/>
      <c r="S85" s="46"/>
      <c r="T85" s="46"/>
      <c r="U85" s="46"/>
      <c r="V85" s="46"/>
      <c r="W85" s="46"/>
      <c r="X85" s="46"/>
      <c r="Y85" s="46"/>
      <c r="Z85" s="46"/>
    </row>
    <row r="86" spans="1:26" x14ac:dyDescent="0.25">
      <c r="A86" s="46"/>
      <c r="B86" s="162" t="s">
        <v>378</v>
      </c>
      <c r="C86" s="7" t="s">
        <v>108</v>
      </c>
      <c r="D86" s="166" t="str">
        <f>CONCATENATE(TEXT(IF(C86="Three-Way Mirror",1/3,IF(C86="Two-Way Mirror",0.5,IF(C86="Dual Parity",IF('Hardware Inputs'!C8&gt;=16,0.8,IF('Hardware Inputs'!C8&gt;=9,0.75,IF('Hardware Inputs'!C8&gt;=7,2/3,0.5))),IF(C86="Nested Two-Way Mirror",0.25,1/3)))),"0%")," eff.")</f>
        <v>50% eff.</v>
      </c>
      <c r="E86" s="46"/>
      <c r="F86" s="46"/>
      <c r="G86" s="46"/>
      <c r="H86" s="46"/>
      <c r="I86" s="46"/>
      <c r="J86" s="46"/>
      <c r="K86" s="46"/>
      <c r="L86" s="46"/>
      <c r="M86" s="46"/>
      <c r="N86" s="46"/>
      <c r="O86" s="46"/>
      <c r="P86" s="46"/>
      <c r="Q86" s="46"/>
      <c r="R86" s="46"/>
      <c r="S86" s="46"/>
      <c r="T86" s="46"/>
      <c r="U86" s="46"/>
      <c r="V86" s="46"/>
      <c r="W86" s="46"/>
      <c r="X86" s="46"/>
      <c r="Y86" s="46"/>
      <c r="Z86" s="46"/>
    </row>
    <row r="87" spans="1:26" x14ac:dyDescent="0.25">
      <c r="A87" s="46"/>
      <c r="B87" s="167" t="s">
        <v>379</v>
      </c>
      <c r="C87" s="168">
        <f>IF($C$83="No",0,IF(C84=0,0,ROUND(C84*C85/1024,2)))</f>
        <v>0</v>
      </c>
      <c r="D87" s="169" t="s">
        <v>87</v>
      </c>
      <c r="E87" s="46"/>
      <c r="F87" s="170" t="str">
        <f>IF(C87&gt;64,"WARNING: Exceeds 64 TB max volume size!","")</f>
        <v/>
      </c>
      <c r="G87" s="46"/>
      <c r="H87" s="46"/>
      <c r="I87" s="46"/>
      <c r="J87" s="46"/>
      <c r="K87" s="46"/>
      <c r="L87" s="46"/>
      <c r="M87" s="46"/>
      <c r="N87" s="46"/>
      <c r="O87" s="46"/>
      <c r="P87" s="46"/>
      <c r="Q87" s="46"/>
      <c r="R87" s="46"/>
      <c r="S87" s="46"/>
      <c r="T87" s="46"/>
      <c r="U87" s="46"/>
      <c r="V87" s="46"/>
      <c r="W87" s="46"/>
      <c r="X87" s="46"/>
      <c r="Y87" s="46"/>
      <c r="Z87" s="46"/>
    </row>
    <row r="88" spans="1:26" ht="36" customHeight="1" x14ac:dyDescent="0.25">
      <c r="A88" s="46"/>
      <c r="B88" s="171" t="s">
        <v>380</v>
      </c>
      <c r="C88" s="172">
        <f>IF(C87=0,0,ROUND(C87/IF(C86="Three-Way Mirror",1/3,IF(C86="Two-Way Mirror",0.5,IF(C86="Dual Parity",IF('Hardware Inputs'!C8&gt;=16,0.8,IF('Hardware Inputs'!C8&gt;=9,0.75,IF('Hardware Inputs'!C8&gt;=7,2/3,0.5))),IF(C86="Nested Two-Way Mirror",0.25,1/3)))),2))</f>
        <v>0</v>
      </c>
      <c r="D88" s="173" t="s">
        <v>87</v>
      </c>
      <c r="E88" s="46"/>
      <c r="F88" s="46"/>
      <c r="G88" s="46"/>
      <c r="H88" s="46"/>
      <c r="I88" s="46"/>
      <c r="J88" s="46"/>
      <c r="K88" s="46"/>
      <c r="L88" s="46"/>
      <c r="M88" s="46"/>
      <c r="N88" s="46"/>
      <c r="O88" s="46"/>
      <c r="P88" s="46"/>
      <c r="Q88" s="46"/>
      <c r="R88" s="46"/>
      <c r="S88" s="46"/>
      <c r="T88" s="46"/>
      <c r="U88" s="46"/>
      <c r="V88" s="46"/>
      <c r="W88" s="46"/>
      <c r="X88" s="46"/>
      <c r="Y88" s="46"/>
      <c r="Z88" s="46"/>
    </row>
    <row r="89" spans="1:26" ht="36" customHeight="1" x14ac:dyDescent="0.25">
      <c r="A89" s="150"/>
      <c r="B89" s="174" t="s">
        <v>534</v>
      </c>
      <c r="C89" s="175"/>
      <c r="D89" s="176"/>
      <c r="E89" s="177"/>
      <c r="F89" s="188"/>
      <c r="G89" s="46"/>
      <c r="H89" s="46"/>
      <c r="I89" s="46"/>
      <c r="J89" s="46"/>
      <c r="K89" s="46"/>
      <c r="L89" s="46"/>
      <c r="M89" s="46"/>
      <c r="N89" s="46"/>
      <c r="O89" s="46"/>
      <c r="P89" s="46"/>
      <c r="Q89" s="46"/>
      <c r="R89" s="46"/>
      <c r="S89" s="46"/>
      <c r="T89" s="46"/>
      <c r="U89" s="46"/>
      <c r="V89" s="46"/>
      <c r="W89" s="46"/>
      <c r="X89" s="46"/>
      <c r="Y89" s="46"/>
      <c r="Z89" s="46"/>
    </row>
    <row r="90" spans="1:26" ht="36" customHeight="1" x14ac:dyDescent="0.25">
      <c r="A90" s="150"/>
      <c r="B90" s="179" t="s">
        <v>528</v>
      </c>
      <c r="C90" s="18">
        <v>2</v>
      </c>
      <c r="D90" s="65" t="s">
        <v>484</v>
      </c>
      <c r="E90" s="180"/>
      <c r="F90" s="181" t="s">
        <v>535</v>
      </c>
      <c r="G90" s="46"/>
      <c r="H90" s="46"/>
      <c r="I90" s="46"/>
      <c r="J90" s="46"/>
      <c r="K90" s="46"/>
      <c r="L90" s="46"/>
      <c r="M90" s="46"/>
      <c r="N90" s="46"/>
      <c r="O90" s="46"/>
      <c r="P90" s="46"/>
      <c r="Q90" s="46"/>
      <c r="R90" s="46"/>
      <c r="S90" s="46"/>
      <c r="T90" s="46"/>
      <c r="U90" s="46"/>
      <c r="V90" s="46"/>
      <c r="W90" s="46"/>
      <c r="X90" s="46"/>
      <c r="Y90" s="46"/>
      <c r="Z90" s="46"/>
    </row>
    <row r="91" spans="1:26" ht="36" customHeight="1" x14ac:dyDescent="0.25">
      <c r="A91" s="150"/>
      <c r="B91" s="179" t="s">
        <v>530</v>
      </c>
      <c r="C91" s="17">
        <v>8</v>
      </c>
      <c r="D91" s="65" t="s">
        <v>126</v>
      </c>
      <c r="E91" s="180"/>
      <c r="F91" s="181" t="s">
        <v>536</v>
      </c>
      <c r="G91" s="46"/>
      <c r="H91" s="46"/>
      <c r="I91" s="46"/>
      <c r="J91" s="46"/>
      <c r="K91" s="46"/>
      <c r="L91" s="46"/>
      <c r="M91" s="46"/>
      <c r="N91" s="46"/>
      <c r="O91" s="46"/>
      <c r="P91" s="46"/>
      <c r="Q91" s="46"/>
      <c r="R91" s="46"/>
      <c r="S91" s="46"/>
      <c r="T91" s="46"/>
      <c r="U91" s="46"/>
      <c r="V91" s="46"/>
      <c r="W91" s="46"/>
      <c r="X91" s="46"/>
      <c r="Y91" s="46"/>
      <c r="Z91" s="46"/>
    </row>
    <row r="92" spans="1:26" ht="36" customHeight="1" x14ac:dyDescent="0.25">
      <c r="A92" s="150"/>
      <c r="B92" s="179" t="s">
        <v>625</v>
      </c>
      <c r="C92" s="19" t="s">
        <v>515</v>
      </c>
      <c r="D92" s="65" t="s">
        <v>501</v>
      </c>
      <c r="E92" s="180"/>
      <c r="F92" s="181" t="s">
        <v>650</v>
      </c>
      <c r="G92" s="46"/>
      <c r="H92" s="46"/>
      <c r="I92" s="46"/>
      <c r="J92" s="46"/>
      <c r="K92" s="46"/>
      <c r="L92" s="46"/>
      <c r="M92" s="46"/>
      <c r="N92" s="46"/>
      <c r="O92" s="46"/>
      <c r="P92" s="46"/>
      <c r="Q92" s="46"/>
      <c r="R92" s="46"/>
      <c r="S92" s="46"/>
      <c r="T92" s="46"/>
      <c r="U92" s="46"/>
      <c r="V92" s="46"/>
      <c r="W92" s="46"/>
      <c r="X92" s="46"/>
      <c r="Y92" s="46"/>
      <c r="Z92" s="46"/>
    </row>
    <row r="93" spans="1:26" ht="36" customHeight="1" x14ac:dyDescent="0.25">
      <c r="A93" s="150"/>
      <c r="B93" s="182" t="s">
        <v>537</v>
      </c>
      <c r="C93" s="168">
        <f>IF(C83="No",0,C84*C90)</f>
        <v>0</v>
      </c>
      <c r="D93" s="73" t="s">
        <v>484</v>
      </c>
      <c r="E93" s="180"/>
      <c r="F93" s="181" t="s">
        <v>533</v>
      </c>
      <c r="G93" s="46"/>
      <c r="H93" s="46"/>
      <c r="I93" s="46"/>
      <c r="J93" s="46"/>
      <c r="K93" s="46"/>
      <c r="L93" s="46"/>
      <c r="M93" s="46"/>
      <c r="N93" s="46"/>
      <c r="O93" s="46"/>
      <c r="P93" s="46"/>
      <c r="Q93" s="46"/>
      <c r="R93" s="46"/>
      <c r="S93" s="46"/>
      <c r="T93" s="46"/>
      <c r="U93" s="46"/>
      <c r="V93" s="46"/>
      <c r="W93" s="46"/>
      <c r="X93" s="46"/>
      <c r="Y93" s="46"/>
      <c r="Z93" s="46"/>
    </row>
    <row r="94" spans="1:26" ht="36" customHeight="1" x14ac:dyDescent="0.25">
      <c r="A94" s="150"/>
      <c r="B94" s="182" t="s">
        <v>654</v>
      </c>
      <c r="C94" s="168">
        <f>IF(C83="No",0,ROUND((C84*C90)/IF(C92="1:1",1,IF(C92="2:1",2,IF(C92="3:1",3,IF(C92="4:1",4,1)))),0))</f>
        <v>0</v>
      </c>
      <c r="D94" s="73" t="s">
        <v>484</v>
      </c>
      <c r="E94" s="180"/>
      <c r="F94" s="181" t="s">
        <v>652</v>
      </c>
      <c r="G94" s="46"/>
      <c r="H94" s="46"/>
      <c r="I94" s="46"/>
      <c r="J94" s="46"/>
      <c r="K94" s="46"/>
      <c r="L94" s="46"/>
      <c r="M94" s="46"/>
      <c r="N94" s="46"/>
      <c r="O94" s="46"/>
      <c r="P94" s="46"/>
      <c r="Q94" s="46"/>
      <c r="R94" s="46"/>
      <c r="S94" s="46"/>
      <c r="T94" s="46"/>
      <c r="U94" s="46"/>
      <c r="V94" s="46"/>
      <c r="W94" s="46"/>
      <c r="X94" s="46"/>
      <c r="Y94" s="46"/>
      <c r="Z94" s="46"/>
    </row>
    <row r="95" spans="1:26" ht="36" customHeight="1" x14ac:dyDescent="0.25">
      <c r="A95" s="150"/>
      <c r="B95" s="185"/>
      <c r="C95" s="186"/>
      <c r="D95" s="185"/>
      <c r="E95" s="150"/>
      <c r="F95" s="150"/>
      <c r="G95" s="46"/>
      <c r="H95" s="46"/>
      <c r="I95" s="46"/>
      <c r="J95" s="46"/>
      <c r="K95" s="46"/>
      <c r="L95" s="46"/>
      <c r="M95" s="46"/>
      <c r="N95" s="46"/>
      <c r="O95" s="46"/>
      <c r="P95" s="46"/>
      <c r="Q95" s="46"/>
      <c r="R95" s="46"/>
      <c r="S95" s="46"/>
      <c r="T95" s="46"/>
      <c r="U95" s="46"/>
      <c r="V95" s="46"/>
      <c r="W95" s="46"/>
      <c r="X95" s="46"/>
      <c r="Y95" s="46"/>
      <c r="Z95" s="46"/>
    </row>
    <row r="96" spans="1:26" ht="36" customHeight="1" x14ac:dyDescent="0.25">
      <c r="A96" s="150"/>
      <c r="B96" s="185"/>
      <c r="C96" s="186"/>
      <c r="D96" s="185"/>
      <c r="E96" s="150"/>
      <c r="F96" s="150"/>
      <c r="G96" s="46"/>
      <c r="H96" s="46"/>
      <c r="I96" s="46"/>
      <c r="J96" s="46"/>
      <c r="K96" s="46"/>
      <c r="L96" s="46"/>
      <c r="M96" s="46"/>
      <c r="N96" s="46"/>
      <c r="O96" s="46"/>
      <c r="P96" s="46"/>
      <c r="Q96" s="46"/>
      <c r="R96" s="46"/>
      <c r="S96" s="46"/>
      <c r="T96" s="46"/>
      <c r="U96" s="46"/>
      <c r="V96" s="46"/>
      <c r="W96" s="46"/>
      <c r="X96" s="46"/>
      <c r="Y96" s="46"/>
      <c r="Z96" s="46"/>
    </row>
    <row r="97" spans="1:26" x14ac:dyDescent="0.25">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126" t="s">
        <v>381</v>
      </c>
      <c r="C98" s="127"/>
      <c r="D98" s="127"/>
      <c r="E98" s="127"/>
      <c r="F98" s="127"/>
      <c r="G98" s="46"/>
      <c r="H98" s="46"/>
      <c r="I98" s="46"/>
      <c r="J98" s="46"/>
      <c r="K98" s="46"/>
      <c r="L98" s="46"/>
      <c r="M98" s="46"/>
      <c r="N98" s="46"/>
      <c r="O98" s="46"/>
      <c r="P98" s="46"/>
      <c r="Q98" s="46"/>
      <c r="R98" s="46"/>
      <c r="S98" s="46"/>
      <c r="T98" s="46"/>
      <c r="U98" s="46"/>
      <c r="V98" s="46"/>
      <c r="W98" s="46"/>
      <c r="X98" s="46"/>
      <c r="Y98" s="46"/>
      <c r="Z98" s="46"/>
    </row>
    <row r="99" spans="1:26" x14ac:dyDescent="0.25">
      <c r="A99" s="46"/>
      <c r="B99" s="183" t="s">
        <v>382</v>
      </c>
      <c r="C99" s="20" t="s">
        <v>299</v>
      </c>
      <c r="D99" s="184"/>
      <c r="E99" s="46"/>
      <c r="F99" s="134" t="s">
        <v>325</v>
      </c>
      <c r="G99" s="46"/>
      <c r="H99" s="46"/>
      <c r="I99" s="46"/>
      <c r="J99" s="46"/>
      <c r="K99" s="46"/>
      <c r="L99" s="46"/>
      <c r="M99" s="46"/>
      <c r="N99" s="46"/>
      <c r="O99" s="46"/>
      <c r="P99" s="46"/>
      <c r="Q99" s="46"/>
      <c r="R99" s="46"/>
      <c r="S99" s="46"/>
      <c r="T99" s="46"/>
      <c r="U99" s="46"/>
      <c r="V99" s="46"/>
      <c r="W99" s="46"/>
      <c r="X99" s="46"/>
      <c r="Y99" s="46"/>
      <c r="Z99" s="46"/>
    </row>
    <row r="100" spans="1:26" x14ac:dyDescent="0.25">
      <c r="A100" s="46"/>
      <c r="B100" s="162" t="s">
        <v>383</v>
      </c>
      <c r="C100" s="18">
        <v>3</v>
      </c>
      <c r="D100" s="163" t="s">
        <v>87</v>
      </c>
      <c r="E100" s="46"/>
      <c r="F100" s="46"/>
      <c r="G100" s="46"/>
      <c r="H100" s="46"/>
      <c r="I100" s="46"/>
      <c r="J100" s="46"/>
      <c r="K100" s="46"/>
      <c r="L100" s="46"/>
      <c r="M100" s="46"/>
      <c r="N100" s="46"/>
      <c r="O100" s="46"/>
      <c r="P100" s="46"/>
      <c r="Q100" s="46"/>
      <c r="R100" s="46"/>
      <c r="S100" s="46"/>
      <c r="T100" s="46"/>
      <c r="U100" s="46"/>
      <c r="V100" s="46"/>
      <c r="W100" s="46"/>
      <c r="X100" s="46"/>
      <c r="Y100" s="46"/>
      <c r="Z100" s="46"/>
    </row>
    <row r="101" spans="1:26" x14ac:dyDescent="0.25">
      <c r="A101" s="46"/>
      <c r="B101" s="162" t="s">
        <v>384</v>
      </c>
      <c r="C101" s="7" t="s">
        <v>132</v>
      </c>
      <c r="D101" s="166" t="str">
        <f>CONCATENATE(TEXT(IF(C101="Three-Way Mirror",1/3,IF(C101="Two-Way Mirror",0.5,IF(C101="Dual Parity",IF('Hardware Inputs'!C8&gt;=16,0.8,IF('Hardware Inputs'!C8&gt;=9,0.75,IF('Hardware Inputs'!C8&gt;=7,2/3,0.5))),IF(C101="Nested Two-Way Mirror",0.25,1/3)))),"0%")," eff.")</f>
        <v>50% eff.</v>
      </c>
      <c r="E101" s="46"/>
      <c r="F101" s="46"/>
      <c r="G101" s="46"/>
      <c r="H101" s="46"/>
      <c r="I101" s="46"/>
      <c r="J101" s="46"/>
      <c r="K101" s="46"/>
      <c r="L101" s="46"/>
      <c r="M101" s="46"/>
      <c r="N101" s="46"/>
      <c r="O101" s="46"/>
      <c r="P101" s="46"/>
      <c r="Q101" s="46"/>
      <c r="R101" s="46"/>
      <c r="S101" s="46"/>
      <c r="T101" s="46"/>
      <c r="U101" s="46"/>
      <c r="V101" s="46"/>
      <c r="W101" s="46"/>
      <c r="X101" s="46"/>
      <c r="Y101" s="46"/>
      <c r="Z101" s="46"/>
    </row>
    <row r="102" spans="1:26" x14ac:dyDescent="0.25">
      <c r="A102" s="46"/>
      <c r="B102" s="167" t="s">
        <v>385</v>
      </c>
      <c r="C102" s="251">
        <f>IF($C$99="No",0,C100)</f>
        <v>0</v>
      </c>
      <c r="D102" s="169" t="s">
        <v>87</v>
      </c>
      <c r="E102" s="46"/>
      <c r="F102" s="46"/>
      <c r="G102" s="46"/>
      <c r="H102" s="46"/>
      <c r="I102" s="46"/>
      <c r="J102" s="46"/>
      <c r="K102" s="46"/>
      <c r="L102" s="46"/>
      <c r="M102" s="46"/>
      <c r="N102" s="46"/>
      <c r="O102" s="46"/>
      <c r="P102" s="46"/>
      <c r="Q102" s="46"/>
      <c r="R102" s="46"/>
      <c r="S102" s="46"/>
      <c r="T102" s="46"/>
      <c r="U102" s="46"/>
      <c r="V102" s="46"/>
      <c r="W102" s="46"/>
      <c r="X102" s="46"/>
      <c r="Y102" s="46"/>
      <c r="Z102" s="46"/>
    </row>
    <row r="103" spans="1:26" ht="15.75" x14ac:dyDescent="0.25">
      <c r="A103" s="46"/>
      <c r="B103" s="189" t="s">
        <v>386</v>
      </c>
      <c r="C103" s="252">
        <f>IF(C102=0,0,ROUND(C102/IF(C101="Three-Way Mirror",1/3,IF(C101="Two-Way Mirror",0.5,IF(C101="Dual Parity",IF('Hardware Inputs'!C8&gt;=16,0.8,IF('Hardware Inputs'!C8&gt;=9,0.75,IF('Hardware Inputs'!C8&gt;=7,2/3,0.5))),IF(C101="Nested Two-Way Mirror",0.25,1/3)))),2))</f>
        <v>0</v>
      </c>
      <c r="D103" s="167" t="s">
        <v>87</v>
      </c>
      <c r="E103" s="46"/>
      <c r="F103" s="46"/>
      <c r="G103" s="46"/>
      <c r="H103" s="46"/>
      <c r="I103" s="46"/>
      <c r="J103" s="46"/>
      <c r="K103" s="46"/>
      <c r="L103" s="46"/>
      <c r="M103" s="46"/>
      <c r="N103" s="46"/>
      <c r="O103" s="46"/>
      <c r="P103" s="46"/>
      <c r="Q103" s="46"/>
      <c r="R103" s="46"/>
      <c r="S103" s="46"/>
      <c r="T103" s="46"/>
      <c r="U103" s="46"/>
      <c r="V103" s="46"/>
      <c r="W103" s="46"/>
      <c r="X103" s="46"/>
      <c r="Y103" s="46"/>
      <c r="Z103" s="46"/>
    </row>
    <row r="104" spans="1:26" x14ac:dyDescent="0.2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row>
    <row r="105" spans="1:26" x14ac:dyDescent="0.25">
      <c r="A105" s="46"/>
      <c r="B105" s="126" t="s">
        <v>387</v>
      </c>
      <c r="C105" s="127"/>
      <c r="D105" s="127"/>
      <c r="E105" s="127"/>
      <c r="F105" s="127"/>
      <c r="G105" s="46"/>
      <c r="H105" s="46"/>
      <c r="I105" s="46"/>
      <c r="J105" s="46"/>
      <c r="K105" s="46"/>
      <c r="L105" s="46"/>
      <c r="M105" s="46"/>
      <c r="N105" s="46"/>
      <c r="O105" s="46"/>
      <c r="P105" s="46"/>
      <c r="Q105" s="46"/>
      <c r="R105" s="46"/>
      <c r="S105" s="46"/>
      <c r="T105" s="46"/>
      <c r="U105" s="46"/>
      <c r="V105" s="46"/>
      <c r="W105" s="46"/>
      <c r="X105" s="46"/>
      <c r="Y105" s="46"/>
      <c r="Z105" s="46"/>
    </row>
    <row r="106" spans="1:26" x14ac:dyDescent="0.25">
      <c r="A106" s="46"/>
      <c r="B106" s="190" t="s">
        <v>418</v>
      </c>
      <c r="C106" s="8" t="s">
        <v>299</v>
      </c>
      <c r="D106" s="127"/>
      <c r="E106" s="127"/>
      <c r="F106" s="181" t="s">
        <v>325</v>
      </c>
      <c r="G106" s="46"/>
      <c r="H106" s="46"/>
      <c r="I106" s="46"/>
      <c r="J106" s="46"/>
      <c r="K106" s="46"/>
      <c r="L106" s="46"/>
      <c r="M106" s="46"/>
      <c r="N106" s="46"/>
      <c r="O106" s="46"/>
      <c r="P106" s="46"/>
      <c r="Q106" s="46"/>
      <c r="R106" s="46"/>
      <c r="S106" s="46"/>
      <c r="T106" s="46"/>
      <c r="U106" s="46"/>
      <c r="V106" s="46"/>
      <c r="W106" s="46"/>
      <c r="X106" s="46"/>
      <c r="Y106" s="46"/>
      <c r="Z106" s="46"/>
    </row>
    <row r="107" spans="1:26" x14ac:dyDescent="0.25">
      <c r="A107" s="46"/>
      <c r="B107" s="162" t="s">
        <v>388</v>
      </c>
      <c r="C107" s="18">
        <v>0</v>
      </c>
      <c r="D107" s="163" t="s">
        <v>87</v>
      </c>
      <c r="E107" s="46"/>
      <c r="F107" s="134" t="s">
        <v>389</v>
      </c>
      <c r="G107" s="46"/>
      <c r="H107" s="46"/>
      <c r="I107" s="46"/>
      <c r="J107" s="46"/>
      <c r="K107" s="46"/>
      <c r="L107" s="46"/>
      <c r="M107" s="46"/>
      <c r="N107" s="46"/>
      <c r="O107" s="46"/>
      <c r="P107" s="46"/>
      <c r="Q107" s="46"/>
      <c r="R107" s="46"/>
      <c r="S107" s="46"/>
      <c r="T107" s="46"/>
      <c r="U107" s="46"/>
      <c r="V107" s="46"/>
      <c r="W107" s="46"/>
      <c r="X107" s="46"/>
      <c r="Y107" s="46"/>
      <c r="Z107" s="46"/>
    </row>
    <row r="108" spans="1:26" x14ac:dyDescent="0.25">
      <c r="A108" s="46"/>
      <c r="B108" s="162" t="s">
        <v>390</v>
      </c>
      <c r="C108" s="7" t="s">
        <v>111</v>
      </c>
      <c r="D108" s="166" t="str">
        <f>CONCATENATE(TEXT(IF(C108="Three-Way Mirror",1/3,IF(C108="Two-Way Mirror",0.5,IF(C108="Dual Parity",IF('Hardware Inputs'!C8&gt;=16,0.8,IF('Hardware Inputs'!C8&gt;=9,0.75,IF('Hardware Inputs'!C8&gt;=7,2/3,0.5))),IF(C108="Nested Two-Way Mirror",0.25,1/3)))),"0%")," eff.")</f>
        <v>33% eff.</v>
      </c>
      <c r="E108" s="46"/>
      <c r="F108" s="46"/>
      <c r="G108" s="46"/>
      <c r="H108" s="46"/>
      <c r="I108" s="46"/>
      <c r="J108" s="46"/>
      <c r="K108" s="46"/>
      <c r="L108" s="46"/>
      <c r="M108" s="46"/>
      <c r="N108" s="46"/>
      <c r="O108" s="46"/>
      <c r="P108" s="46"/>
      <c r="Q108" s="46"/>
      <c r="R108" s="46"/>
      <c r="S108" s="46"/>
      <c r="T108" s="46"/>
      <c r="U108" s="46"/>
      <c r="V108" s="46"/>
      <c r="W108" s="46"/>
      <c r="X108" s="46"/>
      <c r="Y108" s="46"/>
      <c r="Z108" s="46"/>
    </row>
    <row r="109" spans="1:26" x14ac:dyDescent="0.25">
      <c r="A109" s="46"/>
      <c r="B109" s="167" t="s">
        <v>391</v>
      </c>
      <c r="C109" s="251">
        <f>IF($C$106="No",0,C107)</f>
        <v>0</v>
      </c>
      <c r="D109" s="169" t="s">
        <v>87</v>
      </c>
      <c r="E109" s="46"/>
      <c r="F109" s="46"/>
      <c r="G109" s="46"/>
      <c r="H109" s="46"/>
      <c r="I109" s="46"/>
      <c r="J109" s="46"/>
      <c r="K109" s="46"/>
      <c r="L109" s="46"/>
      <c r="M109" s="46"/>
      <c r="N109" s="46"/>
      <c r="O109" s="46"/>
      <c r="P109" s="46"/>
      <c r="Q109" s="46"/>
      <c r="R109" s="46"/>
      <c r="S109" s="46"/>
      <c r="T109" s="46"/>
      <c r="U109" s="46"/>
      <c r="V109" s="46"/>
      <c r="W109" s="46"/>
      <c r="X109" s="46"/>
      <c r="Y109" s="46"/>
      <c r="Z109" s="46"/>
    </row>
    <row r="110" spans="1:26" ht="15.75" x14ac:dyDescent="0.25">
      <c r="A110" s="46"/>
      <c r="B110" s="189" t="s">
        <v>392</v>
      </c>
      <c r="C110" s="252">
        <f>IF(C109=0,0,ROUND(C109/IF(C108="Three-Way Mirror",1/3,IF(C108="Two-Way Mirror",0.5,IF(C108="Dual Parity",IF('Hardware Inputs'!C8&gt;=16,0.8,IF('Hardware Inputs'!C8&gt;=9,0.75,IF('Hardware Inputs'!C8&gt;=7,2/3,0.5))),IF(C108="Nested Two-Way Mirror",0.25,1/3)))),2))</f>
        <v>0</v>
      </c>
      <c r="D110" s="167" t="s">
        <v>87</v>
      </c>
      <c r="E110" s="46"/>
      <c r="F110" s="46"/>
      <c r="G110" s="46"/>
      <c r="H110" s="46"/>
      <c r="I110" s="46"/>
      <c r="J110" s="46"/>
      <c r="K110" s="46"/>
      <c r="L110" s="46"/>
      <c r="M110" s="46"/>
      <c r="N110" s="46"/>
      <c r="O110" s="46"/>
      <c r="P110" s="46"/>
      <c r="Q110" s="46"/>
      <c r="R110" s="46"/>
      <c r="S110" s="46"/>
      <c r="T110" s="46"/>
      <c r="U110" s="46"/>
      <c r="V110" s="46"/>
      <c r="W110" s="46"/>
      <c r="X110" s="46"/>
      <c r="Y110" s="46"/>
      <c r="Z110" s="46"/>
    </row>
    <row r="111" spans="1:26" x14ac:dyDescent="0.25">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spans="1:26" x14ac:dyDescent="0.25">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spans="1:26" ht="18" x14ac:dyDescent="0.25">
      <c r="A113" s="46"/>
      <c r="B113" s="124" t="s">
        <v>133</v>
      </c>
      <c r="C113" s="125"/>
      <c r="D113" s="125"/>
      <c r="E113" s="125"/>
      <c r="F113" s="125"/>
      <c r="G113" s="46"/>
      <c r="H113" s="46"/>
      <c r="I113" s="46"/>
      <c r="J113" s="46"/>
      <c r="K113" s="46"/>
      <c r="L113" s="46"/>
      <c r="M113" s="46"/>
      <c r="N113" s="46"/>
      <c r="O113" s="46"/>
      <c r="P113" s="46"/>
      <c r="Q113" s="46"/>
      <c r="R113" s="46"/>
      <c r="S113" s="46"/>
      <c r="T113" s="46"/>
      <c r="U113" s="46"/>
      <c r="V113" s="46"/>
      <c r="W113" s="46"/>
      <c r="X113" s="46"/>
      <c r="Y113" s="46"/>
      <c r="Z113" s="46"/>
    </row>
    <row r="114" spans="1:26" ht="15.75" x14ac:dyDescent="0.25">
      <c r="A114" s="46"/>
      <c r="B114" s="128" t="s">
        <v>134</v>
      </c>
      <c r="C114" s="192">
        <f>'Hardware Inputs'!C24</f>
        <v>31.045200000000001</v>
      </c>
      <c r="D114" s="193" t="s">
        <v>87</v>
      </c>
      <c r="E114" s="46"/>
      <c r="F114" s="134" t="s">
        <v>135</v>
      </c>
      <c r="G114" s="46"/>
      <c r="H114" s="46"/>
      <c r="I114" s="46"/>
      <c r="J114" s="46"/>
      <c r="K114" s="46"/>
      <c r="L114" s="46"/>
      <c r="M114" s="46"/>
      <c r="N114" s="46"/>
      <c r="O114" s="46"/>
      <c r="P114" s="46"/>
      <c r="Q114" s="46"/>
      <c r="R114" s="46"/>
      <c r="S114" s="46"/>
      <c r="T114" s="46"/>
      <c r="U114" s="46"/>
      <c r="V114" s="46"/>
      <c r="W114" s="46"/>
      <c r="X114" s="46"/>
      <c r="Y114" s="46"/>
      <c r="Z114" s="46"/>
    </row>
    <row r="115" spans="1:26" x14ac:dyDescent="0.2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spans="1:26" x14ac:dyDescent="0.25">
      <c r="A116" s="46"/>
      <c r="B116" s="162" t="s">
        <v>393</v>
      </c>
      <c r="C116" s="168">
        <f>C15</f>
        <v>11.06</v>
      </c>
      <c r="D116" s="163" t="s">
        <v>87</v>
      </c>
      <c r="E116" s="46"/>
      <c r="F116" s="46"/>
      <c r="G116" s="46"/>
      <c r="H116" s="46"/>
      <c r="I116" s="46"/>
      <c r="J116" s="46"/>
      <c r="K116" s="46"/>
      <c r="L116" s="46"/>
      <c r="M116" s="46"/>
      <c r="N116" s="46"/>
      <c r="O116" s="46"/>
      <c r="P116" s="46"/>
      <c r="Q116" s="46"/>
      <c r="R116" s="46"/>
      <c r="S116" s="46"/>
      <c r="T116" s="46"/>
      <c r="U116" s="46"/>
      <c r="V116" s="46"/>
      <c r="W116" s="46"/>
      <c r="X116" s="46"/>
      <c r="Y116" s="46"/>
      <c r="Z116" s="46"/>
    </row>
    <row r="117" spans="1:26" x14ac:dyDescent="0.25">
      <c r="A117" s="46"/>
      <c r="B117" s="162" t="s">
        <v>394</v>
      </c>
      <c r="C117" s="168">
        <f>C24</f>
        <v>24.75</v>
      </c>
      <c r="D117" s="163" t="s">
        <v>87</v>
      </c>
      <c r="E117" s="46"/>
      <c r="F117" s="46"/>
      <c r="G117" s="46"/>
      <c r="H117" s="46"/>
      <c r="I117" s="46"/>
      <c r="J117" s="46"/>
      <c r="K117" s="46"/>
      <c r="L117" s="46"/>
      <c r="M117" s="46"/>
      <c r="N117" s="46"/>
      <c r="O117" s="46"/>
      <c r="P117" s="46"/>
      <c r="Q117" s="46"/>
      <c r="R117" s="46"/>
      <c r="S117" s="46"/>
      <c r="T117" s="46"/>
      <c r="U117" s="46"/>
      <c r="V117" s="46"/>
      <c r="W117" s="46"/>
      <c r="X117" s="46"/>
      <c r="Y117" s="46"/>
      <c r="Z117" s="46"/>
    </row>
    <row r="118" spans="1:26" x14ac:dyDescent="0.25">
      <c r="A118" s="46"/>
      <c r="B118" s="162" t="s">
        <v>395</v>
      </c>
      <c r="C118" s="168">
        <f>C55</f>
        <v>0</v>
      </c>
      <c r="D118" s="163" t="s">
        <v>87</v>
      </c>
      <c r="E118" s="46"/>
      <c r="F118" s="46"/>
      <c r="G118" s="46"/>
      <c r="H118" s="46"/>
      <c r="I118" s="46"/>
      <c r="J118" s="46"/>
      <c r="K118" s="46"/>
      <c r="L118" s="46"/>
      <c r="M118" s="46"/>
      <c r="N118" s="46"/>
      <c r="O118" s="46"/>
      <c r="P118" s="46"/>
      <c r="Q118" s="46"/>
      <c r="R118" s="46"/>
      <c r="S118" s="46"/>
      <c r="T118" s="46"/>
      <c r="U118" s="46"/>
      <c r="V118" s="46"/>
      <c r="W118" s="46"/>
      <c r="X118" s="46"/>
      <c r="Y118" s="46"/>
      <c r="Z118" s="46"/>
    </row>
    <row r="119" spans="1:26" x14ac:dyDescent="0.25">
      <c r="A119" s="46"/>
      <c r="B119" s="162" t="s">
        <v>396</v>
      </c>
      <c r="C119" s="168">
        <f>C71</f>
        <v>0</v>
      </c>
      <c r="D119" s="163" t="s">
        <v>87</v>
      </c>
      <c r="E119" s="46"/>
      <c r="F119" s="46"/>
      <c r="G119" s="46"/>
      <c r="H119" s="46"/>
      <c r="I119" s="46"/>
      <c r="J119" s="46"/>
      <c r="K119" s="46"/>
      <c r="L119" s="46"/>
      <c r="M119" s="46"/>
      <c r="N119" s="46"/>
      <c r="O119" s="46"/>
      <c r="P119" s="46"/>
      <c r="Q119" s="46"/>
      <c r="R119" s="46"/>
      <c r="S119" s="46"/>
      <c r="T119" s="46"/>
      <c r="U119" s="46"/>
      <c r="V119" s="46"/>
      <c r="W119" s="46"/>
      <c r="X119" s="46"/>
      <c r="Y119" s="46"/>
      <c r="Z119" s="46"/>
    </row>
    <row r="120" spans="1:26" x14ac:dyDescent="0.25">
      <c r="A120" s="46"/>
      <c r="B120" s="162" t="s">
        <v>397</v>
      </c>
      <c r="C120" s="168">
        <f>C88</f>
        <v>0</v>
      </c>
      <c r="D120" s="163" t="s">
        <v>87</v>
      </c>
      <c r="E120" s="46"/>
      <c r="F120" s="46"/>
      <c r="G120" s="46"/>
      <c r="H120" s="46"/>
      <c r="I120" s="46"/>
      <c r="J120" s="46"/>
      <c r="K120" s="46"/>
      <c r="L120" s="46"/>
      <c r="M120" s="46"/>
      <c r="N120" s="46"/>
      <c r="O120" s="46"/>
      <c r="P120" s="46"/>
      <c r="Q120" s="46"/>
      <c r="R120" s="46"/>
      <c r="S120" s="46"/>
      <c r="T120" s="46"/>
      <c r="U120" s="46"/>
      <c r="V120" s="46"/>
      <c r="W120" s="46"/>
      <c r="X120" s="46"/>
      <c r="Y120" s="46"/>
      <c r="Z120" s="46"/>
    </row>
    <row r="121" spans="1:26" x14ac:dyDescent="0.25">
      <c r="A121" s="46"/>
      <c r="B121" s="162" t="s">
        <v>398</v>
      </c>
      <c r="C121" s="168">
        <f>C103</f>
        <v>0</v>
      </c>
      <c r="D121" s="163" t="s">
        <v>87</v>
      </c>
      <c r="E121" s="46"/>
      <c r="F121" s="46"/>
      <c r="G121" s="46"/>
      <c r="H121" s="46"/>
      <c r="I121" s="46"/>
      <c r="J121" s="46"/>
      <c r="K121" s="46"/>
      <c r="L121" s="46"/>
      <c r="M121" s="46"/>
      <c r="N121" s="46"/>
      <c r="O121" s="46"/>
      <c r="P121" s="46"/>
      <c r="Q121" s="46"/>
      <c r="R121" s="46"/>
      <c r="S121" s="46"/>
      <c r="T121" s="46"/>
      <c r="U121" s="46"/>
      <c r="V121" s="46"/>
      <c r="W121" s="46"/>
      <c r="X121" s="46"/>
      <c r="Y121" s="46"/>
      <c r="Z121" s="46"/>
    </row>
    <row r="122" spans="1:26" x14ac:dyDescent="0.25">
      <c r="A122" s="46"/>
      <c r="B122" s="162" t="s">
        <v>399</v>
      </c>
      <c r="C122" s="168">
        <f>C110</f>
        <v>0</v>
      </c>
      <c r="D122" s="163" t="s">
        <v>87</v>
      </c>
      <c r="E122" s="46"/>
      <c r="F122" s="46"/>
      <c r="G122" s="46"/>
      <c r="H122" s="46"/>
      <c r="I122" s="46"/>
      <c r="J122" s="46"/>
      <c r="K122" s="46"/>
      <c r="L122" s="46"/>
      <c r="M122" s="46"/>
      <c r="N122" s="46"/>
      <c r="O122" s="46"/>
      <c r="P122" s="46"/>
      <c r="Q122" s="46"/>
      <c r="R122" s="46"/>
      <c r="S122" s="46"/>
      <c r="T122" s="46"/>
      <c r="U122" s="46"/>
      <c r="V122" s="46"/>
      <c r="W122" s="46"/>
      <c r="X122" s="46"/>
      <c r="Y122" s="46"/>
      <c r="Z122" s="46"/>
    </row>
    <row r="123" spans="1:26" x14ac:dyDescent="0.25">
      <c r="A123" s="46"/>
      <c r="B123" s="194" t="s">
        <v>850</v>
      </c>
      <c r="C123" s="195">
        <f>SUM('Volume Detail'!F13:'Volume Detail'!F16)</f>
        <v>49.5</v>
      </c>
      <c r="D123" s="196" t="s">
        <v>87</v>
      </c>
      <c r="E123" s="46"/>
      <c r="F123" s="46"/>
      <c r="G123" s="46"/>
      <c r="H123" s="46"/>
      <c r="I123" s="46"/>
      <c r="J123" s="46"/>
      <c r="K123" s="46"/>
      <c r="L123" s="46"/>
      <c r="M123" s="46"/>
      <c r="N123" s="46"/>
      <c r="O123" s="46"/>
      <c r="P123" s="46"/>
      <c r="Q123" s="46"/>
      <c r="R123" s="46"/>
      <c r="S123" s="46"/>
      <c r="T123" s="46"/>
      <c r="U123" s="46"/>
      <c r="V123" s="46"/>
      <c r="W123" s="46"/>
      <c r="X123" s="46"/>
      <c r="Y123" s="46"/>
      <c r="Z123" s="46"/>
    </row>
    <row r="124" spans="1:26" ht="15.75" x14ac:dyDescent="0.25">
      <c r="A124" s="46"/>
      <c r="B124" s="197" t="s">
        <v>136</v>
      </c>
      <c r="C124" s="198">
        <f>SUM(C116:C123)</f>
        <v>85.31</v>
      </c>
      <c r="D124" s="199" t="s">
        <v>87</v>
      </c>
      <c r="E124" s="46"/>
      <c r="F124" s="134" t="s">
        <v>137</v>
      </c>
      <c r="G124" s="46"/>
      <c r="H124" s="46"/>
      <c r="I124" s="46"/>
      <c r="J124" s="46"/>
      <c r="K124" s="46"/>
      <c r="L124" s="46"/>
      <c r="M124" s="46"/>
      <c r="N124" s="46"/>
      <c r="O124" s="46"/>
      <c r="P124" s="46"/>
      <c r="Q124" s="46"/>
      <c r="R124" s="46"/>
      <c r="S124" s="46"/>
      <c r="T124" s="46"/>
      <c r="U124" s="46"/>
      <c r="V124" s="46"/>
      <c r="W124" s="46"/>
      <c r="X124" s="46"/>
      <c r="Y124" s="46"/>
      <c r="Z124" s="46"/>
    </row>
    <row r="125" spans="1:26" x14ac:dyDescent="0.25">
      <c r="A125" s="46"/>
      <c r="B125" s="167" t="s">
        <v>138</v>
      </c>
      <c r="C125" s="168">
        <f>C14+C23+C54+C70+C87+C102+C109+SUM('Volume Detail'!D13:'Volume Detail'!D16)</f>
        <v>38.53</v>
      </c>
      <c r="D125" s="169" t="s">
        <v>87</v>
      </c>
      <c r="E125" s="46"/>
      <c r="F125" s="134" t="s">
        <v>139</v>
      </c>
      <c r="G125" s="46"/>
      <c r="H125" s="46"/>
      <c r="I125" s="46"/>
      <c r="J125" s="46"/>
      <c r="K125" s="46"/>
      <c r="L125" s="46"/>
      <c r="M125" s="46"/>
      <c r="N125" s="46"/>
      <c r="O125" s="46"/>
      <c r="P125" s="46"/>
      <c r="Q125" s="46"/>
      <c r="R125" s="46"/>
      <c r="S125" s="46"/>
      <c r="T125" s="46"/>
      <c r="U125" s="46"/>
      <c r="V125" s="46"/>
      <c r="W125" s="46"/>
      <c r="X125" s="46"/>
      <c r="Y125" s="46"/>
      <c r="Z125" s="46"/>
    </row>
    <row r="126" spans="1:26" x14ac:dyDescent="0.25">
      <c r="A126" s="46"/>
      <c r="B126" s="167" t="s">
        <v>140</v>
      </c>
      <c r="C126" s="200" cm="1">
        <f t="array" ref="C126">(C14&gt;0)+(C23&gt;0)+(C54&gt;0)+(C70&gt;0)+(C87&gt;0)+(C102&gt;0)+(C109&gt;0)+SUMPRODUCT(('Volume Detail'!D13:'Volume Detail'!D16&gt;0)*1)</f>
        <v>5</v>
      </c>
      <c r="D126" s="169" t="s">
        <v>141</v>
      </c>
      <c r="E126" s="46"/>
      <c r="F126" s="134" t="str">
        <f>IF(MOD(C126,'Hardware Inputs'!C8)=0,"Volume count is multiple of node count.","Tip: Microsoft recommends multiple of node count ("&amp;'Hardware Inputs'!C8&amp;").")</f>
        <v>Tip: Microsoft recommends multiple of node count (3).</v>
      </c>
      <c r="G126" s="46"/>
      <c r="H126" s="46"/>
      <c r="I126" s="46"/>
      <c r="J126" s="46"/>
      <c r="K126" s="46"/>
      <c r="L126" s="46"/>
      <c r="M126" s="46"/>
      <c r="N126" s="46"/>
      <c r="O126" s="46"/>
      <c r="P126" s="46"/>
      <c r="Q126" s="46"/>
      <c r="R126" s="46"/>
      <c r="S126" s="46"/>
      <c r="T126" s="46"/>
      <c r="U126" s="46"/>
      <c r="V126" s="46"/>
      <c r="W126" s="46"/>
      <c r="X126" s="46"/>
      <c r="Y126" s="46"/>
      <c r="Z126" s="46"/>
    </row>
    <row r="127" spans="1:26" x14ac:dyDescent="0.25">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spans="1:26" ht="20.25" x14ac:dyDescent="0.3">
      <c r="A128" s="46"/>
      <c r="B128" s="201" t="s">
        <v>142</v>
      </c>
      <c r="C128" s="129">
        <f>C114-C124</f>
        <v>-54.264800000000001</v>
      </c>
      <c r="D128" s="201" t="s">
        <v>87</v>
      </c>
      <c r="E128" s="46"/>
      <c r="F128" s="202" t="str">
        <f>IF(C128&lt;0,"OVER CAPACITY!",IF(C124/C114&gt;0.7,"Caution: Above 70%.","Healthy."))</f>
        <v>OVER CAPACITY!</v>
      </c>
      <c r="G128" s="46"/>
      <c r="H128" s="46"/>
      <c r="I128" s="46"/>
      <c r="J128" s="46"/>
      <c r="K128" s="46"/>
      <c r="L128" s="46"/>
      <c r="M128" s="46"/>
      <c r="N128" s="46"/>
      <c r="O128" s="46"/>
      <c r="P128" s="46"/>
      <c r="Q128" s="46"/>
      <c r="R128" s="46"/>
      <c r="S128" s="46"/>
      <c r="T128" s="46"/>
      <c r="U128" s="46"/>
      <c r="V128" s="46"/>
      <c r="W128" s="46"/>
      <c r="X128" s="46"/>
      <c r="Y128" s="46"/>
      <c r="Z128" s="46"/>
    </row>
    <row r="129" spans="1:26" x14ac:dyDescent="0.25">
      <c r="A129" s="46"/>
      <c r="B129" s="167" t="s">
        <v>143</v>
      </c>
      <c r="C129" s="203">
        <f>IF(C114=0,0,C124/C114)</f>
        <v>2.7479288263564094</v>
      </c>
      <c r="D129" s="204"/>
      <c r="E129" s="46"/>
      <c r="F129" s="46"/>
      <c r="G129" s="46"/>
      <c r="H129" s="46"/>
      <c r="I129" s="46"/>
      <c r="J129" s="46"/>
      <c r="K129" s="46"/>
      <c r="L129" s="46"/>
      <c r="M129" s="46"/>
      <c r="N129" s="46"/>
      <c r="O129" s="46"/>
      <c r="P129" s="46"/>
      <c r="Q129" s="46"/>
      <c r="R129" s="46"/>
      <c r="S129" s="46"/>
      <c r="T129" s="46"/>
      <c r="U129" s="46"/>
      <c r="V129" s="46"/>
      <c r="W129" s="46"/>
      <c r="X129" s="46"/>
      <c r="Y129" s="46"/>
      <c r="Z129" s="46"/>
    </row>
    <row r="130" spans="1:26" x14ac:dyDescent="0.25">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spans="1:26" ht="18" x14ac:dyDescent="0.25">
      <c r="A131" s="46"/>
      <c r="B131" s="205" t="s">
        <v>538</v>
      </c>
      <c r="C131" s="206"/>
      <c r="D131" s="207"/>
      <c r="E131" s="125"/>
      <c r="F131" s="125"/>
      <c r="G131" s="46"/>
      <c r="H131" s="46"/>
      <c r="I131" s="46"/>
      <c r="J131" s="46"/>
      <c r="K131" s="46"/>
      <c r="L131" s="46"/>
      <c r="M131" s="46"/>
      <c r="N131" s="46"/>
      <c r="O131" s="46"/>
      <c r="P131" s="46"/>
      <c r="Q131" s="46"/>
      <c r="R131" s="46"/>
      <c r="S131" s="46"/>
      <c r="T131" s="46"/>
      <c r="U131" s="46"/>
      <c r="V131" s="46"/>
      <c r="W131" s="46"/>
      <c r="X131" s="46"/>
      <c r="Y131" s="46"/>
      <c r="Z131" s="46"/>
    </row>
    <row r="132" spans="1:26" ht="15.75" x14ac:dyDescent="0.25">
      <c r="A132" s="46"/>
      <c r="B132" s="208" t="s">
        <v>539</v>
      </c>
      <c r="C132" s="83">
        <f>'Hardware Inputs'!C37</f>
        <v>192</v>
      </c>
      <c r="D132" s="209" t="s">
        <v>484</v>
      </c>
      <c r="E132" s="46"/>
      <c r="F132" s="134" t="s">
        <v>540</v>
      </c>
      <c r="G132" s="46"/>
      <c r="H132" s="46"/>
      <c r="I132" s="46"/>
      <c r="J132" s="46"/>
      <c r="K132" s="46"/>
      <c r="L132" s="46"/>
      <c r="M132" s="46"/>
      <c r="N132" s="46"/>
      <c r="O132" s="46"/>
      <c r="P132" s="46"/>
      <c r="Q132" s="46"/>
      <c r="R132" s="46"/>
      <c r="S132" s="46"/>
      <c r="T132" s="46"/>
      <c r="U132" s="46"/>
      <c r="V132" s="46"/>
      <c r="W132" s="46"/>
      <c r="X132" s="46"/>
      <c r="Y132" s="46"/>
      <c r="Z132" s="46"/>
    </row>
    <row r="133" spans="1:26" ht="15.75" x14ac:dyDescent="0.25">
      <c r="A133" s="46"/>
      <c r="B133" s="208" t="s">
        <v>541</v>
      </c>
      <c r="C133" s="83">
        <f>'Hardware Inputs'!C38</f>
        <v>672</v>
      </c>
      <c r="D133" s="209" t="s">
        <v>126</v>
      </c>
      <c r="E133" s="46"/>
      <c r="F133" s="134" t="s">
        <v>542</v>
      </c>
      <c r="G133" s="46"/>
      <c r="H133" s="46"/>
      <c r="I133" s="46"/>
      <c r="J133" s="46"/>
      <c r="K133" s="46"/>
      <c r="L133" s="46"/>
      <c r="M133" s="46"/>
      <c r="N133" s="46"/>
      <c r="O133" s="46"/>
      <c r="P133" s="46"/>
      <c r="Q133" s="46"/>
      <c r="R133" s="46"/>
      <c r="S133" s="46"/>
      <c r="T133" s="46"/>
      <c r="U133" s="46"/>
      <c r="V133" s="46"/>
      <c r="W133" s="46"/>
      <c r="X133" s="46"/>
      <c r="Y133" s="46"/>
      <c r="Z133" s="46"/>
    </row>
    <row r="134" spans="1:26" x14ac:dyDescent="0.25">
      <c r="A134" s="46"/>
      <c r="B134" s="46"/>
      <c r="C134" s="210" t="s">
        <v>919</v>
      </c>
      <c r="D134" s="210" t="s">
        <v>571</v>
      </c>
      <c r="E134" s="210" t="s">
        <v>647</v>
      </c>
      <c r="F134" s="46"/>
      <c r="G134" s="46"/>
      <c r="H134" s="46"/>
      <c r="I134" s="46"/>
      <c r="J134" s="46"/>
      <c r="K134" s="46"/>
      <c r="L134" s="46"/>
      <c r="M134" s="46"/>
      <c r="N134" s="46"/>
      <c r="O134" s="46"/>
      <c r="P134" s="46"/>
      <c r="Q134" s="46"/>
      <c r="R134" s="46"/>
      <c r="S134" s="46"/>
      <c r="T134" s="46"/>
      <c r="U134" s="46"/>
      <c r="V134" s="46"/>
      <c r="W134" s="46"/>
      <c r="X134" s="46"/>
      <c r="Y134" s="46"/>
      <c r="Z134" s="46"/>
    </row>
    <row r="135" spans="1:26" x14ac:dyDescent="0.25">
      <c r="A135" s="46"/>
      <c r="B135" s="179" t="s">
        <v>912</v>
      </c>
      <c r="C135" s="71">
        <f>C35</f>
        <v>256</v>
      </c>
      <c r="D135" s="211">
        <f>C36</f>
        <v>1024</v>
      </c>
      <c r="E135" s="71">
        <f>C37</f>
        <v>64</v>
      </c>
      <c r="F135" s="212" t="s">
        <v>913</v>
      </c>
      <c r="G135" s="46"/>
      <c r="H135" s="46"/>
      <c r="I135" s="46"/>
      <c r="J135" s="46"/>
      <c r="K135" s="46"/>
      <c r="L135" s="46"/>
      <c r="M135" s="46"/>
      <c r="N135" s="46"/>
      <c r="O135" s="46"/>
      <c r="P135" s="46"/>
      <c r="Q135" s="46"/>
      <c r="R135" s="46"/>
      <c r="S135" s="46"/>
      <c r="T135" s="46"/>
      <c r="U135" s="46"/>
      <c r="V135" s="46"/>
      <c r="W135" s="46"/>
      <c r="X135" s="46"/>
      <c r="Y135" s="46"/>
      <c r="Z135" s="46"/>
    </row>
    <row r="136" spans="1:26" x14ac:dyDescent="0.25">
      <c r="A136" s="46"/>
      <c r="B136" s="179" t="s">
        <v>914</v>
      </c>
      <c r="C136" s="71">
        <f>C62</f>
        <v>0</v>
      </c>
      <c r="D136" s="211">
        <f>IF(C44="No",0,(C47*C58)+(C48*C60))</f>
        <v>0</v>
      </c>
      <c r="E136" s="71">
        <f>C63</f>
        <v>0</v>
      </c>
      <c r="F136" s="212" t="s">
        <v>913</v>
      </c>
      <c r="G136" s="46"/>
      <c r="H136" s="46"/>
      <c r="I136" s="46"/>
      <c r="J136" s="46"/>
      <c r="K136" s="46"/>
      <c r="L136" s="46"/>
      <c r="M136" s="46"/>
      <c r="N136" s="46"/>
      <c r="O136" s="46"/>
      <c r="P136" s="46"/>
      <c r="Q136" s="46"/>
      <c r="R136" s="46"/>
      <c r="S136" s="46"/>
      <c r="T136" s="46"/>
      <c r="U136" s="46"/>
      <c r="V136" s="46"/>
      <c r="W136" s="46"/>
      <c r="X136" s="46"/>
      <c r="Y136" s="46"/>
      <c r="Z136" s="46"/>
    </row>
    <row r="137" spans="1:26" x14ac:dyDescent="0.25">
      <c r="A137" s="46"/>
      <c r="B137" s="179" t="s">
        <v>915</v>
      </c>
      <c r="C137" s="71">
        <f>C76</f>
        <v>0</v>
      </c>
      <c r="D137" s="211">
        <f>IF(C66="No",0,C67*C74)</f>
        <v>0</v>
      </c>
      <c r="E137" s="71">
        <f>C77</f>
        <v>0</v>
      </c>
      <c r="F137" s="212" t="s">
        <v>913</v>
      </c>
      <c r="G137" s="46"/>
      <c r="H137" s="46"/>
      <c r="I137" s="46"/>
      <c r="J137" s="46"/>
      <c r="K137" s="46"/>
      <c r="L137" s="46"/>
      <c r="M137" s="46"/>
      <c r="N137" s="46"/>
      <c r="O137" s="46"/>
      <c r="P137" s="46"/>
      <c r="Q137" s="46"/>
      <c r="R137" s="46"/>
      <c r="S137" s="46"/>
      <c r="T137" s="46"/>
      <c r="U137" s="46"/>
      <c r="V137" s="46"/>
      <c r="W137" s="46"/>
      <c r="X137" s="46"/>
      <c r="Y137" s="46"/>
      <c r="Z137" s="46"/>
    </row>
    <row r="138" spans="1:26" x14ac:dyDescent="0.25">
      <c r="A138" s="46"/>
      <c r="B138" s="179" t="s">
        <v>916</v>
      </c>
      <c r="C138" s="71">
        <f>C93</f>
        <v>0</v>
      </c>
      <c r="D138" s="211">
        <f>IF(C83="No",0,C84*C91)</f>
        <v>0</v>
      </c>
      <c r="E138" s="71">
        <f>C94</f>
        <v>0</v>
      </c>
      <c r="F138" s="212" t="s">
        <v>913</v>
      </c>
      <c r="G138" s="46"/>
      <c r="H138" s="46"/>
      <c r="I138" s="46"/>
      <c r="J138" s="46"/>
      <c r="K138" s="46"/>
      <c r="L138" s="46"/>
      <c r="M138" s="46"/>
      <c r="N138" s="46"/>
      <c r="O138" s="46"/>
      <c r="P138" s="46"/>
      <c r="Q138" s="46"/>
      <c r="R138" s="46"/>
      <c r="S138" s="46"/>
      <c r="T138" s="46"/>
      <c r="U138" s="46"/>
      <c r="V138" s="46"/>
      <c r="W138" s="46"/>
      <c r="X138" s="46"/>
      <c r="Y138" s="46"/>
      <c r="Z138" s="46"/>
    </row>
    <row r="139" spans="1:26" x14ac:dyDescent="0.25">
      <c r="A139" s="46"/>
      <c r="B139" s="213" t="s">
        <v>917</v>
      </c>
      <c r="C139" s="75">
        <f>'SOFS Planner'!C43</f>
        <v>24</v>
      </c>
      <c r="D139" s="214">
        <f>'SOFS Planner'!C44</f>
        <v>48</v>
      </c>
      <c r="E139" s="75">
        <f>C139</f>
        <v>24</v>
      </c>
      <c r="F139" s="215" t="s">
        <v>918</v>
      </c>
      <c r="G139" s="46"/>
      <c r="H139" s="46"/>
      <c r="I139" s="46"/>
      <c r="J139" s="46"/>
      <c r="K139" s="46"/>
      <c r="L139" s="46"/>
      <c r="M139" s="46"/>
      <c r="N139" s="46"/>
      <c r="O139" s="46"/>
      <c r="P139" s="46"/>
      <c r="Q139" s="46"/>
      <c r="R139" s="46"/>
      <c r="S139" s="46"/>
      <c r="T139" s="46"/>
      <c r="U139" s="46"/>
      <c r="V139" s="46"/>
      <c r="W139" s="46"/>
      <c r="X139" s="46"/>
      <c r="Y139" s="46"/>
      <c r="Z139" s="46"/>
    </row>
    <row r="140" spans="1:26" x14ac:dyDescent="0.25">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spans="1:26" ht="15.75" x14ac:dyDescent="0.25">
      <c r="A141" s="46"/>
      <c r="B141" s="216" t="s">
        <v>543</v>
      </c>
      <c r="C141" s="217">
        <f>SUM(C135:C139)</f>
        <v>280</v>
      </c>
      <c r="D141" s="218" t="s">
        <v>484</v>
      </c>
      <c r="E141" s="219"/>
      <c r="F141" s="134" t="s">
        <v>544</v>
      </c>
      <c r="G141" s="46"/>
      <c r="H141" s="46"/>
      <c r="I141" s="46"/>
      <c r="J141" s="46"/>
      <c r="K141" s="46"/>
      <c r="L141" s="46"/>
      <c r="M141" s="46"/>
      <c r="N141" s="46"/>
      <c r="O141" s="46"/>
      <c r="P141" s="46"/>
      <c r="Q141" s="46"/>
      <c r="R141" s="46"/>
      <c r="S141" s="46"/>
      <c r="T141" s="46"/>
      <c r="U141" s="46"/>
      <c r="V141" s="46"/>
      <c r="W141" s="46"/>
      <c r="X141" s="46"/>
      <c r="Y141" s="46"/>
      <c r="Z141" s="46"/>
    </row>
    <row r="142" spans="1:26" ht="15.75" x14ac:dyDescent="0.25">
      <c r="A142" s="46"/>
      <c r="B142" s="220" t="s">
        <v>655</v>
      </c>
      <c r="C142" s="221">
        <f>SUM(E135:E138)+C139</f>
        <v>88</v>
      </c>
      <c r="D142" s="222" t="s">
        <v>484</v>
      </c>
      <c r="E142" s="219"/>
      <c r="F142" s="134" t="s">
        <v>656</v>
      </c>
      <c r="G142" s="46"/>
      <c r="H142" s="46"/>
      <c r="I142" s="46"/>
      <c r="J142" s="46"/>
      <c r="K142" s="46"/>
      <c r="L142" s="46"/>
      <c r="M142" s="46"/>
      <c r="N142" s="46"/>
      <c r="O142" s="46"/>
      <c r="P142" s="46"/>
      <c r="Q142" s="46"/>
      <c r="R142" s="46"/>
      <c r="S142" s="46"/>
      <c r="T142" s="46"/>
      <c r="U142" s="46"/>
      <c r="V142" s="46"/>
      <c r="W142" s="46"/>
      <c r="X142" s="46"/>
      <c r="Y142" s="46"/>
      <c r="Z142" s="46"/>
    </row>
    <row r="143" spans="1:26" ht="15.75" x14ac:dyDescent="0.25">
      <c r="A143" s="46"/>
      <c r="B143" s="223" t="s">
        <v>920</v>
      </c>
      <c r="C143" s="224">
        <f>SUM(D135:D139)</f>
        <v>1072</v>
      </c>
      <c r="D143" s="225" t="s">
        <v>126</v>
      </c>
      <c r="E143" s="219"/>
      <c r="F143" s="181" t="s">
        <v>921</v>
      </c>
      <c r="G143" s="46"/>
      <c r="H143" s="46"/>
      <c r="I143" s="46"/>
      <c r="J143" s="46"/>
      <c r="K143" s="46"/>
      <c r="L143" s="46"/>
      <c r="M143" s="46"/>
      <c r="N143" s="46"/>
      <c r="O143" s="46"/>
      <c r="P143" s="46"/>
      <c r="Q143" s="46"/>
      <c r="R143" s="46"/>
      <c r="S143" s="46"/>
      <c r="T143" s="46"/>
      <c r="U143" s="46"/>
      <c r="V143" s="46"/>
      <c r="W143" s="46"/>
      <c r="X143" s="46"/>
      <c r="Y143" s="46"/>
      <c r="Z143" s="46"/>
    </row>
    <row r="144" spans="1:26" x14ac:dyDescent="0.25">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spans="1:26" ht="20.25" x14ac:dyDescent="0.3">
      <c r="A145" s="46"/>
      <c r="B145" s="226" t="s">
        <v>545</v>
      </c>
      <c r="C145" s="227">
        <f>C132-C141</f>
        <v>-88</v>
      </c>
      <c r="D145" s="228" t="s">
        <v>484</v>
      </c>
      <c r="E145" s="46"/>
      <c r="F145" s="202" t="str">
        <f>IF(C145&lt;0,"OVER CAPACITY!",IF(C141/C132&gt;0.7,"Caution: Above 70%.","Healthy."))</f>
        <v>OVER CAPACITY!</v>
      </c>
      <c r="G145" s="46"/>
      <c r="H145" s="46"/>
      <c r="I145" s="46"/>
      <c r="J145" s="46"/>
      <c r="K145" s="46"/>
      <c r="L145" s="46"/>
      <c r="M145" s="46"/>
      <c r="N145" s="46"/>
      <c r="O145" s="46"/>
      <c r="P145" s="46"/>
      <c r="Q145" s="46"/>
      <c r="R145" s="46"/>
      <c r="S145" s="46"/>
      <c r="T145" s="46"/>
      <c r="U145" s="46"/>
      <c r="V145" s="46"/>
      <c r="W145" s="46"/>
      <c r="X145" s="46"/>
      <c r="Y145" s="46"/>
      <c r="Z145" s="46"/>
    </row>
    <row r="146" spans="1:26" ht="20.25" x14ac:dyDescent="0.3">
      <c r="A146" s="46"/>
      <c r="B146" s="226" t="s">
        <v>546</v>
      </c>
      <c r="C146" s="227">
        <f>C133-C143</f>
        <v>-400</v>
      </c>
      <c r="D146" s="228" t="s">
        <v>126</v>
      </c>
      <c r="E146" s="46"/>
      <c r="F146" s="202" t="str">
        <f>IF(C146&lt;0,"OVER CAPACITY!",IF(C143/C133&gt;0.7,"Caution: Above 70%.","Healthy."))</f>
        <v>OVER CAPACITY!</v>
      </c>
      <c r="G146" s="46"/>
      <c r="H146" s="46"/>
      <c r="I146" s="46"/>
      <c r="J146" s="46"/>
      <c r="K146" s="46"/>
      <c r="L146" s="46"/>
      <c r="M146" s="46"/>
      <c r="N146" s="46"/>
      <c r="O146" s="46"/>
      <c r="P146" s="46"/>
      <c r="Q146" s="46"/>
      <c r="R146" s="46"/>
      <c r="S146" s="46"/>
      <c r="T146" s="46"/>
      <c r="U146" s="46"/>
      <c r="V146" s="46"/>
      <c r="W146" s="46"/>
      <c r="X146" s="46"/>
      <c r="Y146" s="46"/>
      <c r="Z146" s="46"/>
    </row>
    <row r="147" spans="1:26" x14ac:dyDescent="0.25">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spans="1:26" x14ac:dyDescent="0.25">
      <c r="A148" s="46"/>
      <c r="B148" s="229" t="s">
        <v>547</v>
      </c>
      <c r="C148" s="230"/>
      <c r="D148" s="231"/>
      <c r="E148" s="232"/>
      <c r="F148" s="232"/>
      <c r="G148" s="46"/>
      <c r="H148" s="46"/>
      <c r="I148" s="46"/>
      <c r="J148" s="46"/>
      <c r="K148" s="46"/>
      <c r="L148" s="46"/>
      <c r="M148" s="46"/>
      <c r="N148" s="46"/>
      <c r="O148" s="46"/>
      <c r="P148" s="46"/>
      <c r="Q148" s="46"/>
      <c r="R148" s="46"/>
      <c r="S148" s="46"/>
      <c r="T148" s="46"/>
      <c r="U148" s="46"/>
      <c r="V148" s="46"/>
      <c r="W148" s="46"/>
      <c r="X148" s="46"/>
      <c r="Y148" s="46"/>
      <c r="Z148" s="46"/>
    </row>
    <row r="149" spans="1:26" x14ac:dyDescent="0.25">
      <c r="A149" s="46"/>
      <c r="B149" s="233" t="s">
        <v>548</v>
      </c>
      <c r="C149" s="234">
        <f>'Hardware Inputs'!C39</f>
        <v>128</v>
      </c>
      <c r="D149" s="235" t="s">
        <v>484</v>
      </c>
      <c r="E149" s="46"/>
      <c r="F149" s="46"/>
      <c r="G149" s="46"/>
      <c r="H149" s="46"/>
      <c r="I149" s="46"/>
      <c r="J149" s="46"/>
      <c r="K149" s="46"/>
      <c r="L149" s="46"/>
      <c r="M149" s="46"/>
      <c r="N149" s="46"/>
      <c r="O149" s="46"/>
      <c r="P149" s="46"/>
      <c r="Q149" s="46"/>
      <c r="R149" s="46"/>
      <c r="S149" s="46"/>
      <c r="T149" s="46"/>
      <c r="U149" s="46"/>
      <c r="V149" s="46"/>
      <c r="W149" s="46"/>
      <c r="X149" s="46"/>
      <c r="Y149" s="46"/>
      <c r="Z149" s="46"/>
    </row>
    <row r="150" spans="1:26" x14ac:dyDescent="0.25">
      <c r="A150" s="46"/>
      <c r="B150" s="233" t="s">
        <v>549</v>
      </c>
      <c r="C150" s="234">
        <f>'Hardware Inputs'!C40</f>
        <v>448</v>
      </c>
      <c r="D150" s="235" t="s">
        <v>126</v>
      </c>
      <c r="E150" s="46"/>
      <c r="F150" s="46"/>
      <c r="G150" s="46"/>
      <c r="H150" s="46"/>
      <c r="I150" s="46"/>
      <c r="J150" s="46"/>
      <c r="K150" s="46"/>
      <c r="L150" s="46"/>
      <c r="M150" s="46"/>
      <c r="N150" s="46"/>
      <c r="O150" s="46"/>
      <c r="P150" s="46"/>
      <c r="Q150" s="46"/>
      <c r="R150" s="46"/>
      <c r="S150" s="46"/>
      <c r="T150" s="46"/>
      <c r="U150" s="46"/>
      <c r="V150" s="46"/>
      <c r="W150" s="46"/>
      <c r="X150" s="46"/>
      <c r="Y150" s="46"/>
      <c r="Z150" s="46"/>
    </row>
    <row r="151" spans="1:26" x14ac:dyDescent="0.25">
      <c r="A151" s="46"/>
      <c r="B151" s="236" t="s">
        <v>550</v>
      </c>
      <c r="C151" s="237" t="str">
        <f>IF(C141&lt;=C149,"✓ PASS — "&amp;C141&amp;" of "&amp;C149&amp;" vCPU ("&amp;ROUND(C141/C149*100,0)&amp;"%)","✗ FAIL — Need "&amp;C141&amp;" but N+1 only has "&amp;C149&amp;" vCPU")</f>
        <v>✗ FAIL — Need 280 but N+1 only has 128 vCPU</v>
      </c>
      <c r="D151" s="238"/>
      <c r="E151" s="46"/>
      <c r="F151" s="46"/>
      <c r="G151" s="46"/>
      <c r="H151" s="46"/>
      <c r="I151" s="46"/>
      <c r="J151" s="46"/>
      <c r="K151" s="46"/>
      <c r="L151" s="46"/>
      <c r="M151" s="46"/>
      <c r="N151" s="46"/>
      <c r="O151" s="46"/>
      <c r="P151" s="46"/>
      <c r="Q151" s="46"/>
      <c r="R151" s="46"/>
      <c r="S151" s="46"/>
      <c r="T151" s="46"/>
      <c r="U151" s="46"/>
      <c r="V151" s="46"/>
      <c r="W151" s="46"/>
      <c r="X151" s="46"/>
      <c r="Y151" s="46"/>
      <c r="Z151" s="46"/>
    </row>
    <row r="152" spans="1:26" x14ac:dyDescent="0.25">
      <c r="A152" s="46"/>
      <c r="B152" s="236" t="s">
        <v>551</v>
      </c>
      <c r="C152" s="237" t="str">
        <f>IF(C143&lt;=C150,"✓ PASS — "&amp;C143&amp;" of "&amp;C150&amp;" GB ("&amp;ROUND(C143/C150*100,0)&amp;"%)","✗ FAIL — Need "&amp;C143&amp;" GB but N+1 only has "&amp;C150&amp;" GB")</f>
        <v>✗ FAIL — Need 1072 GB but N+1 only has 448 GB</v>
      </c>
      <c r="D152" s="238"/>
      <c r="E152" s="46"/>
      <c r="F152" s="46"/>
      <c r="G152" s="46"/>
      <c r="H152" s="46"/>
      <c r="I152" s="46"/>
      <c r="J152" s="46"/>
      <c r="K152" s="46"/>
      <c r="L152" s="46"/>
      <c r="M152" s="46"/>
      <c r="N152" s="46"/>
      <c r="O152" s="46"/>
      <c r="P152" s="46"/>
      <c r="Q152" s="46"/>
      <c r="R152" s="46"/>
      <c r="S152" s="46"/>
      <c r="T152" s="46"/>
      <c r="U152" s="46"/>
      <c r="V152" s="46"/>
      <c r="W152" s="46"/>
      <c r="X152" s="46"/>
      <c r="Y152" s="46"/>
      <c r="Z152" s="46"/>
    </row>
    <row r="153" spans="1:26" x14ac:dyDescent="0.25">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spans="1:26" x14ac:dyDescent="0.25">
      <c r="A154" s="46"/>
      <c r="B154" s="59" t="s">
        <v>922</v>
      </c>
      <c r="C154" s="60"/>
      <c r="D154" s="60"/>
      <c r="E154" s="60"/>
      <c r="F154" s="60"/>
      <c r="G154" s="46"/>
      <c r="H154" s="46"/>
      <c r="I154" s="46"/>
      <c r="J154" s="46"/>
      <c r="K154" s="46"/>
      <c r="L154" s="46"/>
      <c r="M154" s="46"/>
      <c r="N154" s="46"/>
      <c r="O154" s="46"/>
      <c r="P154" s="46"/>
      <c r="Q154" s="46"/>
      <c r="R154" s="46"/>
      <c r="S154" s="46"/>
      <c r="T154" s="46"/>
      <c r="U154" s="46"/>
      <c r="V154" s="46"/>
      <c r="W154" s="46"/>
      <c r="X154" s="46"/>
      <c r="Y154" s="46"/>
      <c r="Z154" s="46"/>
    </row>
    <row r="155" spans="1:26" x14ac:dyDescent="0.25">
      <c r="A155" s="46"/>
      <c r="B155" s="59" t="s">
        <v>552</v>
      </c>
      <c r="C155" s="239" t="s">
        <v>923</v>
      </c>
      <c r="D155" s="239" t="s">
        <v>924</v>
      </c>
      <c r="E155" s="239" t="s">
        <v>925</v>
      </c>
      <c r="F155" s="239" t="s">
        <v>553</v>
      </c>
      <c r="G155" s="46"/>
      <c r="H155" s="46"/>
      <c r="I155" s="46"/>
      <c r="J155" s="46"/>
      <c r="K155" s="46"/>
      <c r="L155" s="46"/>
      <c r="M155" s="46"/>
      <c r="N155" s="46"/>
      <c r="O155" s="46"/>
      <c r="P155" s="46"/>
      <c r="Q155" s="46"/>
      <c r="R155" s="46"/>
      <c r="S155" s="46"/>
      <c r="T155" s="46"/>
      <c r="U155" s="46"/>
      <c r="V155" s="46"/>
      <c r="W155" s="46"/>
      <c r="X155" s="46"/>
      <c r="Y155" s="46"/>
      <c r="Z155" s="46"/>
    </row>
    <row r="156" spans="1:26" x14ac:dyDescent="0.25">
      <c r="A156" s="46"/>
      <c r="B156" s="63" t="s">
        <v>555</v>
      </c>
      <c r="C156" s="71">
        <f>IF(C8="No",0,ROUND(C35/1,0))</f>
        <v>256</v>
      </c>
      <c r="D156" s="240">
        <f>C156+E136+E137+E138+E139</f>
        <v>280</v>
      </c>
      <c r="E156" s="241" t="str">
        <f>IF(D156&lt;='Hardware Inputs'!C37,"✓ PASS","✗ FAIL")</f>
        <v>✗ FAIL</v>
      </c>
      <c r="F156" s="242" t="str">
        <f>IF(D156&lt;='Hardware Inputs'!C39,"✓ PASS","✗ FAIL")</f>
        <v>✗ FAIL</v>
      </c>
      <c r="G156" s="46"/>
      <c r="H156" s="46"/>
      <c r="I156" s="46"/>
      <c r="J156" s="46"/>
      <c r="K156" s="46"/>
      <c r="L156" s="46"/>
      <c r="M156" s="46"/>
      <c r="N156" s="46"/>
      <c r="O156" s="46"/>
      <c r="P156" s="46"/>
      <c r="Q156" s="46"/>
      <c r="R156" s="46"/>
      <c r="S156" s="46"/>
      <c r="T156" s="46"/>
      <c r="U156" s="46"/>
      <c r="V156" s="46"/>
      <c r="W156" s="46"/>
      <c r="X156" s="46"/>
      <c r="Y156" s="46"/>
      <c r="Z156" s="46"/>
    </row>
    <row r="157" spans="1:26" x14ac:dyDescent="0.25">
      <c r="A157" s="46"/>
      <c r="B157" s="243" t="s">
        <v>583</v>
      </c>
      <c r="C157" s="71">
        <f>IF(C8="No",0,ROUND(C35/2,0))</f>
        <v>128</v>
      </c>
      <c r="D157" s="71">
        <f>C157+E136+E137+E138+E139</f>
        <v>152</v>
      </c>
      <c r="E157" s="241" t="str">
        <f>IF(D157&lt;='Hardware Inputs'!C37,"✓ PASS","✗ FAIL")</f>
        <v>✓ PASS</v>
      </c>
      <c r="F157" s="242" t="str">
        <f>IF(D157&lt;='Hardware Inputs'!C39,"✓ PASS","✗ FAIL")</f>
        <v>✗ FAIL</v>
      </c>
      <c r="G157" s="46"/>
      <c r="H157" s="46"/>
      <c r="I157" s="46"/>
      <c r="J157" s="46"/>
      <c r="K157" s="46"/>
      <c r="L157" s="46"/>
      <c r="M157" s="46"/>
      <c r="N157" s="46"/>
      <c r="O157" s="46"/>
      <c r="P157" s="46"/>
      <c r="Q157" s="46"/>
      <c r="R157" s="46"/>
      <c r="S157" s="46"/>
      <c r="T157" s="46"/>
      <c r="U157" s="46"/>
      <c r="V157" s="46"/>
      <c r="W157" s="46"/>
      <c r="X157" s="46"/>
      <c r="Y157" s="46"/>
      <c r="Z157" s="46"/>
    </row>
    <row r="158" spans="1:26" x14ac:dyDescent="0.25">
      <c r="A158" s="46"/>
      <c r="B158" s="243" t="s">
        <v>584</v>
      </c>
      <c r="C158" s="71">
        <f>IF(C8="No",0,ROUND(C35/3,0))</f>
        <v>85</v>
      </c>
      <c r="D158" s="71">
        <f>C158+E136+E137+E138+E139</f>
        <v>109</v>
      </c>
      <c r="E158" s="241" t="str">
        <f>IF(D158&lt;='Hardware Inputs'!C37,"✓ PASS","✗ FAIL")</f>
        <v>✓ PASS</v>
      </c>
      <c r="F158" s="242" t="str">
        <f>IF(D158&lt;='Hardware Inputs'!C39,"✓ PASS","✗ FAIL")</f>
        <v>✓ PASS</v>
      </c>
      <c r="G158" s="46"/>
      <c r="H158" s="46"/>
      <c r="I158" s="46"/>
      <c r="J158" s="46"/>
      <c r="K158" s="46"/>
      <c r="L158" s="46"/>
      <c r="M158" s="46"/>
      <c r="N158" s="46"/>
      <c r="O158" s="46"/>
      <c r="P158" s="46"/>
      <c r="Q158" s="46"/>
      <c r="R158" s="46"/>
      <c r="S158" s="46"/>
      <c r="T158" s="46"/>
      <c r="U158" s="46"/>
      <c r="V158" s="46"/>
      <c r="W158" s="46"/>
      <c r="X158" s="46"/>
      <c r="Y158" s="46"/>
      <c r="Z158" s="46"/>
    </row>
    <row r="159" spans="1:26" x14ac:dyDescent="0.25">
      <c r="A159" s="46"/>
      <c r="B159" s="243" t="s">
        <v>515</v>
      </c>
      <c r="C159" s="71">
        <f>IF(C8="No",0,ROUND(C35/4,0))</f>
        <v>64</v>
      </c>
      <c r="D159" s="71">
        <f>C159+E136+E137+E138+E139</f>
        <v>88</v>
      </c>
      <c r="E159" s="241" t="str">
        <f>IF(D159&lt;='Hardware Inputs'!C37,"✓ PASS","✗ FAIL")</f>
        <v>✓ PASS</v>
      </c>
      <c r="F159" s="242" t="str">
        <f>IF(D159&lt;='Hardware Inputs'!C39,"✓ PASS","✗ FAIL")</f>
        <v>✓ PASS</v>
      </c>
      <c r="G159" s="46"/>
      <c r="H159" s="46"/>
      <c r="I159" s="46"/>
      <c r="J159" s="46"/>
      <c r="K159" s="46"/>
      <c r="L159" s="46"/>
      <c r="M159" s="46"/>
      <c r="N159" s="46"/>
      <c r="O159" s="46"/>
      <c r="P159" s="46"/>
      <c r="Q159" s="46"/>
      <c r="R159" s="46"/>
      <c r="S159" s="46"/>
      <c r="T159" s="46"/>
      <c r="U159" s="46"/>
      <c r="V159" s="46"/>
      <c r="W159" s="46"/>
      <c r="X159" s="46"/>
      <c r="Y159" s="46"/>
      <c r="Z159" s="46"/>
    </row>
    <row r="160" spans="1:26" x14ac:dyDescent="0.25">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spans="1:26" x14ac:dyDescent="0.25">
      <c r="A161" s="46"/>
      <c r="B161" s="134" t="s">
        <v>639</v>
      </c>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spans="1:26" x14ac:dyDescent="0.25">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spans="1:26" x14ac:dyDescent="0.25">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spans="1:26" x14ac:dyDescent="0.25">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spans="1:26" x14ac:dyDescent="0.2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spans="1:26" x14ac:dyDescent="0.25">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spans="1:26" x14ac:dyDescent="0.25">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spans="1:26" x14ac:dyDescent="0.25">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spans="1:26" x14ac:dyDescent="0.25">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spans="1:26" x14ac:dyDescent="0.25">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spans="1:26" x14ac:dyDescent="0.25">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spans="1:26" x14ac:dyDescent="0.25">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spans="1:26" x14ac:dyDescent="0.25">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spans="1:26" x14ac:dyDescent="0.25">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spans="1:26" x14ac:dyDescent="0.2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spans="1:26" x14ac:dyDescent="0.25">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spans="1:26" x14ac:dyDescent="0.25">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spans="1:26" x14ac:dyDescent="0.25">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spans="1:26" x14ac:dyDescent="0.25">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spans="1:26" x14ac:dyDescent="0.25">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spans="1:26" x14ac:dyDescent="0.25">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spans="1:26" x14ac:dyDescent="0.25">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spans="1:26" x14ac:dyDescent="0.25">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spans="1:26" x14ac:dyDescent="0.25">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spans="1:26" x14ac:dyDescent="0.2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spans="1:26" x14ac:dyDescent="0.25">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spans="1:26" x14ac:dyDescent="0.25">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spans="1:26" x14ac:dyDescent="0.25">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spans="1:26" x14ac:dyDescent="0.25">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spans="1:26" x14ac:dyDescent="0.25">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spans="1:26" x14ac:dyDescent="0.25">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spans="1:26" x14ac:dyDescent="0.25">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spans="1:26" x14ac:dyDescent="0.25">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spans="1:26" x14ac:dyDescent="0.25">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spans="1:26" x14ac:dyDescent="0.2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spans="1:26" x14ac:dyDescent="0.25">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spans="1:26" x14ac:dyDescent="0.25">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spans="1:26" x14ac:dyDescent="0.25">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spans="1:26" x14ac:dyDescent="0.25">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spans="1:26" x14ac:dyDescent="0.25">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spans="1:26" x14ac:dyDescent="0.25">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spans="1:26" x14ac:dyDescent="0.25">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spans="1:26" x14ac:dyDescent="0.25">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spans="1:26" x14ac:dyDescent="0.25">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spans="1:26" x14ac:dyDescent="0.2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spans="1:26" x14ac:dyDescent="0.25">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spans="1:26" x14ac:dyDescent="0.25">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spans="1:26" x14ac:dyDescent="0.25">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spans="1:26" x14ac:dyDescent="0.25">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spans="1:26" x14ac:dyDescent="0.25">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spans="1:26" x14ac:dyDescent="0.25">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spans="1:26" x14ac:dyDescent="0.25">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spans="1:26" x14ac:dyDescent="0.25">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spans="1:26" x14ac:dyDescent="0.25">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spans="1:26" x14ac:dyDescent="0.2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spans="1:26" x14ac:dyDescent="0.25">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spans="1:26" x14ac:dyDescent="0.25">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spans="1:26" x14ac:dyDescent="0.25">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spans="1:26" x14ac:dyDescent="0.25">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spans="1:26" x14ac:dyDescent="0.25">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spans="1:26" x14ac:dyDescent="0.25">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spans="1:26" x14ac:dyDescent="0.25">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spans="1:26" x14ac:dyDescent="0.25">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spans="1:26" x14ac:dyDescent="0.25">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spans="1:26" x14ac:dyDescent="0.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spans="1:26" x14ac:dyDescent="0.25">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spans="1:26" x14ac:dyDescent="0.25">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spans="1:26" x14ac:dyDescent="0.25">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spans="1:26" x14ac:dyDescent="0.25">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spans="1:26" x14ac:dyDescent="0.25">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spans="1:26" x14ac:dyDescent="0.25">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spans="1:26" x14ac:dyDescent="0.25">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spans="1:26" x14ac:dyDescent="0.25">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spans="1:26" x14ac:dyDescent="0.25">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spans="1:26" x14ac:dyDescent="0.2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spans="1:26" x14ac:dyDescent="0.25">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spans="1:26" x14ac:dyDescent="0.25">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spans="1:26" x14ac:dyDescent="0.25">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spans="1:26" x14ac:dyDescent="0.25">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spans="1:26" x14ac:dyDescent="0.25">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spans="1:26" x14ac:dyDescent="0.25">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spans="1:26" x14ac:dyDescent="0.25">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spans="1:26" x14ac:dyDescent="0.25">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spans="1:26" x14ac:dyDescent="0.25">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spans="1:26" x14ac:dyDescent="0.2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spans="1:26" x14ac:dyDescent="0.25">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spans="1:26" x14ac:dyDescent="0.25">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spans="1:26" x14ac:dyDescent="0.25">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spans="1:26" x14ac:dyDescent="0.25">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spans="1:26" x14ac:dyDescent="0.25">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spans="1:26" x14ac:dyDescent="0.25">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spans="1:26" x14ac:dyDescent="0.25">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spans="1:26" x14ac:dyDescent="0.25">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spans="1:26" x14ac:dyDescent="0.25">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spans="1:26" x14ac:dyDescent="0.2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spans="1:26" x14ac:dyDescent="0.25">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spans="1:26" x14ac:dyDescent="0.25">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spans="1:26" x14ac:dyDescent="0.25">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spans="1:26" x14ac:dyDescent="0.25">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spans="1:26" x14ac:dyDescent="0.25">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spans="1:26" x14ac:dyDescent="0.25">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spans="1:26" x14ac:dyDescent="0.25">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spans="1:26" x14ac:dyDescent="0.25">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spans="1:26" x14ac:dyDescent="0.25">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spans="1:26" x14ac:dyDescent="0.2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spans="1:26" x14ac:dyDescent="0.25">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spans="1:26" x14ac:dyDescent="0.25">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spans="1:26" x14ac:dyDescent="0.25">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spans="1:26" x14ac:dyDescent="0.25">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spans="1:26" x14ac:dyDescent="0.25">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spans="1:26" x14ac:dyDescent="0.25">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spans="1:26" x14ac:dyDescent="0.25">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spans="1:26" x14ac:dyDescent="0.25">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spans="1:26" x14ac:dyDescent="0.25">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spans="1:26" x14ac:dyDescent="0.2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spans="1:26" x14ac:dyDescent="0.25">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spans="1:26" x14ac:dyDescent="0.25">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spans="1:26" x14ac:dyDescent="0.25">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spans="1:26" x14ac:dyDescent="0.25">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spans="1:26" x14ac:dyDescent="0.25">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spans="1:26" x14ac:dyDescent="0.25">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spans="1:26" x14ac:dyDescent="0.25">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spans="1:26" x14ac:dyDescent="0.25">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spans="1:26" x14ac:dyDescent="0.25">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spans="1:26" x14ac:dyDescent="0.2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spans="1:26" x14ac:dyDescent="0.25">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spans="1:26" x14ac:dyDescent="0.25">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spans="1:26" x14ac:dyDescent="0.25">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spans="1:26" x14ac:dyDescent="0.25">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spans="1:26" x14ac:dyDescent="0.25">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spans="1:26" x14ac:dyDescent="0.25">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spans="1:26" x14ac:dyDescent="0.25">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spans="1:26" x14ac:dyDescent="0.25">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spans="1:26" x14ac:dyDescent="0.25">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spans="1:26" x14ac:dyDescent="0.2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spans="1:26" x14ac:dyDescent="0.25">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spans="1:26" x14ac:dyDescent="0.25">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spans="1:26" x14ac:dyDescent="0.25">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spans="1:26" x14ac:dyDescent="0.25">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spans="1:26" x14ac:dyDescent="0.25">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spans="1:26" x14ac:dyDescent="0.25">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spans="1:26" x14ac:dyDescent="0.25">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spans="1:26" x14ac:dyDescent="0.25">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spans="1:26" x14ac:dyDescent="0.25">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spans="1:26" x14ac:dyDescent="0.2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spans="1:26" x14ac:dyDescent="0.25">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spans="1:26" x14ac:dyDescent="0.25">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spans="1:26" x14ac:dyDescent="0.25">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spans="1:26" x14ac:dyDescent="0.25">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spans="1:26" x14ac:dyDescent="0.25">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spans="1:26" x14ac:dyDescent="0.25">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spans="1:26" x14ac:dyDescent="0.25">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spans="1:26" x14ac:dyDescent="0.25">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spans="1:26" x14ac:dyDescent="0.25">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spans="1:26" x14ac:dyDescent="0.2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spans="1:26" x14ac:dyDescent="0.25">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spans="1:26" x14ac:dyDescent="0.25">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spans="1:26" x14ac:dyDescent="0.25">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spans="1:26" x14ac:dyDescent="0.25">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spans="1:26" x14ac:dyDescent="0.25">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spans="1:26" x14ac:dyDescent="0.25">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spans="1:26" x14ac:dyDescent="0.25">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spans="1:26" x14ac:dyDescent="0.25">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spans="1:26" x14ac:dyDescent="0.25">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spans="1:26" x14ac:dyDescent="0.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spans="1:26" x14ac:dyDescent="0.25">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spans="1:26" x14ac:dyDescent="0.25">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spans="1:26" x14ac:dyDescent="0.25">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spans="1:26" x14ac:dyDescent="0.25">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spans="1:26" x14ac:dyDescent="0.25">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spans="1:26" x14ac:dyDescent="0.25">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spans="1:26" x14ac:dyDescent="0.25">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spans="1:26" x14ac:dyDescent="0.25">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spans="1:26" x14ac:dyDescent="0.25">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spans="1:26" x14ac:dyDescent="0.2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spans="1:26" x14ac:dyDescent="0.25">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spans="1:26" x14ac:dyDescent="0.25">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spans="1:26" x14ac:dyDescent="0.25">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spans="1:26" x14ac:dyDescent="0.25">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spans="1:26" x14ac:dyDescent="0.25">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spans="1:26" x14ac:dyDescent="0.25">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spans="1:26" x14ac:dyDescent="0.25">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spans="1:26" x14ac:dyDescent="0.25">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spans="1:26" x14ac:dyDescent="0.25">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spans="1:26" x14ac:dyDescent="0.2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spans="1:26" x14ac:dyDescent="0.25">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spans="1:26" x14ac:dyDescent="0.25">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spans="1:26" x14ac:dyDescent="0.25">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spans="1:26" x14ac:dyDescent="0.25">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spans="1:26" x14ac:dyDescent="0.25">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spans="1:26" x14ac:dyDescent="0.25">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spans="1:26" x14ac:dyDescent="0.25">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spans="1:26" x14ac:dyDescent="0.25">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spans="1:26" x14ac:dyDescent="0.25">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spans="1:26" x14ac:dyDescent="0.2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spans="1:26" x14ac:dyDescent="0.25">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spans="1:26" x14ac:dyDescent="0.25">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spans="1:26" x14ac:dyDescent="0.25">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spans="1:26" x14ac:dyDescent="0.25">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spans="1:26" x14ac:dyDescent="0.25">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spans="1:26" x14ac:dyDescent="0.25">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spans="1:26" x14ac:dyDescent="0.25">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spans="1:26" x14ac:dyDescent="0.25">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spans="1:26" x14ac:dyDescent="0.25">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spans="1:26" x14ac:dyDescent="0.2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spans="1:26" x14ac:dyDescent="0.25">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spans="1:26" x14ac:dyDescent="0.25">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spans="1:26" x14ac:dyDescent="0.25">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spans="1:26" x14ac:dyDescent="0.25">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spans="1:26" x14ac:dyDescent="0.25">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spans="1:26" x14ac:dyDescent="0.25">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spans="1:26" x14ac:dyDescent="0.25">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spans="1:26" x14ac:dyDescent="0.25">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spans="1:26" x14ac:dyDescent="0.25">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spans="1:26" x14ac:dyDescent="0.2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spans="1:26" x14ac:dyDescent="0.25">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spans="1:26" x14ac:dyDescent="0.25">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spans="1:26" x14ac:dyDescent="0.25">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spans="1:26" x14ac:dyDescent="0.25">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spans="1:26" x14ac:dyDescent="0.25">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spans="1:26" x14ac:dyDescent="0.25">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spans="1:26" x14ac:dyDescent="0.25">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spans="1:26" x14ac:dyDescent="0.25">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spans="1:26" x14ac:dyDescent="0.25">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spans="1:26" x14ac:dyDescent="0.2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spans="1:26" x14ac:dyDescent="0.25">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spans="1:26" x14ac:dyDescent="0.25">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spans="1:26" x14ac:dyDescent="0.25">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spans="1:26" x14ac:dyDescent="0.25">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spans="1:26" x14ac:dyDescent="0.25">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spans="1:26" x14ac:dyDescent="0.25">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spans="1:26" x14ac:dyDescent="0.25">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spans="1:26" x14ac:dyDescent="0.25">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spans="1:26" x14ac:dyDescent="0.25">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spans="1:26" x14ac:dyDescent="0.2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spans="1:26" x14ac:dyDescent="0.25">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spans="1:26" x14ac:dyDescent="0.25">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spans="1:26" x14ac:dyDescent="0.25">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spans="1:26" x14ac:dyDescent="0.25">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spans="1:26" x14ac:dyDescent="0.25">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spans="1:26" x14ac:dyDescent="0.25">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spans="1:26" x14ac:dyDescent="0.25">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spans="1:26" x14ac:dyDescent="0.25">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spans="1:26" x14ac:dyDescent="0.25">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spans="1:26" x14ac:dyDescent="0.2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spans="1:26" x14ac:dyDescent="0.25">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spans="1:26" x14ac:dyDescent="0.25">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spans="1:26" x14ac:dyDescent="0.25">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spans="1:26" x14ac:dyDescent="0.25">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spans="1:26" x14ac:dyDescent="0.25">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spans="1:26" x14ac:dyDescent="0.25">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spans="1:26" x14ac:dyDescent="0.25">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spans="1:26" x14ac:dyDescent="0.25">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spans="1:26" x14ac:dyDescent="0.25">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spans="1:26" x14ac:dyDescent="0.2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spans="1:26" x14ac:dyDescent="0.25">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spans="1:26" x14ac:dyDescent="0.25">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spans="1:26" x14ac:dyDescent="0.25">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spans="1:26" x14ac:dyDescent="0.25">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spans="1:26" x14ac:dyDescent="0.25">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spans="1:26" x14ac:dyDescent="0.25">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spans="1:26" x14ac:dyDescent="0.25">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spans="1:26" x14ac:dyDescent="0.25">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spans="1:26" x14ac:dyDescent="0.25">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spans="1:26" x14ac:dyDescent="0.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spans="1:26" x14ac:dyDescent="0.25">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spans="1:26" x14ac:dyDescent="0.25">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spans="1:26" x14ac:dyDescent="0.25">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spans="1:26" x14ac:dyDescent="0.25">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spans="1:26" x14ac:dyDescent="0.25">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spans="1:26" x14ac:dyDescent="0.25">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spans="1:26" x14ac:dyDescent="0.25">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spans="1:26" x14ac:dyDescent="0.25">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spans="1:26" x14ac:dyDescent="0.25">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spans="1:26" x14ac:dyDescent="0.2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spans="1:26" x14ac:dyDescent="0.25">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spans="1:26" x14ac:dyDescent="0.25">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spans="1:26" x14ac:dyDescent="0.25">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spans="1:26" x14ac:dyDescent="0.25">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spans="1:26" x14ac:dyDescent="0.25">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spans="1:26" x14ac:dyDescent="0.25">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spans="1:26" x14ac:dyDescent="0.25">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spans="1:26" x14ac:dyDescent="0.25">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spans="1:26" x14ac:dyDescent="0.25">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spans="1:26" x14ac:dyDescent="0.2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spans="1:26" x14ac:dyDescent="0.25">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spans="1:26" x14ac:dyDescent="0.25">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spans="1:26" x14ac:dyDescent="0.25">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spans="1:26" x14ac:dyDescent="0.25">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spans="1:26" x14ac:dyDescent="0.25">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spans="1:26" x14ac:dyDescent="0.25">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spans="1:26" x14ac:dyDescent="0.25">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spans="1:26" x14ac:dyDescent="0.25">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spans="1:26" x14ac:dyDescent="0.25">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spans="1:26" x14ac:dyDescent="0.2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spans="1:26" x14ac:dyDescent="0.25">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spans="1:26" x14ac:dyDescent="0.25">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spans="1:26" x14ac:dyDescent="0.25">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spans="1:26" x14ac:dyDescent="0.25">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spans="1:26" x14ac:dyDescent="0.25">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spans="1:26" x14ac:dyDescent="0.25">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spans="1:26" x14ac:dyDescent="0.25">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spans="1:26" x14ac:dyDescent="0.25">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spans="1:26" x14ac:dyDescent="0.25">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spans="1:26" x14ac:dyDescent="0.2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spans="1:26" x14ac:dyDescent="0.25">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spans="1:26" x14ac:dyDescent="0.25">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spans="1:26" x14ac:dyDescent="0.25">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spans="1:26" x14ac:dyDescent="0.25">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spans="1:26" x14ac:dyDescent="0.25">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spans="1:26" x14ac:dyDescent="0.25">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spans="1:26" x14ac:dyDescent="0.25">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spans="1:26" x14ac:dyDescent="0.25">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spans="1:26" x14ac:dyDescent="0.25">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spans="1:26" x14ac:dyDescent="0.2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spans="1:26" x14ac:dyDescent="0.25">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spans="1:26" x14ac:dyDescent="0.25">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spans="1:26" x14ac:dyDescent="0.25">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spans="1:26" x14ac:dyDescent="0.25">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spans="1:26" x14ac:dyDescent="0.25">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spans="1:26" x14ac:dyDescent="0.25">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spans="1:26" x14ac:dyDescent="0.25">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spans="1:26" x14ac:dyDescent="0.25">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spans="1:26" x14ac:dyDescent="0.25">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spans="1:26" x14ac:dyDescent="0.2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spans="1:26" x14ac:dyDescent="0.25">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spans="1:26" x14ac:dyDescent="0.25">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spans="1:26" x14ac:dyDescent="0.25">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spans="1:26" x14ac:dyDescent="0.25">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spans="1:26" x14ac:dyDescent="0.25">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spans="1:26" x14ac:dyDescent="0.25">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spans="1:26" x14ac:dyDescent="0.25">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spans="1:26" x14ac:dyDescent="0.25">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spans="1:26" x14ac:dyDescent="0.25">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spans="1:26" x14ac:dyDescent="0.2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spans="1:26" x14ac:dyDescent="0.25">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spans="1:26" x14ac:dyDescent="0.25">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spans="1:26" x14ac:dyDescent="0.25">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spans="1:26" x14ac:dyDescent="0.25">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spans="1:26" x14ac:dyDescent="0.25">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sheetData>
  <sheetProtection sheet="1" objects="1" scenarios="1"/>
  <conditionalFormatting sqref="C128">
    <cfRule type="cellIs" dxfId="33" priority="1" operator="lessThan">
      <formula>0</formula>
    </cfRule>
  </conditionalFormatting>
  <conditionalFormatting sqref="D128">
    <cfRule type="expression" dxfId="32" priority="2">
      <formula>$C$128&lt;0</formula>
    </cfRule>
  </conditionalFormatting>
  <conditionalFormatting sqref="F128">
    <cfRule type="expression" dxfId="31" priority="3">
      <formula>$C$128&lt;0</formula>
    </cfRule>
  </conditionalFormatting>
  <conditionalFormatting sqref="C145">
    <cfRule type="cellIs" dxfId="30" priority="4" operator="lessThan">
      <formula>0</formula>
    </cfRule>
  </conditionalFormatting>
  <conditionalFormatting sqref="C146">
    <cfRule type="cellIs" dxfId="29" priority="5" operator="lessThan">
      <formula>0</formula>
    </cfRule>
  </conditionalFormatting>
  <conditionalFormatting sqref="F145">
    <cfRule type="expression" dxfId="28" priority="6">
      <formula>$C$145&lt;0</formula>
    </cfRule>
  </conditionalFormatting>
  <conditionalFormatting sqref="F146">
    <cfRule type="expression" dxfId="27" priority="7">
      <formula>$C$146&lt;0</formula>
    </cfRule>
  </conditionalFormatting>
  <conditionalFormatting sqref="E156">
    <cfRule type="containsText" dxfId="22" priority="12" operator="containsText" text="FAIL">
      <formula>NOT(ISERROR(SEARCH("FAIL",E156)))</formula>
    </cfRule>
  </conditionalFormatting>
  <conditionalFormatting sqref="E156">
    <cfRule type="containsText" dxfId="21" priority="13" operator="containsText" text="PASS">
      <formula>NOT(ISERROR(SEARCH("PASS",E156)))</formula>
    </cfRule>
  </conditionalFormatting>
  <conditionalFormatting sqref="E157">
    <cfRule type="containsText" dxfId="20" priority="14" operator="containsText" text="FAIL">
      <formula>NOT(ISERROR(SEARCH("FAIL",E157)))</formula>
    </cfRule>
  </conditionalFormatting>
  <conditionalFormatting sqref="E157">
    <cfRule type="containsText" dxfId="19" priority="15" operator="containsText" text="PASS">
      <formula>NOT(ISERROR(SEARCH("PASS",E157)))</formula>
    </cfRule>
  </conditionalFormatting>
  <conditionalFormatting sqref="E158">
    <cfRule type="containsText" dxfId="18" priority="16" operator="containsText" text="FAIL">
      <formula>NOT(ISERROR(SEARCH("FAIL",E158)))</formula>
    </cfRule>
  </conditionalFormatting>
  <conditionalFormatting sqref="E158">
    <cfRule type="containsText" dxfId="17" priority="17" operator="containsText" text="PASS">
      <formula>NOT(ISERROR(SEARCH("PASS",E158)))</formula>
    </cfRule>
  </conditionalFormatting>
  <conditionalFormatting sqref="E159">
    <cfRule type="containsText" dxfId="16" priority="18" operator="containsText" text="FAIL">
      <formula>NOT(ISERROR(SEARCH("FAIL",E159)))</formula>
    </cfRule>
  </conditionalFormatting>
  <conditionalFormatting sqref="E159">
    <cfRule type="containsText" dxfId="15" priority="19" operator="containsText" text="PASS">
      <formula>NOT(ISERROR(SEARCH("PASS",E159)))</formula>
    </cfRule>
  </conditionalFormatting>
  <conditionalFormatting sqref="F156">
    <cfRule type="containsText" dxfId="14" priority="20" operator="containsText" text="FAIL">
      <formula>NOT(ISERROR(SEARCH("FAIL",F156)))</formula>
    </cfRule>
  </conditionalFormatting>
  <conditionalFormatting sqref="F156">
    <cfRule type="containsText" dxfId="13" priority="21" operator="containsText" text="PASS">
      <formula>NOT(ISERROR(SEARCH("PASS",F156)))</formula>
    </cfRule>
  </conditionalFormatting>
  <conditionalFormatting sqref="F157">
    <cfRule type="containsText" dxfId="12" priority="22" operator="containsText" text="FAIL">
      <formula>NOT(ISERROR(SEARCH("FAIL",F157)))</formula>
    </cfRule>
  </conditionalFormatting>
  <conditionalFormatting sqref="F157">
    <cfRule type="containsText" dxfId="11" priority="23" operator="containsText" text="PASS">
      <formula>NOT(ISERROR(SEARCH("PASS",F157)))</formula>
    </cfRule>
  </conditionalFormatting>
  <conditionalFormatting sqref="F158">
    <cfRule type="containsText" dxfId="10" priority="24" operator="containsText" text="FAIL">
      <formula>NOT(ISERROR(SEARCH("FAIL",F158)))</formula>
    </cfRule>
  </conditionalFormatting>
  <conditionalFormatting sqref="F158">
    <cfRule type="containsText" dxfId="9" priority="25" operator="containsText" text="PASS">
      <formula>NOT(ISERROR(SEARCH("PASS",F158)))</formula>
    </cfRule>
  </conditionalFormatting>
  <conditionalFormatting sqref="F159">
    <cfRule type="containsText" dxfId="8" priority="26" operator="containsText" text="FAIL">
      <formula>NOT(ISERROR(SEARCH("FAIL",F159)))</formula>
    </cfRule>
  </conditionalFormatting>
  <conditionalFormatting sqref="F159">
    <cfRule type="containsText" dxfId="7" priority="27" operator="containsText" text="PASS">
      <formula>NOT(ISERROR(SEARCH("PASS",F159)))</formula>
    </cfRule>
  </conditionalFormatting>
  <conditionalFormatting sqref="C46:C63">
    <cfRule type="expression" dxfId="6" priority="28">
      <formula>$C$44="No"</formula>
    </cfRule>
  </conditionalFormatting>
  <conditionalFormatting sqref="C67:C77">
    <cfRule type="expression" dxfId="5" priority="29">
      <formula>$C$66="No"</formula>
    </cfRule>
  </conditionalFormatting>
  <conditionalFormatting sqref="C84:C94">
    <cfRule type="expression" dxfId="4" priority="30">
      <formula>$C$83="No"</formula>
    </cfRule>
  </conditionalFormatting>
  <conditionalFormatting sqref="C100:C103">
    <cfRule type="expression" dxfId="3" priority="31">
      <formula>$C$99="No"</formula>
    </cfRule>
  </conditionalFormatting>
  <conditionalFormatting sqref="C107:C110">
    <cfRule type="expression" dxfId="2" priority="32">
      <formula>$C$106="No"</formula>
    </cfRule>
  </conditionalFormatting>
  <conditionalFormatting sqref="C129">
    <cfRule type="cellIs" dxfId="1" priority="33" operator="greaterThan">
      <formula>1</formula>
    </cfRule>
  </conditionalFormatting>
  <conditionalFormatting sqref="C129">
    <cfRule type="cellIs" dxfId="0" priority="34" operator="greaterThan">
      <formula>0.7</formula>
    </cfRule>
  </conditionalFormatting>
  <dataValidations count="3">
    <dataValidation type="list" allowBlank="1" showInputMessage="1" showErrorMessage="1" sqref="C61 C75 C92" xr:uid="{03DCC45C-2D70-4DEA-BE0C-5CF7F55405C5}">
      <formula1>"1:1,2:1,3:1,4:1"</formula1>
    </dataValidation>
    <dataValidation type="list" allowBlank="1" showInputMessage="1" showErrorMessage="1" sqref="C44 C66 C83 C99 C106" xr:uid="{777E14F5-F857-402E-B75F-6CEF8DC8F7F6}">
      <formula1>"Yes,No"</formula1>
    </dataValidation>
    <dataValidation type="list" allowBlank="1" showInputMessage="1" showErrorMessage="1" sqref="C53 C69 C86 C101 C108" xr:uid="{CDB781C8-0998-416C-8582-63AF10F16C2E}">
      <formula1>"Two-Way Mirror,Three-Way Mirror,Dual Parity,Nested Two-Way Mirror"</formula1>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8" id="{7D7D655F-32DE-4E97-B1A5-0A59DC20FB68}">
            <xm:f>D156&gt;'Hardware Inputs'!C37</xm:f>
            <x14:dxf>
              <font>
                <color rgb="FFC62828"/>
              </font>
              <fill>
                <patternFill patternType="solid">
                  <fgColor indexed="64"/>
                  <bgColor rgb="FFFCE4EC"/>
                </patternFill>
              </fill>
            </x14:dxf>
          </x14:cfRule>
          <xm:sqref>D156</xm:sqref>
        </x14:conditionalFormatting>
        <x14:conditionalFormatting xmlns:xm="http://schemas.microsoft.com/office/excel/2006/main">
          <x14:cfRule type="expression" priority="9" id="{EF9229F0-31E2-401D-A996-9D135F49B5B2}">
            <xm:f>D157&gt;'Hardware Inputs'!C37</xm:f>
            <x14:dxf>
              <font>
                <color rgb="FFC62828"/>
              </font>
              <fill>
                <patternFill patternType="solid">
                  <fgColor indexed="64"/>
                  <bgColor rgb="FFFCE4EC"/>
                </patternFill>
              </fill>
            </x14:dxf>
          </x14:cfRule>
          <xm:sqref>D157</xm:sqref>
        </x14:conditionalFormatting>
        <x14:conditionalFormatting xmlns:xm="http://schemas.microsoft.com/office/excel/2006/main">
          <x14:cfRule type="expression" priority="10" id="{27AE4802-808B-4D28-B674-0A08D1D88CAD}">
            <xm:f>D158&gt;'Hardware Inputs'!C37</xm:f>
            <x14:dxf>
              <font>
                <color rgb="FFC62828"/>
              </font>
              <fill>
                <patternFill patternType="solid">
                  <fgColor indexed="64"/>
                  <bgColor rgb="FFFCE4EC"/>
                </patternFill>
              </fill>
            </x14:dxf>
          </x14:cfRule>
          <xm:sqref>D158</xm:sqref>
        </x14:conditionalFormatting>
        <x14:conditionalFormatting xmlns:xm="http://schemas.microsoft.com/office/excel/2006/main">
          <x14:cfRule type="expression" priority="11" id="{25C6FD97-7C18-42A0-8DEA-AF881E449802}">
            <xm:f>D159&gt;'Hardware Inputs'!C37</xm:f>
            <x14:dxf>
              <font>
                <color rgb="FFC62828"/>
              </font>
              <fill>
                <patternFill patternType="solid">
                  <fgColor indexed="64"/>
                  <bgColor rgb="FFFCE4EC"/>
                </patternFill>
              </fill>
            </x14:dxf>
          </x14:cfRule>
          <xm:sqref>D159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57541-55CC-4ABB-9354-1F482C57692E}">
  <sheetPr>
    <tabColor theme="7"/>
  </sheetPr>
  <dimension ref="A1:Z500"/>
  <sheetViews>
    <sheetView workbookViewId="0">
      <selection activeCell="C24" sqref="C24"/>
    </sheetView>
  </sheetViews>
  <sheetFormatPr defaultRowHeight="15" x14ac:dyDescent="0.25"/>
  <cols>
    <col min="1" max="1" width="3.42578125" customWidth="1"/>
    <col min="2" max="2" width="77.28515625" customWidth="1"/>
    <col min="3" max="3" width="51.7109375" bestFit="1" customWidth="1"/>
    <col min="4" max="4" width="37.7109375" bestFit="1" customWidth="1"/>
    <col min="5" max="5" width="18" bestFit="1" customWidth="1"/>
    <col min="6" max="6" width="122.140625" bestFit="1" customWidth="1"/>
  </cols>
  <sheetData>
    <row r="1" spans="1:26" x14ac:dyDescent="0.25">
      <c r="A1" s="46"/>
      <c r="B1" s="46"/>
      <c r="C1" s="46"/>
      <c r="D1" s="46"/>
      <c r="E1" s="46"/>
      <c r="F1" s="46"/>
      <c r="G1" s="46"/>
      <c r="H1" s="46"/>
      <c r="I1" s="46"/>
      <c r="J1" s="46"/>
      <c r="K1" s="46"/>
      <c r="L1" s="46"/>
      <c r="M1" s="46"/>
      <c r="N1" s="46"/>
      <c r="O1" s="46"/>
      <c r="P1" s="46"/>
      <c r="Q1" s="46"/>
      <c r="R1" s="46"/>
      <c r="S1" s="46"/>
      <c r="T1" s="46"/>
      <c r="U1" s="46"/>
      <c r="V1" s="46"/>
      <c r="W1" s="46"/>
      <c r="X1" s="46"/>
      <c r="Y1" s="46"/>
      <c r="Z1" s="46"/>
    </row>
    <row r="2" spans="1:26" ht="18" x14ac:dyDescent="0.25">
      <c r="A2" s="46"/>
      <c r="B2" s="124" t="s">
        <v>788</v>
      </c>
      <c r="C2" s="125"/>
      <c r="D2" s="125"/>
      <c r="E2" s="125"/>
      <c r="F2" s="125"/>
      <c r="G2" s="46"/>
      <c r="H2" s="46"/>
      <c r="I2" s="46"/>
      <c r="J2" s="46"/>
      <c r="K2" s="46"/>
      <c r="L2" s="46"/>
      <c r="M2" s="46"/>
      <c r="N2" s="46"/>
      <c r="O2" s="46"/>
      <c r="P2" s="46"/>
      <c r="Q2" s="46"/>
      <c r="R2" s="46"/>
      <c r="S2" s="46"/>
      <c r="T2" s="46"/>
      <c r="U2" s="46"/>
      <c r="V2" s="46"/>
      <c r="W2" s="46"/>
      <c r="X2" s="46"/>
      <c r="Y2" s="46"/>
      <c r="Z2" s="46"/>
    </row>
    <row r="3" spans="1:26" x14ac:dyDescent="0.25">
      <c r="A3" s="46"/>
      <c r="B3" s="134" t="s">
        <v>789</v>
      </c>
      <c r="C3" s="46"/>
      <c r="D3" s="46"/>
      <c r="E3" s="46"/>
      <c r="F3" s="46"/>
      <c r="G3" s="46"/>
      <c r="H3" s="46"/>
      <c r="I3" s="46"/>
      <c r="J3" s="46"/>
      <c r="K3" s="46"/>
      <c r="L3" s="46"/>
      <c r="M3" s="46"/>
      <c r="N3" s="46"/>
      <c r="O3" s="46"/>
      <c r="P3" s="46"/>
      <c r="Q3" s="46"/>
      <c r="R3" s="46"/>
      <c r="S3" s="46"/>
      <c r="T3" s="46"/>
      <c r="U3" s="46"/>
      <c r="V3" s="46"/>
      <c r="W3" s="46"/>
      <c r="X3" s="46"/>
      <c r="Y3" s="46"/>
      <c r="Z3" s="46"/>
    </row>
    <row r="4" spans="1:26" x14ac:dyDescent="0.25">
      <c r="A4" s="46"/>
      <c r="B4" s="46"/>
      <c r="C4" s="46"/>
      <c r="D4" s="46"/>
      <c r="E4" s="46"/>
      <c r="F4" s="46"/>
      <c r="G4" s="46"/>
      <c r="H4" s="46"/>
      <c r="I4" s="46"/>
      <c r="J4" s="46"/>
      <c r="K4" s="46"/>
      <c r="L4" s="46"/>
      <c r="M4" s="46"/>
      <c r="N4" s="46"/>
      <c r="O4" s="46"/>
      <c r="P4" s="46"/>
      <c r="Q4" s="46"/>
      <c r="R4" s="46"/>
      <c r="S4" s="46"/>
      <c r="T4" s="46"/>
      <c r="U4" s="46"/>
      <c r="V4" s="46"/>
      <c r="W4" s="46"/>
      <c r="X4" s="46"/>
      <c r="Y4" s="46"/>
      <c r="Z4" s="46"/>
    </row>
    <row r="5" spans="1:26" x14ac:dyDescent="0.25">
      <c r="A5" s="46"/>
      <c r="B5" s="253" t="s">
        <v>790</v>
      </c>
      <c r="C5" s="147"/>
      <c r="D5" s="147"/>
      <c r="E5" s="147"/>
      <c r="F5" s="147"/>
      <c r="G5" s="46"/>
      <c r="H5" s="46"/>
      <c r="I5" s="46"/>
      <c r="J5" s="46"/>
      <c r="K5" s="46"/>
      <c r="L5" s="46"/>
      <c r="M5" s="46"/>
      <c r="N5" s="46"/>
      <c r="O5" s="46"/>
      <c r="P5" s="46"/>
      <c r="Q5" s="46"/>
      <c r="R5" s="46"/>
      <c r="S5" s="46"/>
      <c r="T5" s="46"/>
      <c r="U5" s="46"/>
      <c r="V5" s="46"/>
      <c r="W5" s="46"/>
      <c r="X5" s="46"/>
      <c r="Y5" s="46"/>
      <c r="Z5" s="46"/>
    </row>
    <row r="6" spans="1:26" x14ac:dyDescent="0.25">
      <c r="A6" s="46"/>
      <c r="B6" s="132" t="s">
        <v>324</v>
      </c>
      <c r="C6" s="8" t="s">
        <v>131</v>
      </c>
      <c r="D6" s="254"/>
      <c r="E6" s="46"/>
      <c r="F6" s="134" t="s">
        <v>791</v>
      </c>
      <c r="G6" s="46"/>
      <c r="H6" s="46"/>
      <c r="I6" s="46"/>
      <c r="J6" s="46"/>
      <c r="K6" s="46"/>
      <c r="L6" s="46"/>
      <c r="M6" s="46"/>
      <c r="N6" s="46"/>
      <c r="O6" s="46"/>
      <c r="P6" s="46"/>
      <c r="Q6" s="46"/>
      <c r="R6" s="46"/>
      <c r="S6" s="46"/>
      <c r="T6" s="46"/>
      <c r="U6" s="46"/>
      <c r="V6" s="46"/>
      <c r="W6" s="46"/>
      <c r="X6" s="46"/>
      <c r="Y6" s="46"/>
      <c r="Z6" s="46"/>
    </row>
    <row r="7" spans="1:26" x14ac:dyDescent="0.25">
      <c r="A7" s="46"/>
      <c r="B7" s="46"/>
      <c r="C7" s="46"/>
      <c r="D7" s="46"/>
      <c r="E7" s="46"/>
      <c r="F7" s="46"/>
      <c r="G7" s="46"/>
      <c r="H7" s="46"/>
      <c r="I7" s="46"/>
      <c r="J7" s="46"/>
      <c r="K7" s="46"/>
      <c r="L7" s="46"/>
      <c r="M7" s="46"/>
      <c r="N7" s="46"/>
      <c r="O7" s="46"/>
      <c r="P7" s="46"/>
      <c r="Q7" s="46"/>
      <c r="R7" s="46"/>
      <c r="S7" s="46"/>
      <c r="T7" s="46"/>
      <c r="U7" s="46"/>
      <c r="V7" s="46"/>
      <c r="W7" s="46"/>
      <c r="X7" s="46"/>
      <c r="Y7" s="46"/>
      <c r="Z7" s="46"/>
    </row>
    <row r="8" spans="1:26" x14ac:dyDescent="0.25">
      <c r="A8" s="46"/>
      <c r="B8" s="146" t="s">
        <v>623</v>
      </c>
      <c r="C8" s="147"/>
      <c r="D8" s="147"/>
      <c r="E8" s="147"/>
      <c r="F8" s="147"/>
      <c r="G8" s="46"/>
      <c r="H8" s="46"/>
      <c r="I8" s="46"/>
      <c r="J8" s="46"/>
      <c r="K8" s="46"/>
      <c r="L8" s="46"/>
      <c r="M8" s="46"/>
      <c r="N8" s="46"/>
      <c r="O8" s="46"/>
      <c r="P8" s="46"/>
      <c r="Q8" s="46"/>
      <c r="R8" s="46"/>
      <c r="S8" s="46"/>
      <c r="T8" s="46"/>
      <c r="U8" s="46"/>
      <c r="V8" s="46"/>
      <c r="W8" s="46"/>
      <c r="X8" s="46"/>
      <c r="Y8" s="46"/>
      <c r="Z8" s="46"/>
    </row>
    <row r="9" spans="1:26" x14ac:dyDescent="0.25">
      <c r="A9" s="46"/>
      <c r="B9" s="132" t="s">
        <v>326</v>
      </c>
      <c r="C9" s="9">
        <v>32</v>
      </c>
      <c r="D9" s="139" t="s">
        <v>125</v>
      </c>
      <c r="E9" s="46"/>
      <c r="F9" s="134" t="s">
        <v>327</v>
      </c>
      <c r="G9" s="46"/>
      <c r="H9" s="46"/>
      <c r="I9" s="46"/>
      <c r="J9" s="46"/>
      <c r="K9" s="46"/>
      <c r="L9" s="46"/>
      <c r="M9" s="46"/>
      <c r="N9" s="46"/>
      <c r="O9" s="46"/>
      <c r="P9" s="46"/>
      <c r="Q9" s="46"/>
      <c r="R9" s="46"/>
      <c r="S9" s="46"/>
      <c r="T9" s="46"/>
      <c r="U9" s="46"/>
      <c r="V9" s="46"/>
      <c r="W9" s="46"/>
      <c r="X9" s="46"/>
      <c r="Y9" s="46"/>
      <c r="Z9" s="46"/>
    </row>
    <row r="10" spans="1:26" x14ac:dyDescent="0.25">
      <c r="A10" s="46"/>
      <c r="B10" s="132" t="s">
        <v>328</v>
      </c>
      <c r="C10" s="10">
        <v>127</v>
      </c>
      <c r="D10" s="139" t="s">
        <v>126</v>
      </c>
      <c r="E10" s="46"/>
      <c r="F10" s="134" t="s">
        <v>329</v>
      </c>
      <c r="G10" s="46"/>
      <c r="H10" s="46"/>
      <c r="I10" s="46"/>
      <c r="J10" s="46"/>
      <c r="K10" s="46"/>
      <c r="L10" s="46"/>
      <c r="M10" s="46"/>
      <c r="N10" s="46"/>
      <c r="O10" s="46"/>
      <c r="P10" s="46"/>
      <c r="Q10" s="46"/>
      <c r="R10" s="46"/>
      <c r="S10" s="46"/>
      <c r="T10" s="46"/>
      <c r="U10" s="46"/>
      <c r="V10" s="46"/>
      <c r="W10" s="46"/>
      <c r="X10" s="46"/>
      <c r="Y10" s="46"/>
      <c r="Z10" s="46"/>
    </row>
    <row r="11" spans="1:26" x14ac:dyDescent="0.25">
      <c r="A11" s="46"/>
      <c r="B11" s="132" t="s">
        <v>330</v>
      </c>
      <c r="C11" s="10">
        <v>50</v>
      </c>
      <c r="D11" s="139" t="s">
        <v>126</v>
      </c>
      <c r="E11" s="46"/>
      <c r="F11" s="134" t="s">
        <v>331</v>
      </c>
      <c r="G11" s="46"/>
      <c r="H11" s="46"/>
      <c r="I11" s="46"/>
      <c r="J11" s="46"/>
      <c r="K11" s="46"/>
      <c r="L11" s="46"/>
      <c r="M11" s="46"/>
      <c r="N11" s="46"/>
      <c r="O11" s="46"/>
      <c r="P11" s="46"/>
      <c r="Q11" s="46"/>
      <c r="R11" s="46"/>
      <c r="S11" s="46"/>
      <c r="T11" s="46"/>
      <c r="U11" s="46"/>
      <c r="V11" s="46"/>
      <c r="W11" s="46"/>
      <c r="X11" s="46"/>
      <c r="Y11" s="46"/>
      <c r="Z11" s="46"/>
    </row>
    <row r="12" spans="1:26" x14ac:dyDescent="0.25">
      <c r="A12" s="46"/>
      <c r="B12" s="132" t="s">
        <v>332</v>
      </c>
      <c r="C12" s="8" t="s">
        <v>108</v>
      </c>
      <c r="D12" s="134" t="str">
        <f>CONCATENATE(TEXT(IF(C12="Three-Way Mirror",1/3,IF(C12="Two-Way Mirror",0.5,IF(C12="Dual Parity",IF('Hardware Inputs'!C8&gt;=16,0.8,IF('Hardware Inputs'!C8&gt;=9,0.75,IF('Hardware Inputs'!C8&gt;=7,2/3,0.5))),IF(C12="Nested Two-Way Mirror",0.25,1/3)))),"0%")," eff.")</f>
        <v>50% eff.</v>
      </c>
      <c r="E12" s="46"/>
      <c r="F12" s="134" t="str">
        <f>IF(C12=IF('Hardware Inputs'!C8&gt;=3,"Three-Way Mirror","Two-Way Mirror"),"","Note: "&amp;'Hardware Inputs'!C8&amp;"-node cluster default = "&amp;IF('Hardware Inputs'!C8&gt;=3,"Three-Way Mirror","Two-Way Mirror"))</f>
        <v>Note: 3-node cluster default = Three-Way Mirror</v>
      </c>
      <c r="G12" s="46"/>
      <c r="H12" s="46"/>
      <c r="I12" s="46"/>
      <c r="J12" s="46"/>
      <c r="K12" s="46"/>
      <c r="L12" s="46"/>
      <c r="M12" s="46"/>
      <c r="N12" s="46"/>
      <c r="O12" s="46"/>
      <c r="P12" s="46"/>
      <c r="Q12" s="46"/>
      <c r="R12" s="46"/>
      <c r="S12" s="46"/>
      <c r="T12" s="46"/>
      <c r="U12" s="46"/>
      <c r="V12" s="46"/>
      <c r="W12" s="46"/>
      <c r="X12" s="46"/>
      <c r="Y12" s="46"/>
      <c r="Z12" s="46"/>
    </row>
    <row r="13" spans="1:26" x14ac:dyDescent="0.25">
      <c r="A13" s="46"/>
      <c r="B13" s="140" t="s">
        <v>333</v>
      </c>
      <c r="C13" s="141">
        <f>IF($C$6="No",0,IF(C9=0,0,ROUND(C9*(C10+C11)/1024,2)))</f>
        <v>5.53</v>
      </c>
      <c r="D13" s="142" t="s">
        <v>87</v>
      </c>
      <c r="E13" s="46"/>
      <c r="F13" s="170" t="str">
        <f>IF(C13&gt;64,"WARNING: Exceeds 64 TB max volume size!","")</f>
        <v/>
      </c>
      <c r="G13" s="46"/>
      <c r="H13" s="46"/>
      <c r="I13" s="46"/>
      <c r="J13" s="46"/>
      <c r="K13" s="46"/>
      <c r="L13" s="46"/>
      <c r="M13" s="46"/>
      <c r="N13" s="46"/>
      <c r="O13" s="46"/>
      <c r="P13" s="46"/>
      <c r="Q13" s="46"/>
      <c r="R13" s="46"/>
      <c r="S13" s="46"/>
      <c r="T13" s="46"/>
      <c r="U13" s="46"/>
      <c r="V13" s="46"/>
      <c r="W13" s="46"/>
      <c r="X13" s="46"/>
      <c r="Y13" s="46"/>
      <c r="Z13" s="46"/>
    </row>
    <row r="14" spans="1:26" x14ac:dyDescent="0.25">
      <c r="A14" s="46"/>
      <c r="B14" s="143" t="s">
        <v>334</v>
      </c>
      <c r="C14" s="144">
        <f>IF(C13=0,0,ROUND(C13/IF(C12="Three-Way Mirror",1/3,IF(C12="Two-Way Mirror",0.5,IF(C12="Dual Parity",IF('Hardware Inputs'!C8&gt;=16,0.8,IF('Hardware Inputs'!C8&gt;=9,0.75,IF('Hardware Inputs'!C8&gt;=7,2/3,0.5))),IF(C12="Nested Two-Way Mirror",0.25,1/3)))),2))</f>
        <v>11.06</v>
      </c>
      <c r="D14" s="145" t="s">
        <v>87</v>
      </c>
      <c r="E14" s="46"/>
      <c r="F14" s="134" t="s">
        <v>127</v>
      </c>
      <c r="G14" s="46"/>
      <c r="H14" s="46"/>
      <c r="I14" s="46"/>
      <c r="J14" s="46"/>
      <c r="K14" s="46"/>
      <c r="L14" s="46"/>
      <c r="M14" s="46"/>
      <c r="N14" s="46"/>
      <c r="O14" s="46"/>
      <c r="P14" s="46"/>
      <c r="Q14" s="46"/>
      <c r="R14" s="46"/>
      <c r="S14" s="46"/>
      <c r="T14" s="46"/>
      <c r="U14" s="46"/>
      <c r="V14" s="46"/>
      <c r="W14" s="46"/>
      <c r="X14" s="46"/>
      <c r="Y14" s="46"/>
      <c r="Z14" s="46"/>
    </row>
    <row r="15" spans="1:26" x14ac:dyDescent="0.25">
      <c r="A15" s="46"/>
      <c r="B15" s="46"/>
      <c r="C15" s="46"/>
      <c r="D15" s="46"/>
      <c r="E15" s="46"/>
      <c r="F15" s="46"/>
      <c r="G15" s="46"/>
      <c r="H15" s="46"/>
      <c r="I15" s="46"/>
      <c r="J15" s="46"/>
      <c r="K15" s="46"/>
      <c r="L15" s="46"/>
      <c r="M15" s="46"/>
      <c r="N15" s="46"/>
      <c r="O15" s="46"/>
      <c r="P15" s="46"/>
      <c r="Q15" s="46"/>
      <c r="R15" s="46"/>
      <c r="S15" s="46"/>
      <c r="T15" s="46"/>
      <c r="U15" s="46"/>
      <c r="V15" s="46"/>
      <c r="W15" s="46"/>
      <c r="X15" s="46"/>
      <c r="Y15" s="46"/>
      <c r="Z15" s="46"/>
    </row>
    <row r="16" spans="1:26" x14ac:dyDescent="0.25">
      <c r="A16" s="46"/>
      <c r="B16" s="146" t="s">
        <v>624</v>
      </c>
      <c r="C16" s="147"/>
      <c r="D16" s="147"/>
      <c r="E16" s="147"/>
      <c r="F16" s="147"/>
      <c r="G16" s="46"/>
      <c r="H16" s="46"/>
      <c r="I16" s="46"/>
      <c r="J16" s="46"/>
      <c r="K16" s="46"/>
      <c r="L16" s="46"/>
      <c r="M16" s="46"/>
      <c r="N16" s="46"/>
      <c r="O16" s="46"/>
      <c r="P16" s="46"/>
      <c r="Q16" s="46"/>
      <c r="R16" s="46"/>
      <c r="S16" s="46"/>
      <c r="T16" s="46"/>
      <c r="U16" s="46"/>
      <c r="V16" s="46"/>
      <c r="W16" s="46"/>
      <c r="X16" s="46"/>
      <c r="Y16" s="46"/>
      <c r="Z16" s="46"/>
    </row>
    <row r="17" spans="1:26" x14ac:dyDescent="0.25">
      <c r="A17" s="46"/>
      <c r="B17" s="132" t="s">
        <v>658</v>
      </c>
      <c r="C17" s="8" t="s">
        <v>659</v>
      </c>
      <c r="D17" s="257"/>
      <c r="E17" s="46"/>
      <c r="F17" s="134" t="s">
        <v>792</v>
      </c>
      <c r="G17" s="46"/>
      <c r="H17" s="46"/>
      <c r="I17" s="46"/>
      <c r="J17" s="46"/>
      <c r="K17" s="46"/>
      <c r="L17" s="46"/>
      <c r="M17" s="46"/>
      <c r="N17" s="46"/>
      <c r="O17" s="46"/>
      <c r="P17" s="46"/>
      <c r="Q17" s="46"/>
      <c r="R17" s="46"/>
      <c r="S17" s="46"/>
      <c r="T17" s="46"/>
      <c r="U17" s="46"/>
      <c r="V17" s="46"/>
      <c r="W17" s="46"/>
      <c r="X17" s="46"/>
      <c r="Y17" s="46"/>
      <c r="Z17" s="46"/>
    </row>
    <row r="18" spans="1:26" x14ac:dyDescent="0.25">
      <c r="A18" s="46"/>
      <c r="B18" s="132" t="s">
        <v>335</v>
      </c>
      <c r="C18" s="9">
        <v>1300</v>
      </c>
      <c r="D18" s="139" t="s">
        <v>128</v>
      </c>
      <c r="E18" s="46"/>
      <c r="F18" s="134" t="s">
        <v>336</v>
      </c>
      <c r="G18" s="46"/>
      <c r="H18" s="46"/>
      <c r="I18" s="46"/>
      <c r="J18" s="46"/>
      <c r="K18" s="46"/>
      <c r="L18" s="46"/>
      <c r="M18" s="46"/>
      <c r="N18" s="46"/>
      <c r="O18" s="46"/>
      <c r="P18" s="46"/>
      <c r="Q18" s="46"/>
      <c r="R18" s="46"/>
      <c r="S18" s="46"/>
      <c r="T18" s="46"/>
      <c r="U18" s="46"/>
      <c r="V18" s="46"/>
      <c r="W18" s="46"/>
      <c r="X18" s="46"/>
      <c r="Y18" s="46"/>
      <c r="Z18" s="46"/>
    </row>
    <row r="19" spans="1:26" x14ac:dyDescent="0.25">
      <c r="A19" s="46"/>
      <c r="B19" s="132" t="s">
        <v>337</v>
      </c>
      <c r="C19" s="9">
        <v>300</v>
      </c>
      <c r="D19" s="139" t="s">
        <v>128</v>
      </c>
      <c r="E19" s="46"/>
      <c r="F19" s="134" t="s">
        <v>793</v>
      </c>
      <c r="G19" s="46"/>
      <c r="H19" s="46"/>
      <c r="I19" s="46"/>
      <c r="J19" s="46"/>
      <c r="K19" s="46"/>
      <c r="L19" s="46"/>
      <c r="M19" s="46"/>
      <c r="N19" s="46"/>
      <c r="O19" s="46"/>
      <c r="P19" s="46"/>
      <c r="Q19" s="46"/>
      <c r="R19" s="46"/>
      <c r="S19" s="46"/>
      <c r="T19" s="46"/>
      <c r="U19" s="46"/>
      <c r="V19" s="46"/>
      <c r="W19" s="46"/>
      <c r="X19" s="46"/>
      <c r="Y19" s="46"/>
      <c r="Z19" s="46"/>
    </row>
    <row r="20" spans="1:26" x14ac:dyDescent="0.25">
      <c r="A20" s="46"/>
      <c r="B20" s="132" t="s">
        <v>338</v>
      </c>
      <c r="C20" s="10">
        <v>5</v>
      </c>
      <c r="D20" s="139" t="s">
        <v>126</v>
      </c>
      <c r="E20" s="46"/>
      <c r="F20" s="134" t="s">
        <v>794</v>
      </c>
      <c r="G20" s="46"/>
      <c r="H20" s="46"/>
      <c r="I20" s="46"/>
      <c r="J20" s="46"/>
      <c r="K20" s="46"/>
      <c r="L20" s="46"/>
      <c r="M20" s="46"/>
      <c r="N20" s="46"/>
      <c r="O20" s="46"/>
      <c r="P20" s="46"/>
      <c r="Q20" s="46"/>
      <c r="R20" s="46"/>
      <c r="S20" s="46"/>
      <c r="T20" s="46"/>
      <c r="U20" s="46"/>
      <c r="V20" s="46"/>
      <c r="W20" s="46"/>
      <c r="X20" s="46"/>
      <c r="Y20" s="46"/>
      <c r="Z20" s="46"/>
    </row>
    <row r="21" spans="1:26" x14ac:dyDescent="0.25">
      <c r="A21" s="46"/>
      <c r="B21" s="132" t="s">
        <v>339</v>
      </c>
      <c r="C21" s="11">
        <v>0.3</v>
      </c>
      <c r="D21" s="139" t="s">
        <v>129</v>
      </c>
      <c r="E21" s="46"/>
      <c r="F21" s="134" t="s">
        <v>130</v>
      </c>
      <c r="G21" s="46"/>
      <c r="H21" s="46"/>
      <c r="I21" s="46"/>
      <c r="J21" s="46"/>
      <c r="K21" s="46"/>
      <c r="L21" s="46"/>
      <c r="M21" s="46"/>
      <c r="N21" s="46"/>
      <c r="O21" s="46"/>
      <c r="P21" s="46"/>
      <c r="Q21" s="46"/>
      <c r="R21" s="46"/>
      <c r="S21" s="46"/>
      <c r="T21" s="46"/>
      <c r="U21" s="46"/>
      <c r="V21" s="46"/>
      <c r="W21" s="46"/>
      <c r="X21" s="46"/>
      <c r="Y21" s="46"/>
      <c r="Z21" s="46"/>
    </row>
    <row r="22" spans="1:26" x14ac:dyDescent="0.25">
      <c r="A22" s="46"/>
      <c r="B22" s="132" t="s">
        <v>340</v>
      </c>
      <c r="C22" s="8" t="s">
        <v>111</v>
      </c>
      <c r="D22" s="134" t="str">
        <f>IF(C17&lt;&gt;"S2D Volume (local)","n/a",CONCATENATE(TEXT(IF(C22="Three-Way Mirror",1/3,IF(C22="Two-Way Mirror",0.5,IF(C22="Dual Parity",IF('Hardware Inputs'!C8&gt;=16,0.8,IF('Hardware Inputs'!C8&gt;=9,0.75,IF('Hardware Inputs'!C8&gt;=7,2/3,0.5))),IF(C22="Nested Two-Way Mirror",0.25,1/3)))),"0%")," eff."))</f>
        <v>33% eff.</v>
      </c>
      <c r="E22" s="46"/>
      <c r="F22" s="46"/>
      <c r="G22" s="46"/>
      <c r="H22" s="46"/>
      <c r="I22" s="46"/>
      <c r="J22" s="46"/>
      <c r="K22" s="46"/>
      <c r="L22" s="46"/>
      <c r="M22" s="46"/>
      <c r="N22" s="46"/>
      <c r="O22" s="46"/>
      <c r="P22" s="46"/>
      <c r="Q22" s="46"/>
      <c r="R22" s="46"/>
      <c r="S22" s="46"/>
      <c r="T22" s="46"/>
      <c r="U22" s="46"/>
      <c r="V22" s="46"/>
      <c r="W22" s="46"/>
      <c r="X22" s="46"/>
      <c r="Y22" s="46"/>
      <c r="Z22" s="46"/>
    </row>
    <row r="23" spans="1:26" x14ac:dyDescent="0.25">
      <c r="A23" s="46"/>
      <c r="B23" s="140" t="s">
        <v>341</v>
      </c>
      <c r="C23" s="141">
        <f>IF($C$6="No",0,IF(C18=0,0,ROUND((C18*C20*(1+C21))/1024,2)))</f>
        <v>8.25</v>
      </c>
      <c r="D23" s="142" t="s">
        <v>87</v>
      </c>
      <c r="E23" s="46"/>
      <c r="F23" s="170" t="str">
        <f>IF(C23&gt;64,"WARNING: Exceeds 64 TB max volume size!","")</f>
        <v/>
      </c>
      <c r="G23" s="46"/>
      <c r="H23" s="46"/>
      <c r="I23" s="46"/>
      <c r="J23" s="46"/>
      <c r="K23" s="46"/>
      <c r="L23" s="46"/>
      <c r="M23" s="46"/>
      <c r="N23" s="46"/>
      <c r="O23" s="46"/>
      <c r="P23" s="46"/>
      <c r="Q23" s="46"/>
      <c r="R23" s="46"/>
      <c r="S23" s="46"/>
      <c r="T23" s="46"/>
      <c r="U23" s="46"/>
      <c r="V23" s="46"/>
      <c r="W23" s="46"/>
      <c r="X23" s="46"/>
      <c r="Y23" s="46"/>
      <c r="Z23" s="46"/>
    </row>
    <row r="24" spans="1:26" x14ac:dyDescent="0.25">
      <c r="A24" s="46"/>
      <c r="B24" s="143" t="s">
        <v>342</v>
      </c>
      <c r="C24" s="144">
        <f>IF(OR($C$6="No",C17&lt;&gt;"S2D Volume (local)"),0,IF(C23=0,0,ROUND(C23/IF(C22="Three-Way Mirror",1/3,IF(C22="Two-Way Mirror",0.5,IF(C22="Dual Parity",IF('Hardware Inputs'!C8&gt;=16,0.8,IF('Hardware Inputs'!C8&gt;=9,0.75,IF('Hardware Inputs'!C8&gt;=7,2/3,0.5))),IF(C22="Nested Two-Way Mirror",0.25,1/3)))),2)))</f>
        <v>24.75</v>
      </c>
      <c r="D24" s="145" t="s">
        <v>87</v>
      </c>
      <c r="E24" s="46"/>
      <c r="F24" s="134" t="s">
        <v>660</v>
      </c>
      <c r="G24" s="46"/>
      <c r="H24" s="46"/>
      <c r="I24" s="46"/>
      <c r="J24" s="46"/>
      <c r="K24" s="46"/>
      <c r="L24" s="46"/>
      <c r="M24" s="46"/>
      <c r="N24" s="46"/>
      <c r="O24" s="46"/>
      <c r="P24" s="46"/>
      <c r="Q24" s="46"/>
      <c r="R24" s="46"/>
      <c r="S24" s="46"/>
      <c r="T24" s="46"/>
      <c r="U24" s="46"/>
      <c r="V24" s="46"/>
      <c r="W24" s="46"/>
      <c r="X24" s="46"/>
      <c r="Y24" s="46"/>
      <c r="Z24" s="46"/>
    </row>
    <row r="25" spans="1:26" ht="15.75" x14ac:dyDescent="0.25">
      <c r="A25" s="46"/>
      <c r="B25" s="148" t="s">
        <v>795</v>
      </c>
      <c r="C25" s="149">
        <f>C14+C24</f>
        <v>35.81</v>
      </c>
      <c r="D25" s="140" t="s">
        <v>87</v>
      </c>
      <c r="E25" s="46"/>
      <c r="F25" s="46"/>
      <c r="G25" s="46"/>
      <c r="H25" s="46"/>
      <c r="I25" s="46"/>
      <c r="J25" s="46"/>
      <c r="K25" s="46"/>
      <c r="L25" s="46"/>
      <c r="M25" s="46"/>
      <c r="N25" s="46"/>
      <c r="O25" s="46"/>
      <c r="P25" s="46"/>
      <c r="Q25" s="46"/>
      <c r="R25" s="46"/>
      <c r="S25" s="46"/>
      <c r="T25" s="46"/>
      <c r="U25" s="46"/>
      <c r="V25" s="46"/>
      <c r="W25" s="46"/>
      <c r="X25" s="46"/>
      <c r="Y25" s="46"/>
      <c r="Z25" s="46"/>
    </row>
    <row r="26" spans="1:26" x14ac:dyDescent="0.25">
      <c r="A26" s="46"/>
      <c r="B26" s="46"/>
      <c r="C26" s="46"/>
      <c r="D26" s="46"/>
      <c r="E26" s="46"/>
      <c r="F26" s="46"/>
      <c r="G26" s="46"/>
      <c r="H26" s="46"/>
      <c r="I26" s="46"/>
      <c r="J26" s="46"/>
      <c r="K26" s="46"/>
      <c r="L26" s="46"/>
      <c r="M26" s="46"/>
      <c r="N26" s="46"/>
      <c r="O26" s="46"/>
      <c r="P26" s="46"/>
      <c r="Q26" s="46"/>
      <c r="R26" s="46"/>
      <c r="S26" s="46"/>
      <c r="T26" s="46"/>
      <c r="U26" s="46"/>
      <c r="V26" s="46"/>
      <c r="W26" s="46"/>
      <c r="X26" s="46"/>
      <c r="Y26" s="46"/>
      <c r="Z26" s="46"/>
    </row>
    <row r="27" spans="1:26" x14ac:dyDescent="0.25">
      <c r="A27" s="46"/>
      <c r="B27" s="146" t="s">
        <v>496</v>
      </c>
      <c r="C27" s="147"/>
      <c r="D27" s="147"/>
      <c r="E27" s="147"/>
      <c r="F27" s="147"/>
      <c r="G27" s="46"/>
      <c r="H27" s="46"/>
      <c r="I27" s="46"/>
      <c r="J27" s="46"/>
      <c r="K27" s="46"/>
      <c r="L27" s="46"/>
      <c r="M27" s="46"/>
      <c r="N27" s="46"/>
      <c r="O27" s="46"/>
      <c r="P27" s="46"/>
      <c r="Q27" s="46"/>
      <c r="R27" s="46"/>
      <c r="S27" s="46"/>
      <c r="T27" s="46"/>
      <c r="U27" s="46"/>
      <c r="V27" s="46"/>
      <c r="W27" s="46"/>
      <c r="X27" s="46"/>
      <c r="Y27" s="46"/>
      <c r="Z27" s="46"/>
    </row>
    <row r="28" spans="1:26" x14ac:dyDescent="0.25">
      <c r="A28" s="46"/>
      <c r="B28" s="132" t="s">
        <v>497</v>
      </c>
      <c r="C28" s="12">
        <v>8</v>
      </c>
      <c r="D28" s="139" t="s">
        <v>484</v>
      </c>
      <c r="E28" s="46"/>
      <c r="F28" s="134" t="s">
        <v>498</v>
      </c>
      <c r="G28" s="46"/>
      <c r="H28" s="46"/>
      <c r="I28" s="46"/>
      <c r="J28" s="46"/>
      <c r="K28" s="46"/>
      <c r="L28" s="46"/>
      <c r="M28" s="46"/>
      <c r="N28" s="46"/>
      <c r="O28" s="46"/>
      <c r="P28" s="46"/>
      <c r="Q28" s="46"/>
      <c r="R28" s="46"/>
      <c r="S28" s="46"/>
      <c r="T28" s="46"/>
      <c r="U28" s="46"/>
      <c r="V28" s="46"/>
      <c r="W28" s="46"/>
      <c r="X28" s="46"/>
      <c r="Y28" s="46"/>
      <c r="Z28" s="46"/>
    </row>
    <row r="29" spans="1:26" x14ac:dyDescent="0.25">
      <c r="A29" s="46"/>
      <c r="B29" s="132" t="s">
        <v>499</v>
      </c>
      <c r="C29" s="10">
        <v>32</v>
      </c>
      <c r="D29" s="139" t="s">
        <v>126</v>
      </c>
      <c r="E29" s="46"/>
      <c r="F29" s="134" t="s">
        <v>500</v>
      </c>
      <c r="G29" s="46"/>
      <c r="H29" s="46"/>
      <c r="I29" s="46"/>
      <c r="J29" s="46"/>
      <c r="K29" s="46"/>
      <c r="L29" s="46"/>
      <c r="M29" s="46"/>
      <c r="N29" s="46"/>
      <c r="O29" s="46"/>
      <c r="P29" s="46"/>
      <c r="Q29" s="46"/>
      <c r="R29" s="46"/>
      <c r="S29" s="46"/>
      <c r="T29" s="46"/>
      <c r="U29" s="46"/>
      <c r="V29" s="46"/>
      <c r="W29" s="46"/>
      <c r="X29" s="46"/>
      <c r="Y29" s="46"/>
      <c r="Z29" s="46"/>
    </row>
    <row r="30" spans="1:26" x14ac:dyDescent="0.25">
      <c r="A30" s="46"/>
      <c r="B30" s="132" t="s">
        <v>625</v>
      </c>
      <c r="C30" s="13" t="s">
        <v>515</v>
      </c>
      <c r="D30" s="139" t="s">
        <v>501</v>
      </c>
      <c r="E30" s="46"/>
      <c r="F30" s="134" t="s">
        <v>626</v>
      </c>
      <c r="G30" s="46"/>
      <c r="H30" s="46"/>
      <c r="I30" s="46"/>
      <c r="J30" s="46"/>
      <c r="K30" s="46"/>
      <c r="L30" s="46"/>
      <c r="M30" s="46"/>
      <c r="N30" s="46"/>
      <c r="O30" s="46"/>
      <c r="P30" s="46"/>
      <c r="Q30" s="46"/>
      <c r="R30" s="46"/>
      <c r="S30" s="46"/>
      <c r="T30" s="46"/>
      <c r="U30" s="46"/>
      <c r="V30" s="46"/>
      <c r="W30" s="46"/>
      <c r="X30" s="46"/>
      <c r="Y30" s="46"/>
      <c r="Z30" s="46"/>
    </row>
    <row r="31" spans="1:26" x14ac:dyDescent="0.25">
      <c r="A31" s="46"/>
      <c r="B31" s="132" t="s">
        <v>502</v>
      </c>
      <c r="C31" s="12">
        <v>2</v>
      </c>
      <c r="D31" s="139" t="s">
        <v>484</v>
      </c>
      <c r="E31" s="46"/>
      <c r="F31" s="134" t="s">
        <v>503</v>
      </c>
      <c r="G31" s="46"/>
      <c r="H31" s="46"/>
      <c r="I31" s="46"/>
      <c r="J31" s="46"/>
      <c r="K31" s="46"/>
      <c r="L31" s="46"/>
      <c r="M31" s="46"/>
      <c r="N31" s="46"/>
      <c r="O31" s="46"/>
      <c r="P31" s="46"/>
      <c r="Q31" s="46"/>
      <c r="R31" s="46"/>
      <c r="S31" s="46"/>
      <c r="T31" s="46"/>
      <c r="U31" s="46"/>
      <c r="V31" s="46"/>
      <c r="W31" s="46"/>
      <c r="X31" s="46"/>
      <c r="Y31" s="46"/>
      <c r="Z31" s="46"/>
    </row>
    <row r="32" spans="1:26" x14ac:dyDescent="0.25">
      <c r="A32" s="46"/>
      <c r="B32" s="132" t="s">
        <v>504</v>
      </c>
      <c r="C32" s="10">
        <v>4</v>
      </c>
      <c r="D32" s="139" t="s">
        <v>126</v>
      </c>
      <c r="E32" s="46"/>
      <c r="F32" s="134" t="s">
        <v>505</v>
      </c>
      <c r="G32" s="46"/>
      <c r="H32" s="46"/>
      <c r="I32" s="46"/>
      <c r="J32" s="46"/>
      <c r="K32" s="46"/>
      <c r="L32" s="46"/>
      <c r="M32" s="46"/>
      <c r="N32" s="46"/>
      <c r="O32" s="46"/>
      <c r="P32" s="46"/>
      <c r="Q32" s="46"/>
      <c r="R32" s="46"/>
      <c r="S32" s="46"/>
      <c r="T32" s="46"/>
      <c r="U32" s="46"/>
      <c r="V32" s="46"/>
      <c r="W32" s="46"/>
      <c r="X32" s="46"/>
      <c r="Y32" s="46"/>
      <c r="Z32" s="46"/>
    </row>
    <row r="33" spans="1:26" x14ac:dyDescent="0.25">
      <c r="A33" s="46"/>
      <c r="B33" s="140" t="s">
        <v>506</v>
      </c>
      <c r="C33" s="141">
        <f>IF($C$6="No",0,MIN(INT(C28/C31),INT(C29/C32)))</f>
        <v>4</v>
      </c>
      <c r="D33" s="142" t="s">
        <v>507</v>
      </c>
      <c r="E33" s="46"/>
      <c r="F33" s="134" t="s">
        <v>508</v>
      </c>
      <c r="G33" s="46"/>
      <c r="H33" s="46"/>
      <c r="I33" s="46"/>
      <c r="J33" s="46"/>
      <c r="K33" s="46"/>
      <c r="L33" s="46"/>
      <c r="M33" s="46"/>
      <c r="N33" s="46"/>
      <c r="O33" s="46"/>
      <c r="P33" s="46"/>
      <c r="Q33" s="46"/>
      <c r="R33" s="46"/>
      <c r="S33" s="46"/>
      <c r="T33" s="46"/>
      <c r="U33" s="46"/>
      <c r="V33" s="46"/>
      <c r="W33" s="46"/>
      <c r="X33" s="46"/>
      <c r="Y33" s="46"/>
      <c r="Z33" s="46"/>
    </row>
    <row r="34" spans="1:26" x14ac:dyDescent="0.25">
      <c r="A34" s="46"/>
      <c r="B34" s="140" t="s">
        <v>509</v>
      </c>
      <c r="C34" s="141">
        <f>IF($C$6="No",0,IF(C33=0,0,ROUNDUP(C19/C33,0)))</f>
        <v>75</v>
      </c>
      <c r="D34" s="142" t="s">
        <v>125</v>
      </c>
      <c r="E34" s="46"/>
      <c r="F34" s="134" t="s">
        <v>510</v>
      </c>
      <c r="G34" s="46"/>
      <c r="H34" s="46"/>
      <c r="I34" s="46"/>
      <c r="J34" s="46"/>
      <c r="K34" s="46"/>
      <c r="L34" s="46"/>
      <c r="M34" s="46"/>
      <c r="N34" s="46"/>
      <c r="O34" s="46"/>
      <c r="P34" s="46"/>
      <c r="Q34" s="46"/>
      <c r="R34" s="46"/>
      <c r="S34" s="46"/>
      <c r="T34" s="46"/>
      <c r="U34" s="46"/>
      <c r="V34" s="46"/>
      <c r="W34" s="46"/>
      <c r="X34" s="46"/>
      <c r="Y34" s="46"/>
      <c r="Z34" s="46"/>
    </row>
    <row r="35" spans="1:26" x14ac:dyDescent="0.25">
      <c r="A35" s="46"/>
      <c r="B35" s="152" t="s">
        <v>511</v>
      </c>
      <c r="C35" s="258" t="str">
        <f>IF($C$6="No","",IF(C9&gt;=C34,"✓ PASS — "&amp;C9&amp;" VMs ≥ "&amp;C34&amp;" needed","✗ FAIL — Need "&amp;C34&amp;" VMs but only "&amp;C9&amp;" configured"))</f>
        <v>✗ FAIL — Need 75 VMs but only 32 configured</v>
      </c>
      <c r="D35" s="46"/>
      <c r="E35" s="46"/>
      <c r="F35" s="46"/>
      <c r="G35" s="46"/>
      <c r="H35" s="46"/>
      <c r="I35" s="46"/>
      <c r="J35" s="46"/>
      <c r="K35" s="46"/>
      <c r="L35" s="46"/>
      <c r="M35" s="46"/>
      <c r="N35" s="46"/>
      <c r="O35" s="46"/>
      <c r="P35" s="46"/>
      <c r="Q35" s="46"/>
      <c r="R35" s="46"/>
      <c r="S35" s="46"/>
      <c r="T35" s="46"/>
      <c r="U35" s="46"/>
      <c r="V35" s="46"/>
      <c r="W35" s="46"/>
      <c r="X35" s="46"/>
      <c r="Y35" s="46"/>
      <c r="Z35" s="46"/>
    </row>
    <row r="36" spans="1:26" x14ac:dyDescent="0.25">
      <c r="A36" s="46"/>
      <c r="B36" s="140" t="s">
        <v>512</v>
      </c>
      <c r="C36" s="141">
        <f>IF($C$6="No",0,C9*C28)</f>
        <v>256</v>
      </c>
      <c r="D36" s="142" t="s">
        <v>484</v>
      </c>
      <c r="E36" s="46"/>
      <c r="F36" s="134" t="s">
        <v>513</v>
      </c>
      <c r="G36" s="46"/>
      <c r="H36" s="46"/>
      <c r="I36" s="46"/>
      <c r="J36" s="46"/>
      <c r="K36" s="46"/>
      <c r="L36" s="46"/>
      <c r="M36" s="46"/>
      <c r="N36" s="46"/>
      <c r="O36" s="46"/>
      <c r="P36" s="46"/>
      <c r="Q36" s="46"/>
      <c r="R36" s="46"/>
      <c r="S36" s="46"/>
      <c r="T36" s="46"/>
      <c r="U36" s="46"/>
      <c r="V36" s="46"/>
      <c r="W36" s="46"/>
      <c r="X36" s="46"/>
      <c r="Y36" s="46"/>
      <c r="Z36" s="46"/>
    </row>
    <row r="37" spans="1:26" x14ac:dyDescent="0.25">
      <c r="A37" s="46"/>
      <c r="B37" s="140" t="s">
        <v>627</v>
      </c>
      <c r="C37" s="141">
        <f>IF($C$6="No",0,C9*C29)</f>
        <v>1024</v>
      </c>
      <c r="D37" s="142" t="s">
        <v>126</v>
      </c>
      <c r="E37" s="46"/>
      <c r="F37" s="134" t="s">
        <v>629</v>
      </c>
      <c r="G37" s="46"/>
      <c r="H37" s="46"/>
      <c r="I37" s="46"/>
      <c r="J37" s="46"/>
      <c r="K37" s="46"/>
      <c r="L37" s="46"/>
      <c r="M37" s="46"/>
      <c r="N37" s="46"/>
      <c r="O37" s="46"/>
      <c r="P37" s="46"/>
      <c r="Q37" s="46"/>
      <c r="R37" s="46"/>
      <c r="S37" s="46"/>
      <c r="T37" s="46"/>
      <c r="U37" s="46"/>
      <c r="V37" s="46"/>
      <c r="W37" s="46"/>
      <c r="X37" s="46"/>
      <c r="Y37" s="46"/>
      <c r="Z37" s="46"/>
    </row>
    <row r="38" spans="1:26" x14ac:dyDescent="0.25">
      <c r="A38" s="46"/>
      <c r="B38" s="140" t="s">
        <v>628</v>
      </c>
      <c r="C38" s="141">
        <f>IF($C$6="No",0,ROUND(C36/IF(C30="1:1",1,IF(C30="2:1",2,IF(C30="3:1",3,IF(C30="4:1",4,1)))),0))</f>
        <v>64</v>
      </c>
      <c r="D38" s="142" t="s">
        <v>484</v>
      </c>
      <c r="E38" s="46"/>
      <c r="F38" s="134" t="s">
        <v>630</v>
      </c>
      <c r="G38" s="46"/>
      <c r="H38" s="46"/>
      <c r="I38" s="46"/>
      <c r="J38" s="46"/>
      <c r="K38" s="46"/>
      <c r="L38" s="46"/>
      <c r="M38" s="46"/>
      <c r="N38" s="46"/>
      <c r="O38" s="46"/>
      <c r="P38" s="46"/>
      <c r="Q38" s="46"/>
      <c r="R38" s="46"/>
      <c r="S38" s="46"/>
      <c r="T38" s="46"/>
      <c r="U38" s="46"/>
      <c r="V38" s="46"/>
      <c r="W38" s="46"/>
      <c r="X38" s="46"/>
      <c r="Y38" s="46"/>
      <c r="Z38" s="46"/>
    </row>
    <row r="39" spans="1:26" x14ac:dyDescent="0.25">
      <c r="A39" s="46"/>
      <c r="B39" s="46"/>
      <c r="C39" s="46"/>
      <c r="D39" s="46"/>
      <c r="E39" s="46"/>
      <c r="F39" s="46"/>
      <c r="G39" s="46"/>
      <c r="H39" s="46"/>
      <c r="I39" s="46"/>
      <c r="J39" s="46"/>
      <c r="K39" s="46"/>
      <c r="L39" s="46"/>
      <c r="M39" s="46"/>
      <c r="N39" s="46"/>
      <c r="O39" s="46"/>
      <c r="P39" s="46"/>
      <c r="Q39" s="46"/>
      <c r="R39" s="46"/>
      <c r="S39" s="46"/>
      <c r="T39" s="46"/>
      <c r="U39" s="46"/>
      <c r="V39" s="46"/>
      <c r="W39" s="46"/>
      <c r="X39" s="46"/>
      <c r="Y39" s="46"/>
      <c r="Z39" s="46"/>
    </row>
    <row r="40" spans="1:26" x14ac:dyDescent="0.25">
      <c r="A40" s="46"/>
      <c r="B40" s="146" t="s">
        <v>514</v>
      </c>
      <c r="C40" s="147"/>
      <c r="D40" s="147"/>
      <c r="E40" s="147"/>
      <c r="F40" s="147"/>
      <c r="G40" s="46"/>
      <c r="H40" s="46"/>
      <c r="I40" s="46"/>
      <c r="J40" s="46"/>
      <c r="K40" s="46"/>
      <c r="L40" s="46"/>
      <c r="M40" s="46"/>
      <c r="N40" s="46"/>
      <c r="O40" s="46"/>
      <c r="P40" s="46"/>
      <c r="Q40" s="46"/>
      <c r="R40" s="46"/>
      <c r="S40" s="46"/>
      <c r="T40" s="46"/>
      <c r="U40" s="46"/>
      <c r="V40" s="46"/>
      <c r="W40" s="46"/>
      <c r="X40" s="46"/>
      <c r="Y40" s="46"/>
      <c r="Z40" s="46"/>
    </row>
    <row r="41" spans="1:26" x14ac:dyDescent="0.25">
      <c r="A41" s="46"/>
      <c r="B41" s="132" t="s">
        <v>634</v>
      </c>
      <c r="C41" s="259" t="str">
        <f>IF($C$6="No","",IF(C38&lt;='Hardware Inputs'!C37,"✓ PASS — "&amp;C38&amp;" of "&amp;'Hardware Inputs'!C37&amp;" vCPU ("&amp;ROUND(C38/'Hardware Inputs'!C37*100,0)&amp;"%)","✗ FAIL — Need "&amp;C38&amp;" but only "&amp;'Hardware Inputs'!C37&amp;" available"))</f>
        <v>✓ PASS — 64 of 192 vCPU (33%)</v>
      </c>
      <c r="D41" s="46"/>
      <c r="E41" s="46"/>
      <c r="F41" s="134" t="s">
        <v>633</v>
      </c>
      <c r="G41" s="46"/>
      <c r="H41" s="46"/>
      <c r="I41" s="46"/>
      <c r="J41" s="46"/>
      <c r="K41" s="46"/>
      <c r="L41" s="46"/>
      <c r="M41" s="46"/>
      <c r="N41" s="46"/>
      <c r="O41" s="46"/>
      <c r="P41" s="46"/>
      <c r="Q41" s="46"/>
      <c r="R41" s="46"/>
      <c r="S41" s="46"/>
      <c r="T41" s="46"/>
      <c r="U41" s="46"/>
      <c r="V41" s="46"/>
      <c r="W41" s="46"/>
      <c r="X41" s="46"/>
      <c r="Y41" s="46"/>
      <c r="Z41" s="46"/>
    </row>
    <row r="42" spans="1:26" x14ac:dyDescent="0.25">
      <c r="A42" s="46"/>
      <c r="B42" s="132" t="s">
        <v>631</v>
      </c>
      <c r="C42" s="259" t="str">
        <f>IF($C$6="No","",IF(C37&lt;='Hardware Inputs'!C38,"✓ PASS — "&amp;C37&amp;" of "&amp;'Hardware Inputs'!C38&amp;" GB ("&amp;ROUND(C37/'Hardware Inputs'!C38*100,0)&amp;"%)","✗ FAIL — Need "&amp;C37&amp;" GB but only "&amp;'Hardware Inputs'!C38&amp;" GB available"))</f>
        <v>✗ FAIL — Need 1024 GB but only 672 GB available</v>
      </c>
      <c r="D42" s="46"/>
      <c r="E42" s="46"/>
      <c r="F42" s="134" t="s">
        <v>632</v>
      </c>
      <c r="G42" s="46"/>
      <c r="H42" s="46"/>
      <c r="I42" s="46"/>
      <c r="J42" s="46"/>
      <c r="K42" s="46"/>
      <c r="L42" s="46"/>
      <c r="M42" s="46"/>
      <c r="N42" s="46"/>
      <c r="O42" s="46"/>
      <c r="P42" s="46"/>
      <c r="Q42" s="46"/>
      <c r="R42" s="46"/>
      <c r="S42" s="46"/>
      <c r="T42" s="46"/>
      <c r="U42" s="46"/>
      <c r="V42" s="46"/>
      <c r="W42" s="46"/>
      <c r="X42" s="46"/>
      <c r="Y42" s="46"/>
      <c r="Z42" s="46"/>
    </row>
    <row r="43" spans="1:26" x14ac:dyDescent="0.25">
      <c r="A43" s="46"/>
      <c r="B43" s="152" t="s">
        <v>635</v>
      </c>
      <c r="C43" s="260" t="str">
        <f>IF($C$6="No","",IF(C38&lt;='Hardware Inputs'!C39,"✓ PASS — "&amp;C38&amp;" of "&amp;'Hardware Inputs'!C39&amp;" vCPU ("&amp;ROUND(C38/'Hardware Inputs'!C39*100,0)&amp;"%)","⚠ WARNING — Need "&amp;C38&amp;" but N+1 only has "&amp;'Hardware Inputs'!C39&amp;" vCPU"))</f>
        <v>✓ PASS — 64 of 128 vCPU (50%)</v>
      </c>
      <c r="D43" s="46"/>
      <c r="E43" s="46"/>
      <c r="F43" s="134" t="s">
        <v>636</v>
      </c>
      <c r="G43" s="46"/>
      <c r="H43" s="46"/>
      <c r="I43" s="46"/>
      <c r="J43" s="46"/>
      <c r="K43" s="46"/>
      <c r="L43" s="46"/>
      <c r="M43" s="46"/>
      <c r="N43" s="46"/>
      <c r="O43" s="46"/>
      <c r="P43" s="46"/>
      <c r="Q43" s="46"/>
      <c r="R43" s="46"/>
      <c r="S43" s="46"/>
      <c r="T43" s="46"/>
      <c r="U43" s="46"/>
      <c r="V43" s="46"/>
      <c r="W43" s="46"/>
      <c r="X43" s="46"/>
      <c r="Y43" s="46"/>
      <c r="Z43" s="46"/>
    </row>
    <row r="44" spans="1:26" x14ac:dyDescent="0.25">
      <c r="A44" s="46"/>
      <c r="B44" s="152" t="s">
        <v>637</v>
      </c>
      <c r="C44" s="260" t="str">
        <f>IF($C$6="No","",IF(C37&lt;='Hardware Inputs'!C40,"✓ PASS — "&amp;C37&amp;" of "&amp;'Hardware Inputs'!C40&amp;" GB ("&amp;ROUND(C37/'Hardware Inputs'!C40*100,0)&amp;"%)","⚠ WARNING — Need "&amp;C37&amp;" GB but N+1 only has "&amp;'Hardware Inputs'!C40&amp;" GB"))</f>
        <v>⚠ WARNING — Need 1024 GB but N+1 only has 448 GB</v>
      </c>
      <c r="D44" s="46"/>
      <c r="E44" s="46"/>
      <c r="F44" s="134" t="s">
        <v>638</v>
      </c>
      <c r="G44" s="46"/>
      <c r="H44" s="46"/>
      <c r="I44" s="46"/>
      <c r="J44" s="46"/>
      <c r="K44" s="46"/>
      <c r="L44" s="46"/>
      <c r="M44" s="46"/>
      <c r="N44" s="46"/>
      <c r="O44" s="46"/>
      <c r="P44" s="46"/>
      <c r="Q44" s="46"/>
      <c r="R44" s="46"/>
      <c r="S44" s="46"/>
      <c r="T44" s="46"/>
      <c r="U44" s="46"/>
      <c r="V44" s="46"/>
      <c r="W44" s="46"/>
      <c r="X44" s="46"/>
      <c r="Y44" s="46"/>
      <c r="Z44" s="46"/>
    </row>
    <row r="45" spans="1:26" x14ac:dyDescent="0.25">
      <c r="A45" s="46"/>
      <c r="B45" s="46"/>
      <c r="C45" s="46"/>
      <c r="D45" s="46"/>
      <c r="E45" s="46"/>
      <c r="F45" s="46"/>
      <c r="G45" s="46"/>
      <c r="H45" s="46"/>
      <c r="I45" s="46"/>
      <c r="J45" s="46"/>
      <c r="K45" s="46"/>
      <c r="L45" s="46"/>
      <c r="M45" s="46"/>
      <c r="N45" s="46"/>
      <c r="O45" s="46"/>
      <c r="P45" s="46"/>
      <c r="Q45" s="46"/>
      <c r="R45" s="46"/>
      <c r="S45" s="46"/>
      <c r="T45" s="46"/>
      <c r="U45" s="46"/>
      <c r="V45" s="46"/>
      <c r="W45" s="46"/>
      <c r="X45" s="46"/>
      <c r="Y45" s="46"/>
      <c r="Z45" s="46"/>
    </row>
    <row r="46" spans="1:26" x14ac:dyDescent="0.25">
      <c r="A46" s="46"/>
      <c r="B46" s="253" t="s">
        <v>796</v>
      </c>
      <c r="C46" s="147"/>
      <c r="D46" s="147"/>
      <c r="E46" s="147"/>
      <c r="F46" s="147"/>
      <c r="G46" s="46"/>
      <c r="H46" s="46"/>
      <c r="I46" s="46"/>
      <c r="J46" s="46"/>
      <c r="K46" s="46"/>
      <c r="L46" s="46"/>
      <c r="M46" s="46"/>
      <c r="N46" s="46"/>
      <c r="O46" s="46"/>
      <c r="P46" s="46"/>
      <c r="Q46" s="46"/>
      <c r="R46" s="46"/>
      <c r="S46" s="46"/>
      <c r="T46" s="46"/>
      <c r="U46" s="46"/>
      <c r="V46" s="46"/>
      <c r="W46" s="46"/>
      <c r="X46" s="46"/>
      <c r="Y46" s="46"/>
      <c r="Z46" s="46"/>
    </row>
    <row r="47" spans="1:26" x14ac:dyDescent="0.25">
      <c r="A47" s="46"/>
      <c r="B47" s="134" t="s">
        <v>797</v>
      </c>
      <c r="C47" s="46"/>
      <c r="D47" s="46"/>
      <c r="E47" s="46"/>
      <c r="F47" s="46"/>
      <c r="G47" s="46"/>
      <c r="H47" s="46"/>
      <c r="I47" s="46"/>
      <c r="J47" s="46"/>
      <c r="K47" s="46"/>
      <c r="L47" s="46"/>
      <c r="M47" s="46"/>
      <c r="N47" s="46"/>
      <c r="O47" s="46"/>
      <c r="P47" s="46"/>
      <c r="Q47" s="46"/>
      <c r="R47" s="46"/>
      <c r="S47" s="46"/>
      <c r="T47" s="46"/>
      <c r="U47" s="46"/>
      <c r="V47" s="46"/>
      <c r="W47" s="46"/>
      <c r="X47" s="46"/>
      <c r="Y47" s="46"/>
      <c r="Z47" s="46"/>
    </row>
    <row r="48" spans="1:26" x14ac:dyDescent="0.25">
      <c r="A48" s="46"/>
      <c r="B48" s="46"/>
      <c r="C48" s="46"/>
      <c r="D48" s="46"/>
      <c r="E48" s="46"/>
      <c r="F48" s="46"/>
      <c r="G48" s="46"/>
      <c r="H48" s="46"/>
      <c r="I48" s="46"/>
      <c r="J48" s="46"/>
      <c r="K48" s="46"/>
      <c r="L48" s="46"/>
      <c r="M48" s="46"/>
      <c r="N48" s="46"/>
      <c r="O48" s="46"/>
      <c r="P48" s="46"/>
      <c r="Q48" s="46"/>
      <c r="R48" s="46"/>
      <c r="S48" s="46"/>
      <c r="T48" s="46"/>
      <c r="U48" s="46"/>
      <c r="V48" s="46"/>
      <c r="W48" s="46"/>
      <c r="X48" s="46"/>
      <c r="Y48" s="46"/>
      <c r="Z48" s="46"/>
    </row>
    <row r="49" spans="1:26" x14ac:dyDescent="0.25">
      <c r="A49" s="46"/>
      <c r="B49" s="261" t="s">
        <v>664</v>
      </c>
      <c r="C49" s="262">
        <f>C28*VALUE(LEFT(C30,FIND(":",C30)-1))</f>
        <v>32</v>
      </c>
      <c r="D49" s="142" t="s">
        <v>484</v>
      </c>
      <c r="E49" s="46"/>
      <c r="F49" s="46"/>
      <c r="G49" s="46"/>
      <c r="H49" s="46"/>
      <c r="I49" s="46"/>
      <c r="J49" s="46"/>
      <c r="K49" s="46"/>
      <c r="L49" s="46"/>
      <c r="M49" s="46"/>
      <c r="N49" s="46"/>
      <c r="O49" s="46"/>
      <c r="P49" s="46"/>
      <c r="Q49" s="46"/>
      <c r="R49" s="46"/>
      <c r="S49" s="46"/>
      <c r="T49" s="46"/>
      <c r="U49" s="46"/>
      <c r="V49" s="46"/>
      <c r="W49" s="46"/>
      <c r="X49" s="46"/>
      <c r="Y49" s="46"/>
      <c r="Z49" s="46"/>
    </row>
    <row r="50" spans="1:26" x14ac:dyDescent="0.25">
      <c r="A50" s="46"/>
      <c r="B50" s="46"/>
      <c r="C50" s="46"/>
      <c r="D50" s="46"/>
      <c r="E50" s="46"/>
      <c r="F50" s="46"/>
      <c r="G50" s="46"/>
      <c r="H50" s="46"/>
      <c r="I50" s="46"/>
      <c r="J50" s="46"/>
      <c r="K50" s="46"/>
      <c r="L50" s="46"/>
      <c r="M50" s="46"/>
      <c r="N50" s="46"/>
      <c r="O50" s="46"/>
      <c r="P50" s="46"/>
      <c r="Q50" s="46"/>
      <c r="R50" s="46"/>
      <c r="S50" s="46"/>
      <c r="T50" s="46"/>
      <c r="U50" s="46"/>
      <c r="V50" s="46"/>
      <c r="W50" s="46"/>
      <c r="X50" s="46"/>
      <c r="Y50" s="46"/>
      <c r="Z50" s="46"/>
    </row>
    <row r="51" spans="1:26" x14ac:dyDescent="0.25">
      <c r="A51" s="46"/>
      <c r="B51" s="261" t="s">
        <v>665</v>
      </c>
      <c r="C51" s="263" t="s">
        <v>666</v>
      </c>
      <c r="D51" s="264" t="s">
        <v>667</v>
      </c>
      <c r="E51" s="263" t="s">
        <v>668</v>
      </c>
      <c r="F51" s="46"/>
      <c r="G51" s="46"/>
      <c r="H51" s="46"/>
      <c r="I51" s="46"/>
      <c r="J51" s="46"/>
      <c r="K51" s="46"/>
      <c r="L51" s="46"/>
      <c r="M51" s="46"/>
      <c r="N51" s="46"/>
      <c r="O51" s="46"/>
      <c r="P51" s="46"/>
      <c r="Q51" s="46"/>
      <c r="R51" s="46"/>
      <c r="S51" s="46"/>
      <c r="T51" s="46"/>
      <c r="U51" s="46"/>
      <c r="V51" s="46"/>
      <c r="W51" s="46"/>
      <c r="X51" s="46"/>
      <c r="Y51" s="46"/>
      <c r="Z51" s="46"/>
    </row>
    <row r="52" spans="1:26" x14ac:dyDescent="0.25">
      <c r="A52" s="46"/>
      <c r="B52" s="265" t="s">
        <v>669</v>
      </c>
      <c r="C52" s="75">
        <f>INT(C49/C31)</f>
        <v>16</v>
      </c>
      <c r="D52" s="75">
        <f>INT(C29/C32)</f>
        <v>8</v>
      </c>
      <c r="E52" s="266" t="str">
        <f>IF(C52&lt;=D52,"CPU","RAM")</f>
        <v>RAM</v>
      </c>
      <c r="F52" s="46"/>
      <c r="G52" s="46"/>
      <c r="H52" s="46"/>
      <c r="I52" s="46"/>
      <c r="J52" s="46"/>
      <c r="K52" s="46"/>
      <c r="L52" s="46"/>
      <c r="M52" s="46"/>
      <c r="N52" s="46"/>
      <c r="O52" s="46"/>
      <c r="P52" s="46"/>
      <c r="Q52" s="46"/>
      <c r="R52" s="46"/>
      <c r="S52" s="46"/>
      <c r="T52" s="46"/>
      <c r="U52" s="46"/>
      <c r="V52" s="46"/>
      <c r="W52" s="46"/>
      <c r="X52" s="46"/>
      <c r="Y52" s="46"/>
      <c r="Z52" s="46"/>
    </row>
    <row r="53" spans="1:26" x14ac:dyDescent="0.25">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row>
    <row r="54" spans="1:26" x14ac:dyDescent="0.25">
      <c r="A54" s="46"/>
      <c r="B54" s="261" t="s">
        <v>670</v>
      </c>
      <c r="C54" s="41">
        <v>2</v>
      </c>
      <c r="D54" s="41">
        <v>4</v>
      </c>
      <c r="E54" s="41">
        <v>6</v>
      </c>
      <c r="F54" s="41">
        <v>8</v>
      </c>
      <c r="G54" s="46"/>
      <c r="H54" s="46"/>
      <c r="I54" s="46"/>
      <c r="J54" s="46"/>
      <c r="K54" s="46"/>
      <c r="L54" s="46"/>
      <c r="M54" s="46"/>
      <c r="N54" s="46"/>
      <c r="O54" s="46"/>
      <c r="P54" s="46"/>
      <c r="Q54" s="46"/>
      <c r="R54" s="46"/>
      <c r="S54" s="46"/>
      <c r="T54" s="46"/>
      <c r="U54" s="46"/>
      <c r="V54" s="46"/>
      <c r="W54" s="46"/>
      <c r="X54" s="46"/>
      <c r="Y54" s="46"/>
      <c r="Z54" s="46"/>
    </row>
    <row r="55" spans="1:26" x14ac:dyDescent="0.25">
      <c r="A55" s="46"/>
      <c r="B55" s="267" t="s">
        <v>671</v>
      </c>
      <c r="C55" s="268">
        <f>INT($C$49/C54)</f>
        <v>16</v>
      </c>
      <c r="D55" s="268">
        <f>INT($C$49/D54)</f>
        <v>8</v>
      </c>
      <c r="E55" s="268">
        <f>INT($C$49/E54)</f>
        <v>5</v>
      </c>
      <c r="F55" s="268">
        <f>INT($C$49/F54)</f>
        <v>4</v>
      </c>
      <c r="G55" s="46"/>
      <c r="H55" s="46"/>
      <c r="I55" s="46"/>
      <c r="J55" s="46"/>
      <c r="K55" s="46"/>
      <c r="L55" s="46"/>
      <c r="M55" s="46"/>
      <c r="N55" s="46"/>
      <c r="O55" s="46"/>
      <c r="P55" s="46"/>
      <c r="Q55" s="46"/>
      <c r="R55" s="46"/>
      <c r="S55" s="46"/>
      <c r="T55" s="46"/>
      <c r="U55" s="46"/>
      <c r="V55" s="46"/>
      <c r="W55" s="46"/>
      <c r="X55" s="46"/>
      <c r="Y55" s="46"/>
      <c r="Z55" s="46"/>
    </row>
    <row r="56" spans="1:26" x14ac:dyDescent="0.25">
      <c r="A56" s="46"/>
      <c r="B56" s="269" t="s">
        <v>798</v>
      </c>
      <c r="C56" s="268">
        <f>INT($C$29/$C$32)</f>
        <v>8</v>
      </c>
      <c r="D56" s="268">
        <f>$C$56</f>
        <v>8</v>
      </c>
      <c r="E56" s="268">
        <f>$C$56</f>
        <v>8</v>
      </c>
      <c r="F56" s="268">
        <f>$C$56</f>
        <v>8</v>
      </c>
      <c r="G56" s="46"/>
      <c r="H56" s="46"/>
      <c r="I56" s="46"/>
      <c r="J56" s="46"/>
      <c r="K56" s="46"/>
      <c r="L56" s="46"/>
      <c r="M56" s="46"/>
      <c r="N56" s="46"/>
      <c r="O56" s="46"/>
      <c r="P56" s="46"/>
      <c r="Q56" s="46"/>
      <c r="R56" s="46"/>
      <c r="S56" s="46"/>
      <c r="T56" s="46"/>
      <c r="U56" s="46"/>
      <c r="V56" s="46"/>
      <c r="W56" s="46"/>
      <c r="X56" s="46"/>
      <c r="Y56" s="46"/>
      <c r="Z56" s="46"/>
    </row>
    <row r="57" spans="1:26" x14ac:dyDescent="0.25">
      <c r="A57" s="46"/>
      <c r="B57" s="270" t="s">
        <v>672</v>
      </c>
      <c r="C57" s="138">
        <f>MIN(C55,C56)</f>
        <v>8</v>
      </c>
      <c r="D57" s="138">
        <f>MIN(D55,D56)</f>
        <v>8</v>
      </c>
      <c r="E57" s="138">
        <f>MIN(E55,E56)</f>
        <v>5</v>
      </c>
      <c r="F57" s="138">
        <f>MIN(F55,F56)</f>
        <v>4</v>
      </c>
      <c r="G57" s="46"/>
      <c r="H57" s="46"/>
      <c r="I57" s="46"/>
      <c r="J57" s="46"/>
      <c r="K57" s="46"/>
      <c r="L57" s="46"/>
      <c r="M57" s="46"/>
      <c r="N57" s="46"/>
      <c r="O57" s="46"/>
      <c r="P57" s="46"/>
      <c r="Q57" s="46"/>
      <c r="R57" s="46"/>
      <c r="S57" s="46"/>
      <c r="T57" s="46"/>
      <c r="U57" s="46"/>
      <c r="V57" s="46"/>
      <c r="W57" s="46"/>
      <c r="X57" s="46"/>
      <c r="Y57" s="46"/>
      <c r="Z57" s="46"/>
    </row>
    <row r="58" spans="1:26" x14ac:dyDescent="0.25">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row>
    <row r="59" spans="1:26" x14ac:dyDescent="0.25">
      <c r="A59" s="46"/>
      <c r="B59" s="253" t="s">
        <v>799</v>
      </c>
      <c r="C59" s="147"/>
      <c r="D59" s="147"/>
      <c r="E59" s="147"/>
      <c r="F59" s="147"/>
      <c r="G59" s="46"/>
      <c r="H59" s="46"/>
      <c r="I59" s="46"/>
      <c r="J59" s="46"/>
      <c r="K59" s="46"/>
      <c r="L59" s="46"/>
      <c r="M59" s="46"/>
      <c r="N59" s="46"/>
      <c r="O59" s="46"/>
      <c r="P59" s="46"/>
      <c r="Q59" s="46"/>
      <c r="R59" s="46"/>
      <c r="S59" s="46"/>
      <c r="T59" s="46"/>
      <c r="U59" s="46"/>
      <c r="V59" s="46"/>
      <c r="W59" s="46"/>
      <c r="X59" s="46"/>
      <c r="Y59" s="46"/>
      <c r="Z59" s="46"/>
    </row>
    <row r="60" spans="1:26" x14ac:dyDescent="0.25">
      <c r="A60" s="46"/>
      <c r="B60" s="134" t="s">
        <v>673</v>
      </c>
      <c r="C60" s="46"/>
      <c r="D60" s="46"/>
      <c r="E60" s="46"/>
      <c r="F60" s="46"/>
      <c r="G60" s="46"/>
      <c r="H60" s="46"/>
      <c r="I60" s="46"/>
      <c r="J60" s="46"/>
      <c r="K60" s="46"/>
      <c r="L60" s="46"/>
      <c r="M60" s="46"/>
      <c r="N60" s="46"/>
      <c r="O60" s="46"/>
      <c r="P60" s="46"/>
      <c r="Q60" s="46"/>
      <c r="R60" s="46"/>
      <c r="S60" s="46"/>
      <c r="T60" s="46"/>
      <c r="U60" s="46"/>
      <c r="V60" s="46"/>
      <c r="W60" s="46"/>
      <c r="X60" s="46"/>
      <c r="Y60" s="46"/>
      <c r="Z60" s="46"/>
    </row>
    <row r="61" spans="1:26" x14ac:dyDescent="0.25">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row>
    <row r="62" spans="1:26" x14ac:dyDescent="0.25">
      <c r="A62" s="46"/>
      <c r="B62" s="261" t="s">
        <v>674</v>
      </c>
      <c r="C62" s="263" t="s">
        <v>661</v>
      </c>
      <c r="D62" s="263" t="s">
        <v>554</v>
      </c>
      <c r="E62" s="46"/>
      <c r="F62" s="46"/>
      <c r="G62" s="46"/>
      <c r="H62" s="46"/>
      <c r="I62" s="46"/>
      <c r="J62" s="46"/>
      <c r="K62" s="46"/>
      <c r="L62" s="46"/>
      <c r="M62" s="46"/>
      <c r="N62" s="46"/>
      <c r="O62" s="46"/>
      <c r="P62" s="46"/>
      <c r="Q62" s="46"/>
      <c r="R62" s="46"/>
      <c r="S62" s="46"/>
      <c r="T62" s="46"/>
      <c r="U62" s="46"/>
      <c r="V62" s="46"/>
      <c r="W62" s="46"/>
      <c r="X62" s="46"/>
      <c r="Y62" s="46"/>
      <c r="Z62" s="46"/>
    </row>
    <row r="63" spans="1:26" x14ac:dyDescent="0.25">
      <c r="A63" s="46"/>
      <c r="B63" s="267" t="s">
        <v>675</v>
      </c>
      <c r="C63" s="271">
        <f>C18</f>
        <v>1300</v>
      </c>
      <c r="D63" s="134" t="s">
        <v>800</v>
      </c>
      <c r="E63" s="46"/>
      <c r="F63" s="46"/>
      <c r="G63" s="46"/>
      <c r="H63" s="46"/>
      <c r="I63" s="46"/>
      <c r="J63" s="46"/>
      <c r="K63" s="46"/>
      <c r="L63" s="46"/>
      <c r="M63" s="46"/>
      <c r="N63" s="46"/>
      <c r="O63" s="46"/>
      <c r="P63" s="46"/>
      <c r="Q63" s="46"/>
      <c r="R63" s="46"/>
      <c r="S63" s="46"/>
      <c r="T63" s="46"/>
      <c r="U63" s="46"/>
      <c r="V63" s="46"/>
      <c r="W63" s="46"/>
      <c r="X63" s="46"/>
      <c r="Y63" s="46"/>
      <c r="Z63" s="46"/>
    </row>
    <row r="64" spans="1:26" x14ac:dyDescent="0.25">
      <c r="A64" s="46"/>
      <c r="B64" s="269" t="s">
        <v>676</v>
      </c>
      <c r="C64" s="271">
        <f>C19</f>
        <v>300</v>
      </c>
      <c r="D64" s="134" t="s">
        <v>800</v>
      </c>
      <c r="E64" s="46"/>
      <c r="F64" s="46"/>
      <c r="G64" s="46"/>
      <c r="H64" s="46"/>
      <c r="I64" s="46"/>
      <c r="J64" s="46"/>
      <c r="K64" s="46"/>
      <c r="L64" s="46"/>
      <c r="M64" s="46"/>
      <c r="N64" s="46"/>
      <c r="O64" s="46"/>
      <c r="P64" s="46"/>
      <c r="Q64" s="46"/>
      <c r="R64" s="46"/>
      <c r="S64" s="46"/>
      <c r="T64" s="46"/>
      <c r="U64" s="46"/>
      <c r="V64" s="46"/>
      <c r="W64" s="46"/>
      <c r="X64" s="46"/>
      <c r="Y64" s="46"/>
      <c r="Z64" s="46"/>
    </row>
    <row r="65" spans="1:26" x14ac:dyDescent="0.25">
      <c r="A65" s="46"/>
      <c r="B65" s="267" t="s">
        <v>677</v>
      </c>
      <c r="C65" s="272">
        <f>IF(C63&gt;0,C64/C63,0)</f>
        <v>0.23076923076923078</v>
      </c>
      <c r="D65" s="273" t="s">
        <v>678</v>
      </c>
      <c r="E65" s="46"/>
      <c r="F65" s="46"/>
      <c r="G65" s="46"/>
      <c r="H65" s="46"/>
      <c r="I65" s="46"/>
      <c r="J65" s="46"/>
      <c r="K65" s="46"/>
      <c r="L65" s="46"/>
      <c r="M65" s="46"/>
      <c r="N65" s="46"/>
      <c r="O65" s="46"/>
      <c r="P65" s="46"/>
      <c r="Q65" s="46"/>
      <c r="R65" s="46"/>
      <c r="S65" s="46"/>
      <c r="T65" s="46"/>
      <c r="U65" s="46"/>
      <c r="V65" s="46"/>
      <c r="W65" s="46"/>
      <c r="X65" s="46"/>
      <c r="Y65" s="46"/>
      <c r="Z65" s="46"/>
    </row>
    <row r="66" spans="1:26" x14ac:dyDescent="0.25">
      <c r="A66" s="46"/>
      <c r="B66" s="269" t="s">
        <v>679</v>
      </c>
      <c r="C66" s="268">
        <f>C33</f>
        <v>4</v>
      </c>
      <c r="D66" s="134" t="s">
        <v>801</v>
      </c>
      <c r="E66" s="46"/>
      <c r="F66" s="46"/>
      <c r="G66" s="46"/>
      <c r="H66" s="46"/>
      <c r="I66" s="46"/>
      <c r="J66" s="46"/>
      <c r="K66" s="46"/>
      <c r="L66" s="46"/>
      <c r="M66" s="46"/>
      <c r="N66" s="46"/>
      <c r="O66" s="46"/>
      <c r="P66" s="46"/>
      <c r="Q66" s="46"/>
      <c r="R66" s="46"/>
      <c r="S66" s="46"/>
      <c r="T66" s="46"/>
      <c r="U66" s="46"/>
      <c r="V66" s="46"/>
      <c r="W66" s="46"/>
      <c r="X66" s="46"/>
      <c r="Y66" s="46"/>
      <c r="Z66" s="46"/>
    </row>
    <row r="67" spans="1:26" x14ac:dyDescent="0.25">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row>
    <row r="68" spans="1:26" x14ac:dyDescent="0.25">
      <c r="A68" s="46"/>
      <c r="B68" s="265" t="s">
        <v>680</v>
      </c>
      <c r="C68" s="75">
        <f>IF(C66&gt;0,ROUNDUP(C64/C66,0),0)</f>
        <v>75</v>
      </c>
      <c r="D68" s="273" t="s">
        <v>681</v>
      </c>
      <c r="E68" s="46"/>
      <c r="F68" s="46"/>
      <c r="G68" s="46"/>
      <c r="H68" s="46"/>
      <c r="I68" s="46"/>
      <c r="J68" s="46"/>
      <c r="K68" s="46"/>
      <c r="L68" s="46"/>
      <c r="M68" s="46"/>
      <c r="N68" s="46"/>
      <c r="O68" s="46"/>
      <c r="P68" s="46"/>
      <c r="Q68" s="46"/>
      <c r="R68" s="46"/>
      <c r="S68" s="46"/>
      <c r="T68" s="46"/>
      <c r="U68" s="46"/>
      <c r="V68" s="46"/>
      <c r="W68" s="46"/>
      <c r="X68" s="46"/>
      <c r="Y68" s="46"/>
      <c r="Z68" s="46"/>
    </row>
    <row r="69" spans="1:26" x14ac:dyDescent="0.25">
      <c r="A69" s="46"/>
      <c r="B69" s="274" t="s">
        <v>682</v>
      </c>
      <c r="C69" s="275">
        <f>C68+1</f>
        <v>76</v>
      </c>
      <c r="D69" s="276" t="s">
        <v>683</v>
      </c>
      <c r="E69" s="46"/>
      <c r="F69" s="46"/>
      <c r="G69" s="46"/>
      <c r="H69" s="46"/>
      <c r="I69" s="46"/>
      <c r="J69" s="46"/>
      <c r="K69" s="46"/>
      <c r="L69" s="46"/>
      <c r="M69" s="46"/>
      <c r="N69" s="46"/>
      <c r="O69" s="46"/>
      <c r="P69" s="46"/>
      <c r="Q69" s="46"/>
      <c r="R69" s="46"/>
      <c r="S69" s="46"/>
      <c r="T69" s="46"/>
      <c r="U69" s="46"/>
      <c r="V69" s="46"/>
      <c r="W69" s="46"/>
      <c r="X69" s="46"/>
      <c r="Y69" s="46"/>
      <c r="Z69" s="46"/>
    </row>
    <row r="70" spans="1:26" x14ac:dyDescent="0.25">
      <c r="A70" s="46"/>
      <c r="B70" s="269" t="s">
        <v>802</v>
      </c>
      <c r="C70" s="277" t="str">
        <f>IF(C69&lt;=C9,"✅ Yes (≤"&amp;C9&amp;" VMs)","❌ No — need "&amp;C69&amp;" but only "&amp;C9&amp;" planned")</f>
        <v>❌ No — need 76 but only 32 planned</v>
      </c>
      <c r="D70" s="134" t="s">
        <v>803</v>
      </c>
      <c r="E70" s="46"/>
      <c r="F70" s="46"/>
      <c r="G70" s="46"/>
      <c r="H70" s="46"/>
      <c r="I70" s="46"/>
      <c r="J70" s="46"/>
      <c r="K70" s="46"/>
      <c r="L70" s="46"/>
      <c r="M70" s="46"/>
      <c r="N70" s="46"/>
      <c r="O70" s="46"/>
      <c r="P70" s="46"/>
      <c r="Q70" s="46"/>
      <c r="R70" s="46"/>
      <c r="S70" s="46"/>
      <c r="T70" s="46"/>
      <c r="U70" s="46"/>
      <c r="V70" s="46"/>
      <c r="W70" s="46"/>
      <c r="X70" s="46"/>
      <c r="Y70" s="46"/>
      <c r="Z70" s="46"/>
    </row>
    <row r="71" spans="1:26" x14ac:dyDescent="0.25">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row>
    <row r="72" spans="1:26" x14ac:dyDescent="0.25">
      <c r="A72" s="46"/>
      <c r="B72" s="253" t="s">
        <v>804</v>
      </c>
      <c r="C72" s="147"/>
      <c r="D72" s="147"/>
      <c r="E72" s="147"/>
      <c r="F72" s="147"/>
      <c r="G72" s="46"/>
      <c r="H72" s="46"/>
      <c r="I72" s="46"/>
      <c r="J72" s="46"/>
      <c r="K72" s="46"/>
      <c r="L72" s="46"/>
      <c r="M72" s="46"/>
      <c r="N72" s="46"/>
      <c r="O72" s="46"/>
      <c r="P72" s="46"/>
      <c r="Q72" s="46"/>
      <c r="R72" s="46"/>
      <c r="S72" s="46"/>
      <c r="T72" s="46"/>
      <c r="U72" s="46"/>
      <c r="V72" s="46"/>
      <c r="W72" s="46"/>
      <c r="X72" s="46"/>
      <c r="Y72" s="46"/>
      <c r="Z72" s="46"/>
    </row>
    <row r="73" spans="1:26" x14ac:dyDescent="0.25">
      <c r="A73" s="46"/>
      <c r="B73" s="134" t="s">
        <v>805</v>
      </c>
      <c r="C73" s="46"/>
      <c r="D73" s="46"/>
      <c r="E73" s="46"/>
      <c r="F73" s="46"/>
      <c r="G73" s="46"/>
      <c r="H73" s="46"/>
      <c r="I73" s="46"/>
      <c r="J73" s="46"/>
      <c r="K73" s="46"/>
      <c r="L73" s="46"/>
      <c r="M73" s="46"/>
      <c r="N73" s="46"/>
      <c r="O73" s="46"/>
      <c r="P73" s="46"/>
      <c r="Q73" s="46"/>
      <c r="R73" s="46"/>
      <c r="S73" s="46"/>
      <c r="T73" s="46"/>
      <c r="U73" s="46"/>
      <c r="V73" s="46"/>
      <c r="W73" s="46"/>
      <c r="X73" s="46"/>
      <c r="Y73" s="46"/>
      <c r="Z73" s="46"/>
    </row>
    <row r="74" spans="1:26" x14ac:dyDescent="0.25">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spans="1:26" x14ac:dyDescent="0.25">
      <c r="A75" s="46"/>
      <c r="B75" s="261" t="s">
        <v>684</v>
      </c>
      <c r="C75" s="263" t="s">
        <v>685</v>
      </c>
      <c r="D75" s="263" t="s">
        <v>686</v>
      </c>
      <c r="E75" s="263" t="s">
        <v>687</v>
      </c>
      <c r="F75" s="263" t="s">
        <v>688</v>
      </c>
      <c r="G75" s="46"/>
      <c r="H75" s="46"/>
      <c r="I75" s="46"/>
      <c r="J75" s="46"/>
      <c r="K75" s="46"/>
      <c r="L75" s="46"/>
      <c r="M75" s="46"/>
      <c r="N75" s="46"/>
      <c r="O75" s="46"/>
      <c r="P75" s="46"/>
      <c r="Q75" s="46"/>
      <c r="R75" s="46"/>
      <c r="S75" s="46"/>
      <c r="T75" s="46"/>
      <c r="U75" s="46"/>
      <c r="V75" s="46"/>
      <c r="W75" s="46"/>
      <c r="X75" s="46"/>
      <c r="Y75" s="46"/>
      <c r="Z75" s="46"/>
    </row>
    <row r="76" spans="1:26" x14ac:dyDescent="0.25">
      <c r="A76" s="46"/>
      <c r="B76" s="267" t="s">
        <v>689</v>
      </c>
      <c r="C76" s="14">
        <v>2</v>
      </c>
      <c r="D76" s="15">
        <v>0.3</v>
      </c>
      <c r="E76" s="271">
        <f>ROUND(D76*$C$18,0)</f>
        <v>390</v>
      </c>
      <c r="F76" s="278">
        <f>ROUND(E76*C76/1024,2)</f>
        <v>0.76</v>
      </c>
      <c r="G76" s="46"/>
      <c r="H76" s="46"/>
      <c r="I76" s="46"/>
      <c r="J76" s="46"/>
      <c r="K76" s="46"/>
      <c r="L76" s="46"/>
      <c r="M76" s="46"/>
      <c r="N76" s="46"/>
      <c r="O76" s="46"/>
      <c r="P76" s="46"/>
      <c r="Q76" s="46"/>
      <c r="R76" s="46"/>
      <c r="S76" s="46"/>
      <c r="T76" s="46"/>
      <c r="U76" s="46"/>
      <c r="V76" s="46"/>
      <c r="W76" s="46"/>
      <c r="X76" s="46"/>
      <c r="Y76" s="46"/>
      <c r="Z76" s="46"/>
    </row>
    <row r="77" spans="1:26" x14ac:dyDescent="0.25">
      <c r="A77" s="46"/>
      <c r="B77" s="269" t="s">
        <v>690</v>
      </c>
      <c r="C77" s="14">
        <v>5</v>
      </c>
      <c r="D77" s="15">
        <v>0.5</v>
      </c>
      <c r="E77" s="271">
        <f>ROUND(D77*$C$18,0)</f>
        <v>650</v>
      </c>
      <c r="F77" s="278">
        <f>ROUND(E77*C77/1024,2)</f>
        <v>3.17</v>
      </c>
      <c r="G77" s="46"/>
      <c r="H77" s="46"/>
      <c r="I77" s="46"/>
      <c r="J77" s="46"/>
      <c r="K77" s="46"/>
      <c r="L77" s="46"/>
      <c r="M77" s="46"/>
      <c r="N77" s="46"/>
      <c r="O77" s="46"/>
      <c r="P77" s="46"/>
      <c r="Q77" s="46"/>
      <c r="R77" s="46"/>
      <c r="S77" s="46"/>
      <c r="T77" s="46"/>
      <c r="U77" s="46"/>
      <c r="V77" s="46"/>
      <c r="W77" s="46"/>
      <c r="X77" s="46"/>
      <c r="Y77" s="46"/>
      <c r="Z77" s="46"/>
    </row>
    <row r="78" spans="1:26" x14ac:dyDescent="0.25">
      <c r="A78" s="46"/>
      <c r="B78" s="267" t="s">
        <v>691</v>
      </c>
      <c r="C78" s="14">
        <v>15</v>
      </c>
      <c r="D78" s="15">
        <v>0.2</v>
      </c>
      <c r="E78" s="271">
        <f>ROUND(D78*$C$18,0)</f>
        <v>260</v>
      </c>
      <c r="F78" s="278">
        <f>ROUND(E78*C78/1024,2)</f>
        <v>3.81</v>
      </c>
      <c r="G78" s="46"/>
      <c r="H78" s="46"/>
      <c r="I78" s="46"/>
      <c r="J78" s="46"/>
      <c r="K78" s="46"/>
      <c r="L78" s="46"/>
      <c r="M78" s="46"/>
      <c r="N78" s="46"/>
      <c r="O78" s="46"/>
      <c r="P78" s="46"/>
      <c r="Q78" s="46"/>
      <c r="R78" s="46"/>
      <c r="S78" s="46"/>
      <c r="T78" s="46"/>
      <c r="U78" s="46"/>
      <c r="V78" s="46"/>
      <c r="W78" s="46"/>
      <c r="X78" s="46"/>
      <c r="Y78" s="46"/>
      <c r="Z78" s="46"/>
    </row>
    <row r="79" spans="1:26" x14ac:dyDescent="0.25">
      <c r="A79" s="46"/>
      <c r="B79" s="279" t="s">
        <v>692</v>
      </c>
      <c r="C79" s="46"/>
      <c r="D79" s="280">
        <f>SUM(D76:D78)</f>
        <v>1</v>
      </c>
      <c r="E79" s="281">
        <f>SUM(E76:E78)</f>
        <v>1300</v>
      </c>
      <c r="F79" s="42">
        <f>SUM(F76:F78)</f>
        <v>7.74</v>
      </c>
      <c r="G79" s="46"/>
      <c r="H79" s="46"/>
      <c r="I79" s="46"/>
      <c r="J79" s="46"/>
      <c r="K79" s="46"/>
      <c r="L79" s="46"/>
      <c r="M79" s="46"/>
      <c r="N79" s="46"/>
      <c r="O79" s="46"/>
      <c r="P79" s="46"/>
      <c r="Q79" s="46"/>
      <c r="R79" s="46"/>
      <c r="S79" s="46"/>
      <c r="T79" s="46"/>
      <c r="U79" s="46"/>
      <c r="V79" s="46"/>
      <c r="W79" s="46"/>
      <c r="X79" s="46"/>
      <c r="Y79" s="46"/>
      <c r="Z79" s="46"/>
    </row>
    <row r="80" spans="1:26" x14ac:dyDescent="0.25">
      <c r="A80" s="46"/>
      <c r="B80" s="261" t="s">
        <v>693</v>
      </c>
      <c r="C80" s="282">
        <f>IF(E79&gt;0,SUMPRODUCT(C76:C78,E76:E78)/E79,0)</f>
        <v>6.1</v>
      </c>
      <c r="D80" s="134" t="str">
        <f>IF(ABS(C80-C20)&lt;1,"✅ Matches your input (±1 GB)","⚠️ Your input uses "&amp;C20&amp;" GB")</f>
        <v>⚠️ Your input uses 5 GB</v>
      </c>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x14ac:dyDescent="0.25">
      <c r="A82" s="46"/>
      <c r="B82" s="261" t="s">
        <v>806</v>
      </c>
      <c r="C82" s="283" t="s">
        <v>807</v>
      </c>
      <c r="D82" s="283" t="s">
        <v>808</v>
      </c>
      <c r="E82" s="46"/>
      <c r="F82" s="46"/>
      <c r="G82" s="46"/>
      <c r="H82" s="46"/>
      <c r="I82" s="46"/>
      <c r="J82" s="46"/>
      <c r="K82" s="46"/>
      <c r="L82" s="46"/>
      <c r="M82" s="46"/>
      <c r="N82" s="46"/>
      <c r="O82" s="46"/>
      <c r="P82" s="46"/>
      <c r="Q82" s="46"/>
      <c r="R82" s="46"/>
      <c r="S82" s="46"/>
      <c r="T82" s="46"/>
      <c r="U82" s="46"/>
      <c r="V82" s="46"/>
      <c r="W82" s="46"/>
      <c r="X82" s="46"/>
      <c r="Y82" s="46"/>
      <c r="Z82" s="46"/>
    </row>
    <row r="83" spans="1:26" x14ac:dyDescent="0.25">
      <c r="A83" s="46"/>
      <c r="B83" s="267" t="s">
        <v>694</v>
      </c>
      <c r="C83" s="284">
        <f>F79</f>
        <v>7.74</v>
      </c>
      <c r="D83" s="284">
        <f>C23</f>
        <v>8.25</v>
      </c>
      <c r="E83" s="46"/>
      <c r="F83" s="46"/>
      <c r="G83" s="46"/>
      <c r="H83" s="46"/>
      <c r="I83" s="46"/>
      <c r="J83" s="46"/>
      <c r="K83" s="46"/>
      <c r="L83" s="46"/>
      <c r="M83" s="46"/>
      <c r="N83" s="46"/>
      <c r="O83" s="46"/>
      <c r="P83" s="46"/>
      <c r="Q83" s="46"/>
      <c r="R83" s="46"/>
      <c r="S83" s="46"/>
      <c r="T83" s="46"/>
      <c r="U83" s="46"/>
      <c r="V83" s="46"/>
      <c r="W83" s="46"/>
      <c r="X83" s="46"/>
      <c r="Y83" s="46"/>
      <c r="Z83" s="46"/>
    </row>
    <row r="84" spans="1:26" x14ac:dyDescent="0.25">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spans="1:26" x14ac:dyDescent="0.25">
      <c r="A85" s="46"/>
      <c r="B85" s="253" t="s">
        <v>809</v>
      </c>
      <c r="C85" s="147"/>
      <c r="D85" s="147"/>
      <c r="E85" s="147"/>
      <c r="F85" s="147"/>
      <c r="G85" s="46"/>
      <c r="H85" s="46"/>
      <c r="I85" s="46"/>
      <c r="J85" s="46"/>
      <c r="K85" s="46"/>
      <c r="L85" s="46"/>
      <c r="M85" s="46"/>
      <c r="N85" s="46"/>
      <c r="O85" s="46"/>
      <c r="P85" s="46"/>
      <c r="Q85" s="46"/>
      <c r="R85" s="46"/>
      <c r="S85" s="46"/>
      <c r="T85" s="46"/>
      <c r="U85" s="46"/>
      <c r="V85" s="46"/>
      <c r="W85" s="46"/>
      <c r="X85" s="46"/>
      <c r="Y85" s="46"/>
      <c r="Z85" s="46"/>
    </row>
    <row r="86" spans="1:26" x14ac:dyDescent="0.25">
      <c r="A86" s="46"/>
      <c r="B86" s="134" t="s">
        <v>695</v>
      </c>
      <c r="C86" s="46"/>
      <c r="D86" s="46"/>
      <c r="E86" s="46"/>
      <c r="F86" s="46"/>
      <c r="G86" s="46"/>
      <c r="H86" s="46"/>
      <c r="I86" s="46"/>
      <c r="J86" s="46"/>
      <c r="K86" s="46"/>
      <c r="L86" s="46"/>
      <c r="M86" s="46"/>
      <c r="N86" s="46"/>
      <c r="O86" s="46"/>
      <c r="P86" s="46"/>
      <c r="Q86" s="46"/>
      <c r="R86" s="46"/>
      <c r="S86" s="46"/>
      <c r="T86" s="46"/>
      <c r="U86" s="46"/>
      <c r="V86" s="46"/>
      <c r="W86" s="46"/>
      <c r="X86" s="46"/>
      <c r="Y86" s="46"/>
      <c r="Z86" s="46"/>
    </row>
    <row r="87" spans="1:26" x14ac:dyDescent="0.25">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spans="1:26" x14ac:dyDescent="0.25">
      <c r="A88" s="46"/>
      <c r="B88" s="261" t="s">
        <v>696</v>
      </c>
      <c r="C88" s="263" t="s">
        <v>661</v>
      </c>
      <c r="D88" s="263" t="s">
        <v>554</v>
      </c>
      <c r="E88" s="46"/>
      <c r="F88" s="46"/>
      <c r="G88" s="46"/>
      <c r="H88" s="46"/>
      <c r="I88" s="46"/>
      <c r="J88" s="46"/>
      <c r="K88" s="46"/>
      <c r="L88" s="46"/>
      <c r="M88" s="46"/>
      <c r="N88" s="46"/>
      <c r="O88" s="46"/>
      <c r="P88" s="46"/>
      <c r="Q88" s="46"/>
      <c r="R88" s="46"/>
      <c r="S88" s="46"/>
      <c r="T88" s="46"/>
      <c r="U88" s="46"/>
      <c r="V88" s="46"/>
      <c r="W88" s="46"/>
      <c r="X88" s="46"/>
      <c r="Y88" s="46"/>
      <c r="Z88" s="46"/>
    </row>
    <row r="89" spans="1:26" x14ac:dyDescent="0.25">
      <c r="A89" s="46"/>
      <c r="B89" s="285" t="s">
        <v>697</v>
      </c>
      <c r="C89" s="14">
        <v>3</v>
      </c>
      <c r="D89" s="134" t="s">
        <v>698</v>
      </c>
      <c r="E89" s="46"/>
      <c r="F89" s="46"/>
      <c r="G89" s="46"/>
      <c r="H89" s="46"/>
      <c r="I89" s="46"/>
      <c r="J89" s="46"/>
      <c r="K89" s="46"/>
      <c r="L89" s="46"/>
      <c r="M89" s="46"/>
      <c r="N89" s="46"/>
      <c r="O89" s="46"/>
      <c r="P89" s="46"/>
      <c r="Q89" s="46"/>
      <c r="R89" s="46"/>
      <c r="S89" s="46"/>
      <c r="T89" s="46"/>
      <c r="U89" s="46"/>
      <c r="V89" s="46"/>
      <c r="W89" s="46"/>
      <c r="X89" s="46"/>
      <c r="Y89" s="46"/>
      <c r="Z89" s="46"/>
    </row>
    <row r="90" spans="1:26" x14ac:dyDescent="0.25">
      <c r="A90" s="46"/>
      <c r="B90" s="267" t="s">
        <v>699</v>
      </c>
      <c r="C90" s="271">
        <f>C19</f>
        <v>300</v>
      </c>
      <c r="D90" s="46"/>
      <c r="E90" s="46"/>
      <c r="F90" s="46"/>
      <c r="G90" s="46"/>
      <c r="H90" s="46"/>
      <c r="I90" s="46"/>
      <c r="J90" s="46"/>
      <c r="K90" s="46"/>
      <c r="L90" s="46"/>
      <c r="M90" s="46"/>
      <c r="N90" s="46"/>
      <c r="O90" s="46"/>
      <c r="P90" s="46"/>
      <c r="Q90" s="46"/>
      <c r="R90" s="46"/>
      <c r="S90" s="46"/>
      <c r="T90" s="46"/>
      <c r="U90" s="46"/>
      <c r="V90" s="46"/>
      <c r="W90" s="46"/>
      <c r="X90" s="46"/>
      <c r="Y90" s="46"/>
      <c r="Z90" s="46"/>
    </row>
    <row r="91" spans="1:26" x14ac:dyDescent="0.25">
      <c r="A91" s="46"/>
      <c r="B91" s="279" t="s">
        <v>700</v>
      </c>
      <c r="C91" s="281">
        <f>C89*C90</f>
        <v>900</v>
      </c>
      <c r="D91" s="286" t="str">
        <f>ROUND(C91/1000,1)&amp;" Gbps"</f>
        <v>0.9 Gbps</v>
      </c>
      <c r="E91" s="46"/>
      <c r="F91" s="46"/>
      <c r="G91" s="46"/>
      <c r="H91" s="46"/>
      <c r="I91" s="46"/>
      <c r="J91" s="46"/>
      <c r="K91" s="46"/>
      <c r="L91" s="46"/>
      <c r="M91" s="46"/>
      <c r="N91" s="46"/>
      <c r="O91" s="46"/>
      <c r="P91" s="46"/>
      <c r="Q91" s="46"/>
      <c r="R91" s="46"/>
      <c r="S91" s="46"/>
      <c r="T91" s="46"/>
      <c r="U91" s="46"/>
      <c r="V91" s="46"/>
      <c r="W91" s="46"/>
      <c r="X91" s="46"/>
      <c r="Y91" s="46"/>
      <c r="Z91" s="46"/>
    </row>
    <row r="92" spans="1:26" x14ac:dyDescent="0.25">
      <c r="A92" s="46"/>
      <c r="B92" s="267" t="s">
        <v>701</v>
      </c>
      <c r="C92" s="271">
        <f>IF('Hardware Inputs'!C8&gt;0,ROUND(C91/'Hardware Inputs'!C8,0),0)</f>
        <v>300</v>
      </c>
      <c r="D92" s="134" t="str">
        <f>IF(C92&gt;10000,"⚠️ Exceeds 10 GbE per node",IF(C92&gt;1000,"⚠️ Exceeds 1 GbE per node","✅ Within 1 GbE per node"))</f>
        <v>✅ Within 1 GbE per node</v>
      </c>
      <c r="E92" s="46"/>
      <c r="F92" s="46"/>
      <c r="G92" s="46"/>
      <c r="H92" s="46"/>
      <c r="I92" s="46"/>
      <c r="J92" s="46"/>
      <c r="K92" s="46"/>
      <c r="L92" s="46"/>
      <c r="M92" s="46"/>
      <c r="N92" s="46"/>
      <c r="O92" s="46"/>
      <c r="P92" s="46"/>
      <c r="Q92" s="46"/>
      <c r="R92" s="46"/>
      <c r="S92" s="46"/>
      <c r="T92" s="46"/>
      <c r="U92" s="46"/>
      <c r="V92" s="46"/>
      <c r="W92" s="46"/>
      <c r="X92" s="46"/>
      <c r="Y92" s="46"/>
      <c r="Z92" s="46"/>
    </row>
    <row r="93" spans="1:26" x14ac:dyDescent="0.25">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x14ac:dyDescent="0.25">
      <c r="A94" s="46"/>
      <c r="B94" s="253" t="s">
        <v>810</v>
      </c>
      <c r="C94" s="147"/>
      <c r="D94" s="147"/>
      <c r="E94" s="147"/>
      <c r="F94" s="147"/>
      <c r="G94" s="46"/>
      <c r="H94" s="46"/>
      <c r="I94" s="46"/>
      <c r="J94" s="46"/>
      <c r="K94" s="46"/>
      <c r="L94" s="46"/>
      <c r="M94" s="46"/>
      <c r="N94" s="46"/>
      <c r="O94" s="46"/>
      <c r="P94" s="46"/>
      <c r="Q94" s="46"/>
      <c r="R94" s="46"/>
      <c r="S94" s="46"/>
      <c r="T94" s="46"/>
      <c r="U94" s="46"/>
      <c r="V94" s="46"/>
      <c r="W94" s="46"/>
      <c r="X94" s="46"/>
      <c r="Y94" s="46"/>
      <c r="Z94" s="46"/>
    </row>
    <row r="95" spans="1:26" x14ac:dyDescent="0.25">
      <c r="A95" s="46"/>
      <c r="B95" s="134" t="s">
        <v>811</v>
      </c>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x14ac:dyDescent="0.25">
      <c r="A97" s="46"/>
      <c r="B97" s="261" t="s">
        <v>702</v>
      </c>
      <c r="C97" s="263" t="s">
        <v>703</v>
      </c>
      <c r="D97" s="263" t="s">
        <v>704</v>
      </c>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267" t="s">
        <v>705</v>
      </c>
      <c r="C98" s="268">
        <f>C10</f>
        <v>127</v>
      </c>
      <c r="D98" s="287" t="s">
        <v>706</v>
      </c>
      <c r="E98" s="46"/>
      <c r="F98" s="46"/>
      <c r="G98" s="46"/>
      <c r="H98" s="46"/>
      <c r="I98" s="46"/>
      <c r="J98" s="46"/>
      <c r="K98" s="46"/>
      <c r="L98" s="46"/>
      <c r="M98" s="46"/>
      <c r="N98" s="46"/>
      <c r="O98" s="46"/>
      <c r="P98" s="46"/>
      <c r="Q98" s="46"/>
      <c r="R98" s="46"/>
      <c r="S98" s="46"/>
      <c r="T98" s="46"/>
      <c r="U98" s="46"/>
      <c r="V98" s="46"/>
      <c r="W98" s="46"/>
      <c r="X98" s="46"/>
      <c r="Y98" s="46"/>
      <c r="Z98" s="46"/>
    </row>
    <row r="99" spans="1:26" x14ac:dyDescent="0.25">
      <c r="A99" s="46"/>
      <c r="B99" s="269" t="s">
        <v>707</v>
      </c>
      <c r="C99" s="268">
        <f>C11</f>
        <v>50</v>
      </c>
      <c r="D99" s="287" t="s">
        <v>708</v>
      </c>
      <c r="E99" s="46"/>
      <c r="F99" s="46"/>
      <c r="G99" s="46"/>
      <c r="H99" s="46"/>
      <c r="I99" s="46"/>
      <c r="J99" s="46"/>
      <c r="K99" s="46"/>
      <c r="L99" s="46"/>
      <c r="M99" s="46"/>
      <c r="N99" s="46"/>
      <c r="O99" s="46"/>
      <c r="P99" s="46"/>
      <c r="Q99" s="46"/>
      <c r="R99" s="46"/>
      <c r="S99" s="46"/>
      <c r="T99" s="46"/>
      <c r="U99" s="46"/>
      <c r="V99" s="46"/>
      <c r="W99" s="46"/>
      <c r="X99" s="46"/>
      <c r="Y99" s="46"/>
      <c r="Z99" s="46"/>
    </row>
    <row r="100" spans="1:26" x14ac:dyDescent="0.25">
      <c r="A100" s="46"/>
      <c r="B100" s="261" t="s">
        <v>709</v>
      </c>
      <c r="C100" s="263">
        <f>C98+C99</f>
        <v>177</v>
      </c>
      <c r="D100" s="287" t="s">
        <v>710</v>
      </c>
      <c r="E100" s="46"/>
      <c r="F100" s="46"/>
      <c r="G100" s="46"/>
      <c r="H100" s="46"/>
      <c r="I100" s="46"/>
      <c r="J100" s="46"/>
      <c r="K100" s="46"/>
      <c r="L100" s="46"/>
      <c r="M100" s="46"/>
      <c r="N100" s="46"/>
      <c r="O100" s="46"/>
      <c r="P100" s="46"/>
      <c r="Q100" s="46"/>
      <c r="R100" s="46"/>
      <c r="S100" s="46"/>
      <c r="T100" s="46"/>
      <c r="U100" s="46"/>
      <c r="V100" s="46"/>
      <c r="W100" s="46"/>
      <c r="X100" s="46"/>
      <c r="Y100" s="46"/>
      <c r="Z100" s="46"/>
    </row>
    <row r="101" spans="1:26" x14ac:dyDescent="0.25">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row>
    <row r="102" spans="1:26" x14ac:dyDescent="0.25">
      <c r="A102" s="46"/>
      <c r="B102" s="288" t="s">
        <v>711</v>
      </c>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row>
    <row r="103" spans="1:26" x14ac:dyDescent="0.25">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row>
    <row r="104" spans="1:26" x14ac:dyDescent="0.25">
      <c r="A104" s="46"/>
      <c r="B104" s="253" t="s">
        <v>812</v>
      </c>
      <c r="C104" s="147"/>
      <c r="D104" s="147"/>
      <c r="E104" s="147"/>
      <c r="F104" s="147"/>
      <c r="G104" s="46"/>
      <c r="H104" s="46"/>
      <c r="I104" s="46"/>
      <c r="J104" s="46"/>
      <c r="K104" s="46"/>
      <c r="L104" s="46"/>
      <c r="M104" s="46"/>
      <c r="N104" s="46"/>
      <c r="O104" s="46"/>
      <c r="P104" s="46"/>
      <c r="Q104" s="46"/>
      <c r="R104" s="46"/>
      <c r="S104" s="46"/>
      <c r="T104" s="46"/>
      <c r="U104" s="46"/>
      <c r="V104" s="46"/>
      <c r="W104" s="46"/>
      <c r="X104" s="46"/>
      <c r="Y104" s="46"/>
      <c r="Z104" s="46"/>
    </row>
    <row r="105" spans="1:26" x14ac:dyDescent="0.25">
      <c r="A105" s="46"/>
      <c r="B105" s="134" t="s">
        <v>813</v>
      </c>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row>
    <row r="106" spans="1:26" x14ac:dyDescent="0.25">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row>
    <row r="107" spans="1:26" x14ac:dyDescent="0.25">
      <c r="A107" s="46"/>
      <c r="B107" s="261" t="s">
        <v>577</v>
      </c>
      <c r="C107" s="263" t="s">
        <v>402</v>
      </c>
      <c r="D107" s="263" t="s">
        <v>712</v>
      </c>
      <c r="E107" s="46"/>
      <c r="F107" s="46"/>
      <c r="G107" s="46"/>
      <c r="H107" s="46"/>
      <c r="I107" s="46"/>
      <c r="J107" s="46"/>
      <c r="K107" s="46"/>
      <c r="L107" s="46"/>
      <c r="M107" s="46"/>
      <c r="N107" s="46"/>
      <c r="O107" s="46"/>
      <c r="P107" s="46"/>
      <c r="Q107" s="46"/>
      <c r="R107" s="46"/>
      <c r="S107" s="46"/>
      <c r="T107" s="46"/>
      <c r="U107" s="46"/>
      <c r="V107" s="46"/>
      <c r="W107" s="46"/>
      <c r="X107" s="46"/>
      <c r="Y107" s="46"/>
      <c r="Z107" s="46"/>
    </row>
    <row r="108" spans="1:26" x14ac:dyDescent="0.25">
      <c r="A108" s="46"/>
      <c r="B108" s="267" t="s">
        <v>713</v>
      </c>
      <c r="C108" s="289" t="str">
        <f>IF(C69&lt;=C9,"✅ PASS","❌ FAIL")</f>
        <v>❌ FAIL</v>
      </c>
      <c r="D108" s="290" t="str">
        <f>"Need "&amp;C69&amp;" hosts, have "&amp;C9&amp;" configured"</f>
        <v>Need 76 hosts, have 32 configured</v>
      </c>
      <c r="E108" s="46"/>
      <c r="F108" s="46"/>
      <c r="G108" s="46"/>
      <c r="H108" s="46"/>
      <c r="I108" s="46"/>
      <c r="J108" s="46"/>
      <c r="K108" s="46"/>
      <c r="L108" s="46"/>
      <c r="M108" s="46"/>
      <c r="N108" s="46"/>
      <c r="O108" s="46"/>
      <c r="P108" s="46"/>
      <c r="Q108" s="46"/>
      <c r="R108" s="46"/>
      <c r="S108" s="46"/>
      <c r="T108" s="46"/>
      <c r="U108" s="46"/>
      <c r="V108" s="46"/>
      <c r="W108" s="46"/>
      <c r="X108" s="46"/>
      <c r="Y108" s="46"/>
      <c r="Z108" s="46"/>
    </row>
    <row r="109" spans="1:26" x14ac:dyDescent="0.25">
      <c r="A109" s="46"/>
      <c r="B109" s="269" t="s">
        <v>714</v>
      </c>
      <c r="C109" s="289" t="str">
        <f>IF(D79=1,"✅ PASS","❌ FAIL ("&amp;TEXT(D79,"0%")&amp;")")</f>
        <v>✅ PASS</v>
      </c>
      <c r="D109" s="290" t="str">
        <f>"Task "&amp;TEXT(D76,"0%")&amp;" + Knowledge "&amp;TEXT(D77,"0%")&amp;" + Power "&amp;TEXT(D78,"0%")</f>
        <v>Task 30% + Knowledge 50% + Power 20%</v>
      </c>
      <c r="E109" s="46"/>
      <c r="F109" s="46"/>
      <c r="G109" s="46"/>
      <c r="H109" s="46"/>
      <c r="I109" s="46"/>
      <c r="J109" s="46"/>
      <c r="K109" s="46"/>
      <c r="L109" s="46"/>
      <c r="M109" s="46"/>
      <c r="N109" s="46"/>
      <c r="O109" s="46"/>
      <c r="P109" s="46"/>
      <c r="Q109" s="46"/>
      <c r="R109" s="46"/>
      <c r="S109" s="46"/>
      <c r="T109" s="46"/>
      <c r="U109" s="46"/>
      <c r="V109" s="46"/>
      <c r="W109" s="46"/>
      <c r="X109" s="46"/>
      <c r="Y109" s="46"/>
      <c r="Z109" s="46"/>
    </row>
    <row r="110" spans="1:26" x14ac:dyDescent="0.25">
      <c r="A110" s="46"/>
      <c r="B110" s="267" t="s">
        <v>715</v>
      </c>
      <c r="C110" s="289" t="str">
        <f>IF(C17&lt;&gt;"","✅ "&amp;C17,"❌ Not set")</f>
        <v>✅ S2D Volume (local)</v>
      </c>
      <c r="D110" s="290" t="str">
        <f>IF(C17="S2D Volume (local)","Profiles on cluster storage","Profiles on external storage — no S2D capacity used")</f>
        <v>Profiles on cluster storage</v>
      </c>
      <c r="E110" s="46"/>
      <c r="F110" s="46"/>
      <c r="G110" s="46"/>
      <c r="H110" s="46"/>
      <c r="I110" s="46"/>
      <c r="J110" s="46"/>
      <c r="K110" s="46"/>
      <c r="L110" s="46"/>
      <c r="M110" s="46"/>
      <c r="N110" s="46"/>
      <c r="O110" s="46"/>
      <c r="P110" s="46"/>
      <c r="Q110" s="46"/>
      <c r="R110" s="46"/>
      <c r="S110" s="46"/>
      <c r="T110" s="46"/>
      <c r="U110" s="46"/>
      <c r="V110" s="46"/>
      <c r="W110" s="46"/>
      <c r="X110" s="46"/>
      <c r="Y110" s="46"/>
      <c r="Z110" s="46"/>
    </row>
    <row r="111" spans="1:26" x14ac:dyDescent="0.25">
      <c r="A111" s="46"/>
      <c r="B111" s="269" t="s">
        <v>716</v>
      </c>
      <c r="C111" s="289" t="str">
        <f>IF(C92&lt;=10000,"✅ PASS","❌ FAIL")</f>
        <v>✅ PASS</v>
      </c>
      <c r="D111" s="290" t="str">
        <f>ROUND(C92,0)&amp;" Mbps per node ("&amp;ROUND(C92/1000,1)&amp;" Gbps)"</f>
        <v>300 Mbps per node (0.3 Gbps)</v>
      </c>
      <c r="E111" s="46"/>
      <c r="F111" s="46"/>
      <c r="G111" s="46"/>
      <c r="H111" s="46"/>
      <c r="I111" s="46"/>
      <c r="J111" s="46"/>
      <c r="K111" s="46"/>
      <c r="L111" s="46"/>
      <c r="M111" s="46"/>
      <c r="N111" s="46"/>
      <c r="O111" s="46"/>
      <c r="P111" s="46"/>
      <c r="Q111" s="46"/>
      <c r="R111" s="46"/>
      <c r="S111" s="46"/>
      <c r="T111" s="46"/>
      <c r="U111" s="46"/>
      <c r="V111" s="46"/>
      <c r="W111" s="46"/>
      <c r="X111" s="46"/>
      <c r="Y111" s="46"/>
      <c r="Z111" s="46"/>
    </row>
    <row r="112" spans="1:26" x14ac:dyDescent="0.25">
      <c r="A112" s="46"/>
      <c r="B112" s="267" t="s">
        <v>814</v>
      </c>
      <c r="C112" s="289" t="str">
        <f>IF(ABS(C80-C20)&lt;=2,"✅ PASS","⚠️ CHECK")</f>
        <v>✅ PASS</v>
      </c>
      <c r="D112" s="290" t="str">
        <f>"Weighted avg: "&amp;TEXT(C80,"0.0")&amp;" GB vs input: "&amp;C20&amp;" GB"</f>
        <v>Weighted avg: 6.1 GB vs input: 5 GB</v>
      </c>
      <c r="E112" s="46"/>
      <c r="F112" s="46"/>
      <c r="G112" s="46"/>
      <c r="H112" s="46"/>
      <c r="I112" s="46"/>
      <c r="J112" s="46"/>
      <c r="K112" s="46"/>
      <c r="L112" s="46"/>
      <c r="M112" s="46"/>
      <c r="N112" s="46"/>
      <c r="O112" s="46"/>
      <c r="P112" s="46"/>
      <c r="Q112" s="46"/>
      <c r="R112" s="46"/>
      <c r="S112" s="46"/>
      <c r="T112" s="46"/>
      <c r="U112" s="46"/>
      <c r="V112" s="46"/>
      <c r="W112" s="46"/>
      <c r="X112" s="46"/>
      <c r="Y112" s="46"/>
      <c r="Z112" s="46"/>
    </row>
    <row r="113" spans="1:26" x14ac:dyDescent="0.25">
      <c r="A113" s="46"/>
      <c r="B113" s="269" t="s">
        <v>815</v>
      </c>
      <c r="C113" s="289" t="str">
        <f>IF(C38&lt;='Hardware Inputs'!C37,"✅ PASS","❌ FAIL")</f>
        <v>✅ PASS</v>
      </c>
      <c r="D113" s="290" t="str">
        <f>C38&amp;" of "&amp;'Hardware Inputs'!C37&amp;" vCPU ("&amp;ROUND(C38/'Hardware Inputs'!C37*100,0)&amp;"%)"</f>
        <v>64 of 192 vCPU (33%)</v>
      </c>
      <c r="E113" s="46"/>
      <c r="F113" s="46"/>
      <c r="G113" s="46"/>
      <c r="H113" s="46"/>
      <c r="I113" s="46"/>
      <c r="J113" s="46"/>
      <c r="K113" s="46"/>
      <c r="L113" s="46"/>
      <c r="M113" s="46"/>
      <c r="N113" s="46"/>
      <c r="O113" s="46"/>
      <c r="P113" s="46"/>
      <c r="Q113" s="46"/>
      <c r="R113" s="46"/>
      <c r="S113" s="46"/>
      <c r="T113" s="46"/>
      <c r="U113" s="46"/>
      <c r="V113" s="46"/>
      <c r="W113" s="46"/>
      <c r="X113" s="46"/>
      <c r="Y113" s="46"/>
      <c r="Z113" s="46"/>
    </row>
    <row r="114" spans="1:26" x14ac:dyDescent="0.25">
      <c r="A114" s="46"/>
      <c r="B114" s="267" t="s">
        <v>816</v>
      </c>
      <c r="C114" s="289" t="str">
        <f>IF(C37&lt;='Hardware Inputs'!C38,"✅ PASS","❌ FAIL")</f>
        <v>❌ FAIL</v>
      </c>
      <c r="D114" s="290" t="str">
        <f>C37&amp;" of "&amp;'Hardware Inputs'!C38&amp;" GB ("&amp;ROUND(C37/'Hardware Inputs'!C38*100,0)&amp;"%)"</f>
        <v>1024 of 672 GB (152%)</v>
      </c>
      <c r="E114" s="46"/>
      <c r="F114" s="46"/>
      <c r="G114" s="46"/>
      <c r="H114" s="46"/>
      <c r="I114" s="46"/>
      <c r="J114" s="46"/>
      <c r="K114" s="46"/>
      <c r="L114" s="46"/>
      <c r="M114" s="46"/>
      <c r="N114" s="46"/>
      <c r="O114" s="46"/>
      <c r="P114" s="46"/>
      <c r="Q114" s="46"/>
      <c r="R114" s="46"/>
      <c r="S114" s="46"/>
      <c r="T114" s="46"/>
      <c r="U114" s="46"/>
      <c r="V114" s="46"/>
      <c r="W114" s="46"/>
      <c r="X114" s="46"/>
      <c r="Y114" s="46"/>
      <c r="Z114" s="46"/>
    </row>
    <row r="115" spans="1:26" x14ac:dyDescent="0.2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spans="1:26" x14ac:dyDescent="0.25">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spans="1:26" x14ac:dyDescent="0.25">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spans="1:26" x14ac:dyDescent="0.25">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spans="1:26" x14ac:dyDescent="0.25">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spans="1:26" x14ac:dyDescent="0.25">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spans="1:26" x14ac:dyDescent="0.25">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spans="1:26" x14ac:dyDescent="0.25">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spans="1:26" x14ac:dyDescent="0.25">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spans="1:26" x14ac:dyDescent="0.25">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spans="1:26" x14ac:dyDescent="0.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spans="1:26" x14ac:dyDescent="0.25">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spans="1:26" x14ac:dyDescent="0.25">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spans="1:26" x14ac:dyDescent="0.25">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spans="1:26" x14ac:dyDescent="0.25">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spans="1:26" x14ac:dyDescent="0.25">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spans="1:26" x14ac:dyDescent="0.25">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spans="1:26" x14ac:dyDescent="0.25">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spans="1:26" x14ac:dyDescent="0.25">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spans="1:26" x14ac:dyDescent="0.25">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spans="1:26" x14ac:dyDescent="0.2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spans="1:26" x14ac:dyDescent="0.25">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spans="1:26" x14ac:dyDescent="0.25">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spans="1:26" x14ac:dyDescent="0.25">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spans="1:26" x14ac:dyDescent="0.25">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spans="1:26" x14ac:dyDescent="0.25">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spans="1:26" x14ac:dyDescent="0.25">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spans="1:26" x14ac:dyDescent="0.25">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spans="1:26" x14ac:dyDescent="0.25">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spans="1:26" x14ac:dyDescent="0.25">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spans="1:26" x14ac:dyDescent="0.2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spans="1:26" x14ac:dyDescent="0.25">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spans="1:26" x14ac:dyDescent="0.25">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spans="1:26" x14ac:dyDescent="0.25">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spans="1:26" x14ac:dyDescent="0.25">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spans="1:26" x14ac:dyDescent="0.25">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spans="1:26" x14ac:dyDescent="0.25">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spans="1:26" x14ac:dyDescent="0.25">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spans="1:26" x14ac:dyDescent="0.25">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spans="1:26" x14ac:dyDescent="0.25">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spans="1:26" x14ac:dyDescent="0.2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spans="1:26" x14ac:dyDescent="0.25">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spans="1:26" x14ac:dyDescent="0.25">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spans="1:26" x14ac:dyDescent="0.25">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spans="1:26" x14ac:dyDescent="0.25">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spans="1:26" x14ac:dyDescent="0.25">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spans="1:26" x14ac:dyDescent="0.25">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spans="1:26" x14ac:dyDescent="0.25">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spans="1:26" x14ac:dyDescent="0.25">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spans="1:26" x14ac:dyDescent="0.25">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spans="1:26" x14ac:dyDescent="0.2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spans="1:26" x14ac:dyDescent="0.25">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spans="1:26" x14ac:dyDescent="0.25">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spans="1:26" x14ac:dyDescent="0.25">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spans="1:26" x14ac:dyDescent="0.25">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spans="1:26" x14ac:dyDescent="0.25">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spans="1:26" x14ac:dyDescent="0.25">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spans="1:26" x14ac:dyDescent="0.25">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spans="1:26" x14ac:dyDescent="0.25">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spans="1:26" x14ac:dyDescent="0.25">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spans="1:26" x14ac:dyDescent="0.2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spans="1:26" x14ac:dyDescent="0.25">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spans="1:26" x14ac:dyDescent="0.25">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spans="1:26" x14ac:dyDescent="0.25">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spans="1:26" x14ac:dyDescent="0.25">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spans="1:26" x14ac:dyDescent="0.25">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spans="1:26" x14ac:dyDescent="0.25">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spans="1:26" x14ac:dyDescent="0.25">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spans="1:26" x14ac:dyDescent="0.25">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spans="1:26" x14ac:dyDescent="0.25">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spans="1:26" x14ac:dyDescent="0.2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spans="1:26" x14ac:dyDescent="0.25">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spans="1:26" x14ac:dyDescent="0.25">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spans="1:26" x14ac:dyDescent="0.25">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spans="1:26" x14ac:dyDescent="0.25">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spans="1:26" x14ac:dyDescent="0.25">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spans="1:26" x14ac:dyDescent="0.25">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spans="1:26" x14ac:dyDescent="0.25">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spans="1:26" x14ac:dyDescent="0.25">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spans="1:26" x14ac:dyDescent="0.25">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spans="1:26" x14ac:dyDescent="0.2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spans="1:26" x14ac:dyDescent="0.25">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spans="1:26" x14ac:dyDescent="0.25">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spans="1:26" x14ac:dyDescent="0.25">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spans="1:26" x14ac:dyDescent="0.25">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spans="1:26" x14ac:dyDescent="0.25">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spans="1:26" x14ac:dyDescent="0.25">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spans="1:26" x14ac:dyDescent="0.25">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spans="1:26" x14ac:dyDescent="0.25">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spans="1:26" x14ac:dyDescent="0.25">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spans="1:26" x14ac:dyDescent="0.2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spans="1:26" x14ac:dyDescent="0.25">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spans="1:26" x14ac:dyDescent="0.25">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spans="1:26" x14ac:dyDescent="0.25">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spans="1:26" x14ac:dyDescent="0.25">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spans="1:26" x14ac:dyDescent="0.25">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spans="1:26" x14ac:dyDescent="0.25">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spans="1:26" x14ac:dyDescent="0.25">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spans="1:26" x14ac:dyDescent="0.25">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spans="1:26" x14ac:dyDescent="0.25">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spans="1:26" x14ac:dyDescent="0.2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spans="1:26" x14ac:dyDescent="0.25">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spans="1:26" x14ac:dyDescent="0.25">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spans="1:26" x14ac:dyDescent="0.25">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spans="1:26" x14ac:dyDescent="0.25">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spans="1:26" x14ac:dyDescent="0.25">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spans="1:26" x14ac:dyDescent="0.25">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spans="1:26" x14ac:dyDescent="0.25">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spans="1:26" x14ac:dyDescent="0.25">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spans="1:26" x14ac:dyDescent="0.25">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spans="1:26" x14ac:dyDescent="0.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spans="1:26" x14ac:dyDescent="0.25">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spans="1:26" x14ac:dyDescent="0.25">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spans="1:26" x14ac:dyDescent="0.25">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spans="1:26" x14ac:dyDescent="0.25">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spans="1:26" x14ac:dyDescent="0.25">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spans="1:26" x14ac:dyDescent="0.25">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spans="1:26" x14ac:dyDescent="0.25">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spans="1:26" x14ac:dyDescent="0.25">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spans="1:26" x14ac:dyDescent="0.25">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spans="1:26" x14ac:dyDescent="0.2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spans="1:26" x14ac:dyDescent="0.25">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spans="1:26" x14ac:dyDescent="0.25">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spans="1:26" x14ac:dyDescent="0.25">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spans="1:26" x14ac:dyDescent="0.25">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spans="1:26" x14ac:dyDescent="0.25">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spans="1:26" x14ac:dyDescent="0.25">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spans="1:26" x14ac:dyDescent="0.25">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spans="1:26" x14ac:dyDescent="0.25">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spans="1:26" x14ac:dyDescent="0.25">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spans="1:26" x14ac:dyDescent="0.2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spans="1:26" x14ac:dyDescent="0.25">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spans="1:26" x14ac:dyDescent="0.25">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spans="1:26" x14ac:dyDescent="0.25">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spans="1:26" x14ac:dyDescent="0.25">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spans="1:26" x14ac:dyDescent="0.25">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spans="1:26" x14ac:dyDescent="0.25">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spans="1:26" x14ac:dyDescent="0.25">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spans="1:26" x14ac:dyDescent="0.25">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spans="1:26" x14ac:dyDescent="0.25">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spans="1:26" x14ac:dyDescent="0.2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spans="1:26" x14ac:dyDescent="0.25">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spans="1:26" x14ac:dyDescent="0.25">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spans="1:26" x14ac:dyDescent="0.25">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spans="1:26" x14ac:dyDescent="0.25">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spans="1:26" x14ac:dyDescent="0.25">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spans="1:26" x14ac:dyDescent="0.25">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spans="1:26" x14ac:dyDescent="0.25">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spans="1:26" x14ac:dyDescent="0.25">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spans="1:26" x14ac:dyDescent="0.25">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spans="1:26" x14ac:dyDescent="0.2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spans="1:26" x14ac:dyDescent="0.25">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spans="1:26" x14ac:dyDescent="0.25">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spans="1:26" x14ac:dyDescent="0.25">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spans="1:26" x14ac:dyDescent="0.25">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spans="1:26" x14ac:dyDescent="0.25">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spans="1:26" x14ac:dyDescent="0.25">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spans="1:26" x14ac:dyDescent="0.25">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spans="1:26" x14ac:dyDescent="0.25">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spans="1:26" x14ac:dyDescent="0.25">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spans="1:26" x14ac:dyDescent="0.2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spans="1:26" x14ac:dyDescent="0.25">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spans="1:26" x14ac:dyDescent="0.25">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spans="1:26" x14ac:dyDescent="0.25">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spans="1:26" x14ac:dyDescent="0.25">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spans="1:26" x14ac:dyDescent="0.25">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spans="1:26" x14ac:dyDescent="0.25">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spans="1:26" x14ac:dyDescent="0.25">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spans="1:26" x14ac:dyDescent="0.25">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spans="1:26" x14ac:dyDescent="0.25">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spans="1:26" x14ac:dyDescent="0.2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spans="1:26" x14ac:dyDescent="0.25">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spans="1:26" x14ac:dyDescent="0.25">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spans="1:26" x14ac:dyDescent="0.25">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spans="1:26" x14ac:dyDescent="0.25">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spans="1:26" x14ac:dyDescent="0.25">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spans="1:26" x14ac:dyDescent="0.25">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spans="1:26" x14ac:dyDescent="0.25">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spans="1:26" x14ac:dyDescent="0.25">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spans="1:26" x14ac:dyDescent="0.25">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spans="1:26" x14ac:dyDescent="0.2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spans="1:26" x14ac:dyDescent="0.25">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spans="1:26" x14ac:dyDescent="0.25">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spans="1:26" x14ac:dyDescent="0.25">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spans="1:26" x14ac:dyDescent="0.25">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spans="1:26" x14ac:dyDescent="0.25">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spans="1:26" x14ac:dyDescent="0.25">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spans="1:26" x14ac:dyDescent="0.25">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spans="1:26" x14ac:dyDescent="0.25">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spans="1:26" x14ac:dyDescent="0.25">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spans="1:26" x14ac:dyDescent="0.2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spans="1:26" x14ac:dyDescent="0.25">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spans="1:26" x14ac:dyDescent="0.25">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spans="1:26" x14ac:dyDescent="0.25">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spans="1:26" x14ac:dyDescent="0.25">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spans="1:26" x14ac:dyDescent="0.25">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spans="1:26" x14ac:dyDescent="0.25">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spans="1:26" x14ac:dyDescent="0.25">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spans="1:26" x14ac:dyDescent="0.25">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spans="1:26" x14ac:dyDescent="0.25">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spans="1:26" x14ac:dyDescent="0.2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spans="1:26" x14ac:dyDescent="0.25">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spans="1:26" x14ac:dyDescent="0.25">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spans="1:26" x14ac:dyDescent="0.25">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spans="1:26" x14ac:dyDescent="0.25">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spans="1:26" x14ac:dyDescent="0.25">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spans="1:26" x14ac:dyDescent="0.25">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spans="1:26" x14ac:dyDescent="0.25">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spans="1:26" x14ac:dyDescent="0.25">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spans="1:26" x14ac:dyDescent="0.25">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spans="1:26" x14ac:dyDescent="0.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spans="1:26" x14ac:dyDescent="0.25">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spans="1:26" x14ac:dyDescent="0.25">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spans="1:26" x14ac:dyDescent="0.25">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spans="1:26" x14ac:dyDescent="0.25">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spans="1:26" x14ac:dyDescent="0.25">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spans="1:26" x14ac:dyDescent="0.25">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spans="1:26" x14ac:dyDescent="0.25">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spans="1:26" x14ac:dyDescent="0.25">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spans="1:26" x14ac:dyDescent="0.25">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spans="1:26" x14ac:dyDescent="0.2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spans="1:26" x14ac:dyDescent="0.25">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spans="1:26" x14ac:dyDescent="0.25">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spans="1:26" x14ac:dyDescent="0.25">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spans="1:26" x14ac:dyDescent="0.25">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spans="1:26" x14ac:dyDescent="0.25">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spans="1:26" x14ac:dyDescent="0.25">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spans="1:26" x14ac:dyDescent="0.25">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spans="1:26" x14ac:dyDescent="0.25">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spans="1:26" x14ac:dyDescent="0.25">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spans="1:26" x14ac:dyDescent="0.2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spans="1:26" x14ac:dyDescent="0.25">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spans="1:26" x14ac:dyDescent="0.25">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spans="1:26" x14ac:dyDescent="0.25">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spans="1:26" x14ac:dyDescent="0.25">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spans="1:26" x14ac:dyDescent="0.25">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spans="1:26" x14ac:dyDescent="0.25">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spans="1:26" x14ac:dyDescent="0.25">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spans="1:26" x14ac:dyDescent="0.25">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spans="1:26" x14ac:dyDescent="0.25">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spans="1:26" x14ac:dyDescent="0.2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spans="1:26" x14ac:dyDescent="0.25">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spans="1:26" x14ac:dyDescent="0.25">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spans="1:26" x14ac:dyDescent="0.25">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spans="1:26" x14ac:dyDescent="0.25">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spans="1:26" x14ac:dyDescent="0.25">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spans="1:26" x14ac:dyDescent="0.25">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spans="1:26" x14ac:dyDescent="0.25">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spans="1:26" x14ac:dyDescent="0.25">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spans="1:26" x14ac:dyDescent="0.25">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spans="1:26" x14ac:dyDescent="0.2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spans="1:26" x14ac:dyDescent="0.25">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spans="1:26" x14ac:dyDescent="0.25">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spans="1:26" x14ac:dyDescent="0.25">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spans="1:26" x14ac:dyDescent="0.25">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spans="1:26" x14ac:dyDescent="0.25">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spans="1:26" x14ac:dyDescent="0.25">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spans="1:26" x14ac:dyDescent="0.25">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spans="1:26" x14ac:dyDescent="0.25">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spans="1:26" x14ac:dyDescent="0.25">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spans="1:26" x14ac:dyDescent="0.2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spans="1:26" x14ac:dyDescent="0.25">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spans="1:26" x14ac:dyDescent="0.25">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spans="1:26" x14ac:dyDescent="0.25">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spans="1:26" x14ac:dyDescent="0.25">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spans="1:26" x14ac:dyDescent="0.25">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spans="1:26" x14ac:dyDescent="0.25">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spans="1:26" x14ac:dyDescent="0.25">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spans="1:26" x14ac:dyDescent="0.25">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spans="1:26" x14ac:dyDescent="0.25">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spans="1:26" x14ac:dyDescent="0.2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spans="1:26" x14ac:dyDescent="0.25">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spans="1:26" x14ac:dyDescent="0.25">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spans="1:26" x14ac:dyDescent="0.25">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spans="1:26" x14ac:dyDescent="0.25">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spans="1:26" x14ac:dyDescent="0.25">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spans="1:26" x14ac:dyDescent="0.25">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spans="1:26" x14ac:dyDescent="0.25">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spans="1:26" x14ac:dyDescent="0.25">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spans="1:26" x14ac:dyDescent="0.25">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spans="1:26" x14ac:dyDescent="0.2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spans="1:26" x14ac:dyDescent="0.25">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spans="1:26" x14ac:dyDescent="0.25">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spans="1:26" x14ac:dyDescent="0.25">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spans="1:26" x14ac:dyDescent="0.25">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spans="1:26" x14ac:dyDescent="0.25">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spans="1:26" x14ac:dyDescent="0.25">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spans="1:26" x14ac:dyDescent="0.25">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spans="1:26" x14ac:dyDescent="0.25">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spans="1:26" x14ac:dyDescent="0.25">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spans="1:26" x14ac:dyDescent="0.2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spans="1:26" x14ac:dyDescent="0.25">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spans="1:26" x14ac:dyDescent="0.25">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spans="1:26" x14ac:dyDescent="0.25">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spans="1:26" x14ac:dyDescent="0.25">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spans="1:26" x14ac:dyDescent="0.25">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spans="1:26" x14ac:dyDescent="0.25">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spans="1:26" x14ac:dyDescent="0.25">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spans="1:26" x14ac:dyDescent="0.25">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spans="1:26" x14ac:dyDescent="0.25">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spans="1:26" x14ac:dyDescent="0.2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spans="1:26" x14ac:dyDescent="0.25">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spans="1:26" x14ac:dyDescent="0.25">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spans="1:26" x14ac:dyDescent="0.25">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spans="1:26" x14ac:dyDescent="0.25">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spans="1:26" x14ac:dyDescent="0.25">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spans="1:26" x14ac:dyDescent="0.25">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spans="1:26" x14ac:dyDescent="0.25">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spans="1:26" x14ac:dyDescent="0.25">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spans="1:26" x14ac:dyDescent="0.25">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spans="1:26" x14ac:dyDescent="0.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spans="1:26" x14ac:dyDescent="0.25">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spans="1:26" x14ac:dyDescent="0.25">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spans="1:26" x14ac:dyDescent="0.25">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spans="1:26" x14ac:dyDescent="0.25">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spans="1:26" x14ac:dyDescent="0.25">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spans="1:26" x14ac:dyDescent="0.25">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spans="1:26" x14ac:dyDescent="0.25">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spans="1:26" x14ac:dyDescent="0.25">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spans="1:26" x14ac:dyDescent="0.25">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spans="1:26" x14ac:dyDescent="0.2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spans="1:26" x14ac:dyDescent="0.25">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spans="1:26" x14ac:dyDescent="0.25">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spans="1:26" x14ac:dyDescent="0.25">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spans="1:26" x14ac:dyDescent="0.25">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spans="1:26" x14ac:dyDescent="0.25">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spans="1:26" x14ac:dyDescent="0.25">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spans="1:26" x14ac:dyDescent="0.25">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spans="1:26" x14ac:dyDescent="0.25">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spans="1:26" x14ac:dyDescent="0.25">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spans="1:26" x14ac:dyDescent="0.2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spans="1:26" x14ac:dyDescent="0.25">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spans="1:26" x14ac:dyDescent="0.25">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spans="1:26" x14ac:dyDescent="0.25">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spans="1:26" x14ac:dyDescent="0.25">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spans="1:26" x14ac:dyDescent="0.25">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spans="1:26" x14ac:dyDescent="0.25">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spans="1:26" x14ac:dyDescent="0.25">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spans="1:26" x14ac:dyDescent="0.25">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spans="1:26" x14ac:dyDescent="0.25">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spans="1:26" x14ac:dyDescent="0.2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spans="1:26" x14ac:dyDescent="0.25">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spans="1:26" x14ac:dyDescent="0.25">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spans="1:26" x14ac:dyDescent="0.25">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spans="1:26" x14ac:dyDescent="0.25">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spans="1:26" x14ac:dyDescent="0.25">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spans="1:26" x14ac:dyDescent="0.25">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spans="1:26" x14ac:dyDescent="0.25">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spans="1:26" x14ac:dyDescent="0.25">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spans="1:26" x14ac:dyDescent="0.25">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spans="1:26" x14ac:dyDescent="0.2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spans="1:26" x14ac:dyDescent="0.25">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spans="1:26" x14ac:dyDescent="0.25">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spans="1:26" x14ac:dyDescent="0.25">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spans="1:26" x14ac:dyDescent="0.25">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spans="1:26" x14ac:dyDescent="0.25">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spans="1:26" x14ac:dyDescent="0.25">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spans="1:26" x14ac:dyDescent="0.25">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spans="1:26" x14ac:dyDescent="0.25">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spans="1:26" x14ac:dyDescent="0.25">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spans="1:26" x14ac:dyDescent="0.2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spans="1:26" x14ac:dyDescent="0.25">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spans="1:26" x14ac:dyDescent="0.25">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spans="1:26" x14ac:dyDescent="0.25">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spans="1:26" x14ac:dyDescent="0.25">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spans="1:26" x14ac:dyDescent="0.25">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spans="1:26" x14ac:dyDescent="0.25">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spans="1:26" x14ac:dyDescent="0.25">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spans="1:26" x14ac:dyDescent="0.25">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spans="1:26" x14ac:dyDescent="0.25">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spans="1:26" x14ac:dyDescent="0.2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spans="1:26" x14ac:dyDescent="0.25">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spans="1:26" x14ac:dyDescent="0.25">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spans="1:26" x14ac:dyDescent="0.25">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spans="1:26" x14ac:dyDescent="0.25">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spans="1:26" x14ac:dyDescent="0.25">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spans="1:26" x14ac:dyDescent="0.25">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spans="1:26" x14ac:dyDescent="0.25">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spans="1:26" x14ac:dyDescent="0.25">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spans="1:26" x14ac:dyDescent="0.25">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spans="1:26" x14ac:dyDescent="0.2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spans="1:26" x14ac:dyDescent="0.25">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spans="1:26" x14ac:dyDescent="0.25">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spans="1:26" x14ac:dyDescent="0.25">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spans="1:26" x14ac:dyDescent="0.25">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spans="1:26" x14ac:dyDescent="0.25">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sheetData>
  <sheetProtection sheet="1" objects="1" scenarios="1"/>
  <dataValidations count="4">
    <dataValidation type="list" allowBlank="1" showInputMessage="1" showErrorMessage="1" sqref="C6" xr:uid="{5477F583-8D9B-44A5-9FBE-D6D9AC796D1B}">
      <formula1>"Yes,No"</formula1>
    </dataValidation>
    <dataValidation type="list" allowBlank="1" showInputMessage="1" showErrorMessage="1" sqref="C12 C22" xr:uid="{8A84DC61-1729-469A-ABC4-F326DF4D8C41}">
      <formula1>"Two-Way Mirror,Three-Way Mirror,Dual Parity,Nested Two-Way Mirror"</formula1>
    </dataValidation>
    <dataValidation type="list" allowBlank="1" showInputMessage="1" showErrorMessage="1" sqref="C17" xr:uid="{CE1A8A47-1050-4832-8478-A30961D14AEF}">
      <formula1>"S2D Volume (local),SOFS (separate cluster),External/Azure Files/ANF"</formula1>
    </dataValidation>
    <dataValidation type="list" allowBlank="1" showInputMessage="1" showErrorMessage="1" sqref="C30" xr:uid="{306B5D71-9055-4BFF-A5D4-153A4DDD90C6}">
      <formula1>"1:1,2:1,3:1,4:1"</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908430-A9D4-49B0-AF96-F70356614E99}">
  <sheetPr>
    <tabColor theme="7"/>
  </sheetPr>
  <dimension ref="A1:Z500"/>
  <sheetViews>
    <sheetView workbookViewId="0">
      <selection activeCell="C8" sqref="C8"/>
    </sheetView>
  </sheetViews>
  <sheetFormatPr defaultRowHeight="15" x14ac:dyDescent="0.25"/>
  <cols>
    <col min="1" max="1" width="1" customWidth="1"/>
    <col min="2" max="2" width="53.28515625" customWidth="1"/>
    <col min="3" max="3" width="26.7109375" customWidth="1"/>
    <col min="4" max="4" width="15.28515625" customWidth="1"/>
    <col min="5" max="5" width="2.85546875" customWidth="1"/>
    <col min="6" max="6" width="72.42578125" bestFit="1" customWidth="1"/>
  </cols>
  <sheetData>
    <row r="1" spans="1:26" x14ac:dyDescent="0.25">
      <c r="A1" s="293"/>
      <c r="B1" s="293"/>
      <c r="C1" s="293"/>
      <c r="D1" s="293"/>
      <c r="E1" s="293"/>
      <c r="F1" s="293"/>
      <c r="G1" s="46"/>
      <c r="H1" s="46"/>
      <c r="I1" s="46"/>
      <c r="J1" s="46"/>
      <c r="K1" s="46"/>
      <c r="L1" s="46"/>
      <c r="M1" s="46"/>
      <c r="N1" s="46"/>
      <c r="O1" s="46"/>
      <c r="P1" s="46"/>
      <c r="Q1" s="46"/>
      <c r="R1" s="46"/>
      <c r="S1" s="46"/>
      <c r="T1" s="46"/>
      <c r="U1" s="46"/>
      <c r="V1" s="46"/>
      <c r="W1" s="46"/>
      <c r="X1" s="46"/>
      <c r="Y1" s="46"/>
      <c r="Z1" s="46"/>
    </row>
    <row r="2" spans="1:26" ht="18" x14ac:dyDescent="0.25">
      <c r="A2" s="293"/>
      <c r="B2" s="291" t="s">
        <v>720</v>
      </c>
      <c r="C2" s="292"/>
      <c r="D2" s="292"/>
      <c r="E2" s="293"/>
      <c r="F2" s="292"/>
      <c r="G2" s="46"/>
      <c r="H2" s="46"/>
      <c r="I2" s="46"/>
      <c r="J2" s="46"/>
      <c r="K2" s="46"/>
      <c r="L2" s="46"/>
      <c r="M2" s="46"/>
      <c r="N2" s="46"/>
      <c r="O2" s="46"/>
      <c r="P2" s="46"/>
      <c r="Q2" s="46"/>
      <c r="R2" s="46"/>
      <c r="S2" s="46"/>
      <c r="T2" s="46"/>
      <c r="U2" s="46"/>
      <c r="V2" s="46"/>
      <c r="W2" s="46"/>
      <c r="X2" s="46"/>
      <c r="Y2" s="46"/>
      <c r="Z2" s="46"/>
    </row>
    <row r="3" spans="1:26" x14ac:dyDescent="0.25">
      <c r="A3" s="293"/>
      <c r="B3" s="294" t="s">
        <v>721</v>
      </c>
      <c r="C3" s="293"/>
      <c r="D3" s="293"/>
      <c r="E3" s="293"/>
      <c r="F3" s="293"/>
      <c r="G3" s="46"/>
      <c r="H3" s="46"/>
      <c r="I3" s="46"/>
      <c r="J3" s="46"/>
      <c r="K3" s="46"/>
      <c r="L3" s="46"/>
      <c r="M3" s="46"/>
      <c r="N3" s="46"/>
      <c r="O3" s="46"/>
      <c r="P3" s="46"/>
      <c r="Q3" s="46"/>
      <c r="R3" s="46"/>
      <c r="S3" s="46"/>
      <c r="T3" s="46"/>
      <c r="U3" s="46"/>
      <c r="V3" s="46"/>
      <c r="W3" s="46"/>
      <c r="X3" s="46"/>
      <c r="Y3" s="46"/>
      <c r="Z3" s="46"/>
    </row>
    <row r="4" spans="1:26" ht="15.75" thickBot="1" x14ac:dyDescent="0.3">
      <c r="A4" s="293"/>
      <c r="B4" s="293"/>
      <c r="C4" s="293"/>
      <c r="D4" s="293"/>
      <c r="E4" s="293"/>
      <c r="F4" s="293"/>
      <c r="G4" s="46"/>
      <c r="H4" s="46"/>
      <c r="I4" s="46"/>
      <c r="J4" s="46"/>
      <c r="K4" s="46"/>
      <c r="L4" s="46"/>
      <c r="M4" s="46"/>
      <c r="N4" s="46"/>
      <c r="O4" s="46"/>
      <c r="P4" s="46"/>
      <c r="Q4" s="46"/>
      <c r="R4" s="46"/>
      <c r="S4" s="46"/>
      <c r="T4" s="46"/>
      <c r="U4" s="46"/>
      <c r="V4" s="46"/>
      <c r="W4" s="46"/>
      <c r="X4" s="46"/>
      <c r="Y4" s="46"/>
      <c r="Z4" s="46"/>
    </row>
    <row r="5" spans="1:26" x14ac:dyDescent="0.25">
      <c r="A5" s="293"/>
      <c r="B5" s="295" t="s">
        <v>722</v>
      </c>
      <c r="C5" s="296"/>
      <c r="D5" s="296"/>
      <c r="E5" s="297"/>
      <c r="F5" s="296"/>
      <c r="G5" s="46"/>
      <c r="H5" s="46"/>
      <c r="I5" s="46"/>
      <c r="J5" s="46"/>
      <c r="K5" s="46"/>
      <c r="L5" s="46"/>
      <c r="M5" s="46"/>
      <c r="N5" s="46"/>
      <c r="O5" s="46"/>
      <c r="P5" s="46"/>
      <c r="Q5" s="46"/>
      <c r="R5" s="46"/>
      <c r="S5" s="46"/>
      <c r="T5" s="46"/>
      <c r="U5" s="46"/>
      <c r="V5" s="46"/>
      <c r="W5" s="46"/>
      <c r="X5" s="46"/>
      <c r="Y5" s="46"/>
      <c r="Z5" s="46"/>
    </row>
    <row r="6" spans="1:26" x14ac:dyDescent="0.25">
      <c r="A6" s="293"/>
      <c r="B6" s="298" t="s">
        <v>723</v>
      </c>
      <c r="C6" s="8">
        <v>3</v>
      </c>
      <c r="D6" s="299" t="s">
        <v>303</v>
      </c>
      <c r="E6" s="293"/>
      <c r="F6" s="134" t="s">
        <v>724</v>
      </c>
      <c r="G6" s="46"/>
      <c r="H6" s="46"/>
      <c r="I6" s="46"/>
      <c r="J6" s="46"/>
      <c r="K6" s="46"/>
      <c r="L6" s="46"/>
      <c r="M6" s="46"/>
      <c r="N6" s="46"/>
      <c r="O6" s="46"/>
      <c r="P6" s="46"/>
      <c r="Q6" s="46"/>
      <c r="R6" s="46"/>
      <c r="S6" s="46"/>
      <c r="T6" s="46"/>
      <c r="U6" s="46"/>
      <c r="V6" s="46"/>
      <c r="W6" s="46"/>
      <c r="X6" s="46"/>
      <c r="Y6" s="46"/>
      <c r="Z6" s="46"/>
    </row>
    <row r="7" spans="1:26" x14ac:dyDescent="0.25">
      <c r="A7" s="293"/>
      <c r="B7" s="115" t="s">
        <v>725</v>
      </c>
      <c r="C7" s="8">
        <v>4</v>
      </c>
      <c r="D7" s="300" t="s">
        <v>82</v>
      </c>
      <c r="E7" s="293"/>
      <c r="F7" s="134" t="s">
        <v>726</v>
      </c>
      <c r="G7" s="46"/>
      <c r="H7" s="46"/>
      <c r="I7" s="46"/>
      <c r="J7" s="46"/>
      <c r="K7" s="46"/>
      <c r="L7" s="46"/>
      <c r="M7" s="46"/>
      <c r="N7" s="46"/>
      <c r="O7" s="46"/>
      <c r="P7" s="46"/>
      <c r="Q7" s="46"/>
      <c r="R7" s="46"/>
      <c r="S7" s="46"/>
      <c r="T7" s="46"/>
      <c r="U7" s="46"/>
      <c r="V7" s="46"/>
      <c r="W7" s="46"/>
      <c r="X7" s="46"/>
      <c r="Y7" s="46"/>
      <c r="Z7" s="46"/>
    </row>
    <row r="8" spans="1:26" ht="15.75" thickBot="1" x14ac:dyDescent="0.3">
      <c r="A8" s="293"/>
      <c r="B8" s="298" t="s">
        <v>727</v>
      </c>
      <c r="C8" s="42">
        <f>IF(C27=0,0,ROUNDUP(C27/(C6*C7*C16*C11-1),2))</f>
        <v>9.24</v>
      </c>
      <c r="D8" s="299" t="s">
        <v>87</v>
      </c>
      <c r="E8" s="293"/>
      <c r="F8" s="134" t="s">
        <v>867</v>
      </c>
      <c r="G8" s="46"/>
      <c r="H8" s="46"/>
      <c r="I8" s="46"/>
      <c r="J8" s="46"/>
      <c r="K8" s="46"/>
      <c r="L8" s="46"/>
      <c r="M8" s="46"/>
      <c r="N8" s="46"/>
      <c r="O8" s="46"/>
      <c r="P8" s="46"/>
      <c r="Q8" s="46"/>
      <c r="R8" s="46"/>
      <c r="S8" s="46"/>
      <c r="T8" s="46"/>
      <c r="U8" s="46"/>
      <c r="V8" s="46"/>
      <c r="W8" s="46"/>
      <c r="X8" s="46"/>
      <c r="Y8" s="46"/>
      <c r="Z8" s="46"/>
    </row>
    <row r="9" spans="1:26" x14ac:dyDescent="0.25">
      <c r="A9" s="293"/>
      <c r="B9" s="295" t="s">
        <v>731</v>
      </c>
      <c r="C9" s="147"/>
      <c r="D9" s="147"/>
      <c r="E9" s="46"/>
      <c r="F9" s="147"/>
      <c r="G9" s="46"/>
      <c r="H9" s="46"/>
      <c r="I9" s="46"/>
      <c r="J9" s="46"/>
      <c r="K9" s="46"/>
      <c r="L9" s="46"/>
      <c r="M9" s="46"/>
      <c r="N9" s="46"/>
      <c r="O9" s="46"/>
      <c r="P9" s="46"/>
      <c r="Q9" s="46"/>
      <c r="R9" s="46"/>
      <c r="S9" s="46"/>
      <c r="T9" s="46"/>
      <c r="U9" s="46"/>
      <c r="V9" s="46"/>
      <c r="W9" s="46"/>
      <c r="X9" s="46"/>
      <c r="Y9" s="46"/>
      <c r="Z9" s="46"/>
    </row>
    <row r="10" spans="1:26" x14ac:dyDescent="0.25">
      <c r="A10" s="293"/>
      <c r="B10" s="298" t="s">
        <v>728</v>
      </c>
      <c r="C10" s="133" t="str">
        <f>'AVD Planning'!C22</f>
        <v>Three-Way Mirror</v>
      </c>
      <c r="D10" s="301"/>
      <c r="E10" s="46"/>
      <c r="F10" s="134" t="s">
        <v>858</v>
      </c>
      <c r="G10" s="46"/>
      <c r="H10" s="46"/>
      <c r="I10" s="46"/>
      <c r="J10" s="46"/>
      <c r="K10" s="46"/>
      <c r="L10" s="46"/>
      <c r="M10" s="46"/>
      <c r="N10" s="46"/>
      <c r="O10" s="46"/>
      <c r="P10" s="46"/>
      <c r="Q10" s="46"/>
      <c r="R10" s="46"/>
      <c r="S10" s="46"/>
      <c r="T10" s="46"/>
      <c r="U10" s="46"/>
      <c r="V10" s="46"/>
      <c r="W10" s="46"/>
      <c r="X10" s="46"/>
      <c r="Y10" s="46"/>
      <c r="Z10" s="46"/>
    </row>
    <row r="11" spans="1:26" x14ac:dyDescent="0.25">
      <c r="A11" s="293"/>
      <c r="B11" s="115" t="s">
        <v>729</v>
      </c>
      <c r="C11" s="302">
        <v>0.92</v>
      </c>
      <c r="D11" s="254"/>
      <c r="E11" s="46"/>
      <c r="F11" s="134" t="s">
        <v>730</v>
      </c>
      <c r="G11" s="46"/>
      <c r="H11" s="46"/>
      <c r="I11" s="46"/>
      <c r="J11" s="46"/>
      <c r="K11" s="46"/>
      <c r="L11" s="46"/>
      <c r="M11" s="46"/>
      <c r="N11" s="46"/>
      <c r="O11" s="46"/>
      <c r="P11" s="46"/>
      <c r="Q11" s="46"/>
      <c r="R11" s="46"/>
      <c r="S11" s="46"/>
      <c r="T11" s="46"/>
      <c r="U11" s="46"/>
      <c r="V11" s="46"/>
      <c r="W11" s="46"/>
      <c r="X11" s="46"/>
      <c r="Y11" s="46"/>
      <c r="Z11" s="46"/>
    </row>
    <row r="12" spans="1:26" x14ac:dyDescent="0.25">
      <c r="A12" s="293"/>
      <c r="B12" s="132" t="s">
        <v>859</v>
      </c>
      <c r="C12" s="13" t="s">
        <v>860</v>
      </c>
      <c r="D12" s="301"/>
      <c r="E12" s="46"/>
      <c r="F12" s="134" t="s">
        <v>866</v>
      </c>
      <c r="G12" s="46"/>
      <c r="H12" s="46"/>
      <c r="I12" s="46"/>
      <c r="J12" s="46"/>
      <c r="K12" s="46"/>
      <c r="L12" s="46"/>
      <c r="M12" s="46"/>
      <c r="N12" s="46"/>
      <c r="O12" s="46"/>
      <c r="P12" s="46"/>
      <c r="Q12" s="46"/>
      <c r="R12" s="46"/>
      <c r="S12" s="46"/>
      <c r="T12" s="46"/>
      <c r="U12" s="46"/>
      <c r="V12" s="46"/>
      <c r="W12" s="46"/>
      <c r="X12" s="46"/>
      <c r="Y12" s="46"/>
      <c r="Z12" s="46"/>
    </row>
    <row r="13" spans="1:26" x14ac:dyDescent="0.25">
      <c r="A13" s="293"/>
      <c r="B13" s="303" t="s">
        <v>861</v>
      </c>
      <c r="C13" s="325" t="s">
        <v>108</v>
      </c>
      <c r="D13" s="304"/>
      <c r="E13" s="46"/>
      <c r="F13" s="305" t="s">
        <v>862</v>
      </c>
      <c r="G13" s="46"/>
      <c r="H13" s="46"/>
      <c r="I13" s="46"/>
      <c r="J13" s="46"/>
      <c r="K13" s="46"/>
      <c r="L13" s="46"/>
      <c r="M13" s="46"/>
      <c r="N13" s="46"/>
      <c r="O13" s="46"/>
      <c r="P13" s="46"/>
      <c r="Q13" s="46"/>
      <c r="R13" s="46"/>
      <c r="S13" s="46"/>
      <c r="T13" s="46"/>
      <c r="U13" s="46"/>
      <c r="V13" s="46"/>
      <c r="W13" s="46"/>
      <c r="X13" s="46"/>
      <c r="Y13" s="46"/>
      <c r="Z13" s="46"/>
    </row>
    <row r="14" spans="1:26" x14ac:dyDescent="0.25">
      <c r="A14" s="293"/>
      <c r="B14" s="254"/>
      <c r="C14" s="254"/>
      <c r="D14" s="254"/>
      <c r="E14" s="46"/>
      <c r="F14" s="254"/>
      <c r="G14" s="46"/>
      <c r="H14" s="46"/>
      <c r="I14" s="46"/>
      <c r="J14" s="46"/>
      <c r="K14" s="46"/>
      <c r="L14" s="46"/>
      <c r="M14" s="46"/>
      <c r="N14" s="46"/>
      <c r="O14" s="46"/>
      <c r="P14" s="46"/>
      <c r="Q14" s="46"/>
      <c r="R14" s="46"/>
      <c r="S14" s="46"/>
      <c r="T14" s="46"/>
      <c r="U14" s="46"/>
      <c r="V14" s="46"/>
      <c r="W14" s="46"/>
      <c r="X14" s="46"/>
      <c r="Y14" s="46"/>
      <c r="Z14" s="46"/>
    </row>
    <row r="15" spans="1:26" x14ac:dyDescent="0.25">
      <c r="A15" s="293"/>
      <c r="B15" s="298" t="s">
        <v>732</v>
      </c>
      <c r="C15" s="42">
        <f>C6*C7*C8</f>
        <v>110.88</v>
      </c>
      <c r="D15" s="299" t="s">
        <v>87</v>
      </c>
      <c r="E15" s="46"/>
      <c r="F15" s="134" t="s">
        <v>733</v>
      </c>
      <c r="G15" s="46"/>
      <c r="H15" s="46"/>
      <c r="I15" s="46"/>
      <c r="J15" s="46"/>
      <c r="K15" s="46"/>
      <c r="L15" s="46"/>
      <c r="M15" s="46"/>
      <c r="N15" s="46"/>
      <c r="O15" s="46"/>
      <c r="P15" s="46"/>
      <c r="Q15" s="46"/>
      <c r="R15" s="46"/>
      <c r="S15" s="46"/>
      <c r="T15" s="46"/>
      <c r="U15" s="46"/>
      <c r="V15" s="46"/>
      <c r="W15" s="46"/>
      <c r="X15" s="46"/>
      <c r="Y15" s="46"/>
      <c r="Z15" s="46"/>
    </row>
    <row r="16" spans="1:26" x14ac:dyDescent="0.25">
      <c r="A16" s="293"/>
      <c r="B16" s="115" t="s">
        <v>734</v>
      </c>
      <c r="C16" s="280">
        <f>IF(C10="Three-Way Mirror",1/3,IF(C10="Two-Way Mirror",0.5,IF(C10="Dual Parity",IF(C6&gt;=16,0.8,IF(C6&gt;=9,0.75,IF(C6&gt;=7,2/3,0.5))),IF(C10="Nested Two-Way Mirror",0.25,1/3))))</f>
        <v>0.33333333333333331</v>
      </c>
      <c r="D16" s="254"/>
      <c r="E16" s="46"/>
      <c r="F16" s="134" t="s">
        <v>735</v>
      </c>
      <c r="G16" s="46"/>
      <c r="H16" s="46"/>
      <c r="I16" s="46"/>
      <c r="J16" s="46"/>
      <c r="K16" s="46"/>
      <c r="L16" s="46"/>
      <c r="M16" s="46"/>
      <c r="N16" s="46"/>
      <c r="O16" s="46"/>
      <c r="P16" s="46"/>
      <c r="Q16" s="46"/>
      <c r="R16" s="46"/>
      <c r="S16" s="46"/>
      <c r="T16" s="46"/>
      <c r="U16" s="46"/>
      <c r="V16" s="46"/>
      <c r="W16" s="46"/>
      <c r="X16" s="46"/>
      <c r="Y16" s="46"/>
      <c r="Z16" s="46"/>
    </row>
    <row r="17" spans="1:26" x14ac:dyDescent="0.25">
      <c r="A17" s="293"/>
      <c r="B17" s="298" t="s">
        <v>736</v>
      </c>
      <c r="C17" s="42">
        <f>ROUND(C15*C16*C11,2)</f>
        <v>34</v>
      </c>
      <c r="D17" s="299" t="s">
        <v>87</v>
      </c>
      <c r="E17" s="46"/>
      <c r="F17" s="134" t="s">
        <v>737</v>
      </c>
      <c r="G17" s="46"/>
      <c r="H17" s="46"/>
      <c r="I17" s="46"/>
      <c r="J17" s="46"/>
      <c r="K17" s="46"/>
      <c r="L17" s="46"/>
      <c r="M17" s="46"/>
      <c r="N17" s="46"/>
      <c r="O17" s="46"/>
      <c r="P17" s="46"/>
      <c r="Q17" s="46"/>
      <c r="R17" s="46"/>
      <c r="S17" s="46"/>
      <c r="T17" s="46"/>
      <c r="U17" s="46"/>
      <c r="V17" s="46"/>
      <c r="W17" s="46"/>
      <c r="X17" s="46"/>
      <c r="Y17" s="46"/>
      <c r="Z17" s="46"/>
    </row>
    <row r="18" spans="1:26" x14ac:dyDescent="0.25">
      <c r="A18" s="293"/>
      <c r="B18" s="115" t="s">
        <v>738</v>
      </c>
      <c r="C18" s="306">
        <f>C8</f>
        <v>9.24</v>
      </c>
      <c r="D18" s="300" t="s">
        <v>87</v>
      </c>
      <c r="E18" s="46"/>
      <c r="F18" s="134" t="s">
        <v>739</v>
      </c>
      <c r="G18" s="46"/>
      <c r="H18" s="46"/>
      <c r="I18" s="46"/>
      <c r="J18" s="46"/>
      <c r="K18" s="46"/>
      <c r="L18" s="46"/>
      <c r="M18" s="46"/>
      <c r="N18" s="46"/>
      <c r="O18" s="46"/>
      <c r="P18" s="46"/>
      <c r="Q18" s="46"/>
      <c r="R18" s="46"/>
      <c r="S18" s="46"/>
      <c r="T18" s="46"/>
      <c r="U18" s="46"/>
      <c r="V18" s="46"/>
      <c r="W18" s="46"/>
      <c r="X18" s="46"/>
      <c r="Y18" s="46"/>
      <c r="Z18" s="46"/>
    </row>
    <row r="19" spans="1:26" x14ac:dyDescent="0.25">
      <c r="A19" s="293"/>
      <c r="B19" s="307" t="s">
        <v>740</v>
      </c>
      <c r="C19" s="308">
        <f>MAX(0,ROUND(C17-C18,2))</f>
        <v>24.76</v>
      </c>
      <c r="D19" s="309" t="s">
        <v>87</v>
      </c>
      <c r="E19" s="46"/>
      <c r="F19" s="134" t="s">
        <v>741</v>
      </c>
      <c r="G19" s="46"/>
      <c r="H19" s="46"/>
      <c r="I19" s="46"/>
      <c r="J19" s="46"/>
      <c r="K19" s="46"/>
      <c r="L19" s="46"/>
      <c r="M19" s="46"/>
      <c r="N19" s="46"/>
      <c r="O19" s="46"/>
      <c r="P19" s="46"/>
      <c r="Q19" s="46"/>
      <c r="R19" s="46"/>
      <c r="S19" s="46"/>
      <c r="T19" s="46"/>
      <c r="U19" s="46"/>
      <c r="V19" s="46"/>
      <c r="W19" s="46"/>
      <c r="X19" s="46"/>
      <c r="Y19" s="46"/>
      <c r="Z19" s="46"/>
    </row>
    <row r="20" spans="1:26" ht="15.75" thickBot="1" x14ac:dyDescent="0.3">
      <c r="A20" s="293"/>
      <c r="B20" s="293"/>
      <c r="C20" s="293"/>
      <c r="D20" s="293"/>
      <c r="E20" s="293"/>
      <c r="F20" s="293"/>
      <c r="G20" s="46"/>
      <c r="H20" s="46"/>
      <c r="I20" s="46"/>
      <c r="J20" s="46"/>
      <c r="K20" s="46"/>
      <c r="L20" s="46"/>
      <c r="M20" s="46"/>
      <c r="N20" s="46"/>
      <c r="O20" s="46"/>
      <c r="P20" s="46"/>
      <c r="Q20" s="46"/>
      <c r="R20" s="46"/>
      <c r="S20" s="46"/>
      <c r="T20" s="46"/>
      <c r="U20" s="46"/>
      <c r="V20" s="46"/>
      <c r="W20" s="46"/>
      <c r="X20" s="46"/>
      <c r="Y20" s="46"/>
      <c r="Z20" s="46"/>
    </row>
    <row r="21" spans="1:26" x14ac:dyDescent="0.25">
      <c r="A21" s="293"/>
      <c r="B21" s="295" t="s">
        <v>742</v>
      </c>
      <c r="C21" s="296"/>
      <c r="D21" s="296"/>
      <c r="E21" s="297"/>
      <c r="F21" s="296"/>
      <c r="G21" s="46"/>
      <c r="H21" s="46"/>
      <c r="I21" s="46"/>
      <c r="J21" s="46"/>
      <c r="K21" s="46"/>
      <c r="L21" s="46"/>
      <c r="M21" s="46"/>
      <c r="N21" s="46"/>
      <c r="O21" s="46"/>
      <c r="P21" s="46"/>
      <c r="Q21" s="46"/>
      <c r="R21" s="46"/>
      <c r="S21" s="46"/>
      <c r="T21" s="46"/>
      <c r="U21" s="46"/>
      <c r="V21" s="46"/>
      <c r="W21" s="46"/>
      <c r="X21" s="46"/>
      <c r="Y21" s="46"/>
      <c r="Z21" s="46"/>
    </row>
    <row r="22" spans="1:26" x14ac:dyDescent="0.25">
      <c r="A22" s="293"/>
      <c r="B22" s="298" t="s">
        <v>743</v>
      </c>
      <c r="C22" s="263" t="str">
        <f>'Workload Planner'!C17</f>
        <v>S2D Volume (local)</v>
      </c>
      <c r="D22" s="310"/>
      <c r="E22" s="293"/>
      <c r="F22" s="134" t="s">
        <v>744</v>
      </c>
      <c r="G22" s="46"/>
      <c r="H22" s="46"/>
      <c r="I22" s="46"/>
      <c r="J22" s="46"/>
      <c r="K22" s="46"/>
      <c r="L22" s="46"/>
      <c r="M22" s="46"/>
      <c r="N22" s="46"/>
      <c r="O22" s="46"/>
      <c r="P22" s="46"/>
      <c r="Q22" s="46"/>
      <c r="R22" s="46"/>
      <c r="S22" s="46"/>
      <c r="T22" s="46"/>
      <c r="U22" s="46"/>
      <c r="V22" s="46"/>
      <c r="W22" s="46"/>
      <c r="X22" s="46"/>
      <c r="Y22" s="46"/>
      <c r="Z22" s="46"/>
    </row>
    <row r="23" spans="1:26" x14ac:dyDescent="0.25">
      <c r="A23" s="293"/>
      <c r="B23" s="115" t="s">
        <v>335</v>
      </c>
      <c r="C23" s="281">
        <f>'Workload Planner'!C18</f>
        <v>1300</v>
      </c>
      <c r="D23" s="300" t="s">
        <v>128</v>
      </c>
      <c r="E23" s="293"/>
      <c r="F23" s="134" t="s">
        <v>745</v>
      </c>
      <c r="G23" s="46"/>
      <c r="H23" s="46"/>
      <c r="I23" s="46"/>
      <c r="J23" s="46"/>
      <c r="K23" s="46"/>
      <c r="L23" s="46"/>
      <c r="M23" s="46"/>
      <c r="N23" s="46"/>
      <c r="O23" s="46"/>
      <c r="P23" s="46"/>
      <c r="Q23" s="46"/>
      <c r="R23" s="46"/>
      <c r="S23" s="46"/>
      <c r="T23" s="46"/>
      <c r="U23" s="46"/>
      <c r="V23" s="46"/>
      <c r="W23" s="46"/>
      <c r="X23" s="46"/>
      <c r="Y23" s="46"/>
      <c r="Z23" s="46"/>
    </row>
    <row r="24" spans="1:26" x14ac:dyDescent="0.25">
      <c r="A24" s="293"/>
      <c r="B24" s="298" t="s">
        <v>746</v>
      </c>
      <c r="C24" s="282">
        <f>'Workload Planner'!C20</f>
        <v>5</v>
      </c>
      <c r="D24" s="299" t="s">
        <v>126</v>
      </c>
      <c r="E24" s="293"/>
      <c r="F24" s="293"/>
      <c r="G24" s="46"/>
      <c r="H24" s="46"/>
      <c r="I24" s="46"/>
      <c r="J24" s="46"/>
      <c r="K24" s="46"/>
      <c r="L24" s="46"/>
      <c r="M24" s="46"/>
      <c r="N24" s="46"/>
      <c r="O24" s="46"/>
      <c r="P24" s="46"/>
      <c r="Q24" s="46"/>
      <c r="R24" s="46"/>
      <c r="S24" s="46"/>
      <c r="T24" s="46"/>
      <c r="U24" s="46"/>
      <c r="V24" s="46"/>
      <c r="W24" s="46"/>
      <c r="X24" s="46"/>
      <c r="Y24" s="46"/>
      <c r="Z24" s="46"/>
    </row>
    <row r="25" spans="1:26" x14ac:dyDescent="0.25">
      <c r="A25" s="293"/>
      <c r="B25" s="115" t="s">
        <v>747</v>
      </c>
      <c r="C25" s="280">
        <f>'Workload Planner'!C21</f>
        <v>0.3</v>
      </c>
      <c r="D25" s="311"/>
      <c r="E25" s="293"/>
      <c r="F25" s="293"/>
      <c r="G25" s="46"/>
      <c r="H25" s="46"/>
      <c r="I25" s="46"/>
      <c r="J25" s="46"/>
      <c r="K25" s="46"/>
      <c r="L25" s="46"/>
      <c r="M25" s="46"/>
      <c r="N25" s="46"/>
      <c r="O25" s="46"/>
      <c r="P25" s="46"/>
      <c r="Q25" s="46"/>
      <c r="R25" s="46"/>
      <c r="S25" s="46"/>
      <c r="T25" s="46"/>
      <c r="U25" s="46"/>
      <c r="V25" s="46"/>
      <c r="W25" s="46"/>
      <c r="X25" s="46"/>
      <c r="Y25" s="46"/>
      <c r="Z25" s="46"/>
    </row>
    <row r="26" spans="1:26" x14ac:dyDescent="0.25">
      <c r="A26" s="293"/>
      <c r="B26" s="298" t="s">
        <v>748</v>
      </c>
      <c r="C26" s="42">
        <f>ROUND((C23*C24*(1+C25))/1024,2)</f>
        <v>8.25</v>
      </c>
      <c r="D26" s="299" t="s">
        <v>87</v>
      </c>
      <c r="E26" s="293"/>
      <c r="F26" s="134" t="s">
        <v>749</v>
      </c>
      <c r="G26" s="46"/>
      <c r="H26" s="46"/>
      <c r="I26" s="46"/>
      <c r="J26" s="46"/>
      <c r="K26" s="46"/>
      <c r="L26" s="46"/>
      <c r="M26" s="46"/>
      <c r="N26" s="46"/>
      <c r="O26" s="46"/>
      <c r="P26" s="46"/>
      <c r="Q26" s="46"/>
      <c r="R26" s="46"/>
      <c r="S26" s="46"/>
      <c r="T26" s="46"/>
      <c r="U26" s="46"/>
      <c r="V26" s="46"/>
      <c r="W26" s="46"/>
      <c r="X26" s="46"/>
      <c r="Y26" s="46"/>
      <c r="Z26" s="46"/>
    </row>
    <row r="27" spans="1:26" x14ac:dyDescent="0.25">
      <c r="A27" s="293"/>
      <c r="B27" s="115" t="s">
        <v>750</v>
      </c>
      <c r="C27" s="195">
        <f>IF(C16=0,0,ROUND(C26/C16,2))</f>
        <v>24.75</v>
      </c>
      <c r="D27" s="300" t="s">
        <v>87</v>
      </c>
      <c r="E27" s="293"/>
      <c r="F27" s="134" t="s">
        <v>751</v>
      </c>
      <c r="G27" s="46"/>
      <c r="H27" s="46"/>
      <c r="I27" s="46"/>
      <c r="J27" s="46"/>
      <c r="K27" s="46"/>
      <c r="L27" s="46"/>
      <c r="M27" s="46"/>
      <c r="N27" s="46"/>
      <c r="O27" s="46"/>
      <c r="P27" s="46"/>
      <c r="Q27" s="46"/>
      <c r="R27" s="46"/>
      <c r="S27" s="46"/>
      <c r="T27" s="46"/>
      <c r="U27" s="46"/>
      <c r="V27" s="46"/>
      <c r="W27" s="46"/>
      <c r="X27" s="46"/>
      <c r="Y27" s="46"/>
      <c r="Z27" s="46"/>
    </row>
    <row r="28" spans="1:26" x14ac:dyDescent="0.25">
      <c r="A28" s="293"/>
      <c r="B28" s="307" t="s">
        <v>752</v>
      </c>
      <c r="C28" s="308">
        <f>ROUND(C19-C27,2)</f>
        <v>0.01</v>
      </c>
      <c r="D28" s="309" t="s">
        <v>87</v>
      </c>
      <c r="E28" s="293"/>
      <c r="F28" s="134" t="s">
        <v>753</v>
      </c>
      <c r="G28" s="46"/>
      <c r="H28" s="46"/>
      <c r="I28" s="46"/>
      <c r="J28" s="46"/>
      <c r="K28" s="46"/>
      <c r="L28" s="46"/>
      <c r="M28" s="46"/>
      <c r="N28" s="46"/>
      <c r="O28" s="46"/>
      <c r="P28" s="46"/>
      <c r="Q28" s="46"/>
      <c r="R28" s="46"/>
      <c r="S28" s="46"/>
      <c r="T28" s="46"/>
      <c r="U28" s="46"/>
      <c r="V28" s="46"/>
      <c r="W28" s="46"/>
      <c r="X28" s="46"/>
      <c r="Y28" s="46"/>
      <c r="Z28" s="46"/>
    </row>
    <row r="29" spans="1:26" x14ac:dyDescent="0.25">
      <c r="A29" s="293"/>
      <c r="B29" s="298" t="s">
        <v>754</v>
      </c>
      <c r="C29" s="312">
        <f>IF(C19=0,0,C27/C19)</f>
        <v>0.99959612277867527</v>
      </c>
      <c r="D29" s="310"/>
      <c r="E29" s="293"/>
      <c r="F29" s="134" t="s">
        <v>755</v>
      </c>
      <c r="G29" s="46"/>
      <c r="H29" s="46"/>
      <c r="I29" s="46"/>
      <c r="J29" s="46"/>
      <c r="K29" s="46"/>
      <c r="L29" s="46"/>
      <c r="M29" s="46"/>
      <c r="N29" s="46"/>
      <c r="O29" s="46"/>
      <c r="P29" s="46"/>
      <c r="Q29" s="46"/>
      <c r="R29" s="46"/>
      <c r="S29" s="46"/>
      <c r="T29" s="46"/>
      <c r="U29" s="46"/>
      <c r="V29" s="46"/>
      <c r="W29" s="46"/>
      <c r="X29" s="46"/>
      <c r="Y29" s="46"/>
      <c r="Z29" s="46"/>
    </row>
    <row r="30" spans="1:26" ht="15.75" thickBot="1" x14ac:dyDescent="0.3">
      <c r="A30" s="293"/>
      <c r="B30" s="293"/>
      <c r="C30" s="293"/>
      <c r="D30" s="293"/>
      <c r="E30" s="293"/>
      <c r="F30" s="293"/>
      <c r="G30" s="46"/>
      <c r="H30" s="46"/>
      <c r="I30" s="46"/>
      <c r="J30" s="46"/>
      <c r="K30" s="46"/>
      <c r="L30" s="46"/>
      <c r="M30" s="46"/>
      <c r="N30" s="46"/>
      <c r="O30" s="46"/>
      <c r="P30" s="46"/>
      <c r="Q30" s="46"/>
      <c r="R30" s="46"/>
      <c r="S30" s="46"/>
      <c r="T30" s="46"/>
      <c r="U30" s="46"/>
      <c r="V30" s="46"/>
      <c r="W30" s="46"/>
      <c r="X30" s="46"/>
      <c r="Y30" s="46"/>
      <c r="Z30" s="46"/>
    </row>
    <row r="31" spans="1:26" x14ac:dyDescent="0.25">
      <c r="A31" s="293"/>
      <c r="B31" s="295" t="s">
        <v>756</v>
      </c>
      <c r="C31" s="296"/>
      <c r="D31" s="296"/>
      <c r="E31" s="297"/>
      <c r="F31" s="296"/>
      <c r="G31" s="46"/>
      <c r="H31" s="46"/>
      <c r="I31" s="46"/>
      <c r="J31" s="46"/>
      <c r="K31" s="46"/>
      <c r="L31" s="46"/>
      <c r="M31" s="46"/>
      <c r="N31" s="46"/>
      <c r="O31" s="46"/>
      <c r="P31" s="46"/>
      <c r="Q31" s="46"/>
      <c r="R31" s="46"/>
      <c r="S31" s="46"/>
      <c r="T31" s="46"/>
      <c r="U31" s="46"/>
      <c r="V31" s="46"/>
      <c r="W31" s="46"/>
      <c r="X31" s="46"/>
      <c r="Y31" s="46"/>
      <c r="Z31" s="46"/>
    </row>
    <row r="32" spans="1:26" x14ac:dyDescent="0.25">
      <c r="A32" s="293"/>
      <c r="B32" s="298" t="s">
        <v>757</v>
      </c>
      <c r="C32" s="191">
        <v>10</v>
      </c>
      <c r="D32" s="299" t="s">
        <v>758</v>
      </c>
      <c r="E32" s="293"/>
      <c r="F32" s="134" t="s">
        <v>759</v>
      </c>
      <c r="G32" s="46"/>
      <c r="H32" s="46"/>
      <c r="I32" s="46"/>
      <c r="J32" s="46"/>
      <c r="K32" s="46"/>
      <c r="L32" s="46"/>
      <c r="M32" s="46"/>
      <c r="N32" s="46"/>
      <c r="O32" s="46"/>
      <c r="P32" s="46"/>
      <c r="Q32" s="46"/>
      <c r="R32" s="46"/>
      <c r="S32" s="46"/>
      <c r="T32" s="46"/>
      <c r="U32" s="46"/>
      <c r="V32" s="46"/>
      <c r="W32" s="46"/>
      <c r="X32" s="46"/>
      <c r="Y32" s="46"/>
      <c r="Z32" s="46"/>
    </row>
    <row r="33" spans="1:26" x14ac:dyDescent="0.25">
      <c r="A33" s="293"/>
      <c r="B33" s="115" t="s">
        <v>760</v>
      </c>
      <c r="C33" s="191">
        <v>50</v>
      </c>
      <c r="D33" s="300" t="s">
        <v>758</v>
      </c>
      <c r="E33" s="293"/>
      <c r="F33" s="134" t="s">
        <v>761</v>
      </c>
      <c r="G33" s="46"/>
      <c r="H33" s="46"/>
      <c r="I33" s="46"/>
      <c r="J33" s="46"/>
      <c r="K33" s="46"/>
      <c r="L33" s="46"/>
      <c r="M33" s="46"/>
      <c r="N33" s="46"/>
      <c r="O33" s="46"/>
      <c r="P33" s="46"/>
      <c r="Q33" s="46"/>
      <c r="R33" s="46"/>
      <c r="S33" s="46"/>
      <c r="T33" s="46"/>
      <c r="U33" s="46"/>
      <c r="V33" s="46"/>
      <c r="W33" s="46"/>
      <c r="X33" s="46"/>
      <c r="Y33" s="46"/>
      <c r="Z33" s="46"/>
    </row>
    <row r="34" spans="1:26" x14ac:dyDescent="0.25">
      <c r="A34" s="293"/>
      <c r="B34" s="298" t="s">
        <v>762</v>
      </c>
      <c r="C34" s="281">
        <f>'Workload Planner'!C19</f>
        <v>300</v>
      </c>
      <c r="D34" s="299" t="s">
        <v>128</v>
      </c>
      <c r="E34" s="293"/>
      <c r="F34" s="293"/>
      <c r="G34" s="46"/>
      <c r="H34" s="46"/>
      <c r="I34" s="46"/>
      <c r="J34" s="46"/>
      <c r="K34" s="46"/>
      <c r="L34" s="46"/>
      <c r="M34" s="46"/>
      <c r="N34" s="46"/>
      <c r="O34" s="46"/>
      <c r="P34" s="46"/>
      <c r="Q34" s="46"/>
      <c r="R34" s="46"/>
      <c r="S34" s="46"/>
      <c r="T34" s="46"/>
      <c r="U34" s="46"/>
      <c r="V34" s="46"/>
      <c r="W34" s="46"/>
      <c r="X34" s="46"/>
      <c r="Y34" s="46"/>
      <c r="Z34" s="46"/>
    </row>
    <row r="35" spans="1:26" x14ac:dyDescent="0.25">
      <c r="A35" s="293"/>
      <c r="B35" s="115" t="s">
        <v>763</v>
      </c>
      <c r="C35" s="302">
        <v>0.2</v>
      </c>
      <c r="D35" s="311"/>
      <c r="E35" s="293"/>
      <c r="F35" s="134" t="s">
        <v>764</v>
      </c>
      <c r="G35" s="46"/>
      <c r="H35" s="46"/>
      <c r="I35" s="46"/>
      <c r="J35" s="46"/>
      <c r="K35" s="46"/>
      <c r="L35" s="46"/>
      <c r="M35" s="46"/>
      <c r="N35" s="46"/>
      <c r="O35" s="46"/>
      <c r="P35" s="46"/>
      <c r="Q35" s="46"/>
      <c r="R35" s="46"/>
      <c r="S35" s="46"/>
      <c r="T35" s="46"/>
      <c r="U35" s="46"/>
      <c r="V35" s="46"/>
      <c r="W35" s="46"/>
      <c r="X35" s="46"/>
      <c r="Y35" s="46"/>
      <c r="Z35" s="46"/>
    </row>
    <row r="36" spans="1:26" x14ac:dyDescent="0.25">
      <c r="A36" s="293"/>
      <c r="B36" s="298" t="s">
        <v>765</v>
      </c>
      <c r="C36" s="281">
        <f>C34*C32*IF(C12="Split",3,1)</f>
        <v>3000</v>
      </c>
      <c r="D36" s="299" t="s">
        <v>758</v>
      </c>
      <c r="E36" s="293"/>
      <c r="F36" s="293"/>
      <c r="G36" s="46"/>
      <c r="H36" s="46"/>
      <c r="I36" s="46"/>
      <c r="J36" s="46"/>
      <c r="K36" s="46"/>
      <c r="L36" s="46"/>
      <c r="M36" s="46"/>
      <c r="N36" s="46"/>
      <c r="O36" s="46"/>
      <c r="P36" s="46"/>
      <c r="Q36" s="46"/>
      <c r="R36" s="46"/>
      <c r="S36" s="46"/>
      <c r="T36" s="46"/>
      <c r="U36" s="46"/>
      <c r="V36" s="46"/>
      <c r="W36" s="46"/>
      <c r="X36" s="46"/>
      <c r="Y36" s="46"/>
      <c r="Z36" s="46"/>
    </row>
    <row r="37" spans="1:26" x14ac:dyDescent="0.25">
      <c r="A37" s="293"/>
      <c r="B37" s="143" t="s">
        <v>766</v>
      </c>
      <c r="C37" s="313">
        <f>ROUND(((C34*(1-C35)*C32)+(C34*C35*C33))*IF(C12="Split",3,1),0)</f>
        <v>5400</v>
      </c>
      <c r="D37" s="314" t="s">
        <v>758</v>
      </c>
      <c r="E37" s="293"/>
      <c r="F37" s="134" t="s">
        <v>767</v>
      </c>
      <c r="G37" s="46"/>
      <c r="H37" s="46"/>
      <c r="I37" s="46"/>
      <c r="J37" s="46"/>
      <c r="K37" s="46"/>
      <c r="L37" s="46"/>
      <c r="M37" s="46"/>
      <c r="N37" s="46"/>
      <c r="O37" s="46"/>
      <c r="P37" s="46"/>
      <c r="Q37" s="46"/>
      <c r="R37" s="46"/>
      <c r="S37" s="46"/>
      <c r="T37" s="46"/>
      <c r="U37" s="46"/>
      <c r="V37" s="46"/>
      <c r="W37" s="46"/>
      <c r="X37" s="46"/>
      <c r="Y37" s="46"/>
      <c r="Z37" s="46"/>
    </row>
    <row r="38" spans="1:26" x14ac:dyDescent="0.25">
      <c r="A38" s="293"/>
      <c r="B38" s="293"/>
      <c r="C38" s="293"/>
      <c r="D38" s="293"/>
      <c r="E38" s="293"/>
      <c r="F38" s="293"/>
      <c r="G38" s="46"/>
      <c r="H38" s="46"/>
      <c r="I38" s="46"/>
      <c r="J38" s="46"/>
      <c r="K38" s="46"/>
      <c r="L38" s="46"/>
      <c r="M38" s="46"/>
      <c r="N38" s="46"/>
      <c r="O38" s="46"/>
      <c r="P38" s="46"/>
      <c r="Q38" s="46"/>
      <c r="R38" s="46"/>
      <c r="S38" s="46"/>
      <c r="T38" s="46"/>
      <c r="U38" s="46"/>
      <c r="V38" s="46"/>
      <c r="W38" s="46"/>
      <c r="X38" s="46"/>
      <c r="Y38" s="46"/>
      <c r="Z38" s="46"/>
    </row>
    <row r="39" spans="1:26" x14ac:dyDescent="0.25">
      <c r="A39" s="293"/>
      <c r="B39" s="261" t="s">
        <v>886</v>
      </c>
      <c r="C39" s="315"/>
      <c r="D39" s="315"/>
      <c r="E39" s="293"/>
      <c r="F39" s="315"/>
      <c r="G39" s="46"/>
      <c r="H39" s="46"/>
      <c r="I39" s="46"/>
      <c r="J39" s="46"/>
      <c r="K39" s="46"/>
      <c r="L39" s="46"/>
      <c r="M39" s="46"/>
      <c r="N39" s="46"/>
      <c r="O39" s="46"/>
      <c r="P39" s="46"/>
      <c r="Q39" s="46"/>
      <c r="R39" s="46"/>
      <c r="S39" s="46"/>
      <c r="T39" s="46"/>
      <c r="U39" s="46"/>
      <c r="V39" s="46"/>
      <c r="W39" s="46"/>
      <c r="X39" s="46"/>
      <c r="Y39" s="46"/>
      <c r="Z39" s="46"/>
    </row>
    <row r="40" spans="1:26" x14ac:dyDescent="0.25">
      <c r="A40" s="293"/>
      <c r="B40" s="132" t="s">
        <v>887</v>
      </c>
      <c r="C40" s="255">
        <v>8</v>
      </c>
      <c r="D40" s="293" t="s">
        <v>484</v>
      </c>
      <c r="E40" s="293"/>
      <c r="F40" s="134" t="s">
        <v>888</v>
      </c>
      <c r="G40" s="46"/>
      <c r="H40" s="46"/>
      <c r="I40" s="46"/>
      <c r="J40" s="46"/>
      <c r="K40" s="46"/>
      <c r="L40" s="46"/>
      <c r="M40" s="46"/>
      <c r="N40" s="46"/>
      <c r="O40" s="46"/>
      <c r="P40" s="46"/>
      <c r="Q40" s="46"/>
      <c r="R40" s="46"/>
      <c r="S40" s="46"/>
      <c r="T40" s="46"/>
      <c r="U40" s="46"/>
      <c r="V40" s="46"/>
      <c r="W40" s="46"/>
      <c r="X40" s="46"/>
      <c r="Y40" s="46"/>
      <c r="Z40" s="46"/>
    </row>
    <row r="41" spans="1:26" x14ac:dyDescent="0.25">
      <c r="A41" s="293"/>
      <c r="B41" s="132" t="s">
        <v>889</v>
      </c>
      <c r="C41" s="256">
        <v>16</v>
      </c>
      <c r="D41" s="293" t="s">
        <v>126</v>
      </c>
      <c r="E41" s="293"/>
      <c r="F41" s="134" t="s">
        <v>890</v>
      </c>
      <c r="G41" s="46"/>
      <c r="H41" s="46"/>
      <c r="I41" s="46"/>
      <c r="J41" s="46"/>
      <c r="K41" s="46"/>
      <c r="L41" s="46"/>
      <c r="M41" s="46"/>
      <c r="N41" s="46"/>
      <c r="O41" s="46"/>
      <c r="P41" s="46"/>
      <c r="Q41" s="46"/>
      <c r="R41" s="46"/>
      <c r="S41" s="46"/>
      <c r="T41" s="46"/>
      <c r="U41" s="46"/>
      <c r="V41" s="46"/>
      <c r="W41" s="46"/>
      <c r="X41" s="46"/>
      <c r="Y41" s="46"/>
      <c r="Z41" s="46"/>
    </row>
    <row r="42" spans="1:26" x14ac:dyDescent="0.25">
      <c r="A42" s="293"/>
      <c r="B42" s="140" t="s">
        <v>891</v>
      </c>
      <c r="C42" s="75">
        <f>C6</f>
        <v>3</v>
      </c>
      <c r="D42" s="315" t="s">
        <v>125</v>
      </c>
      <c r="E42" s="293"/>
      <c r="F42" s="134" t="s">
        <v>892</v>
      </c>
      <c r="G42" s="46"/>
      <c r="H42" s="46"/>
      <c r="I42" s="46"/>
      <c r="J42" s="46"/>
      <c r="K42" s="46"/>
      <c r="L42" s="46"/>
      <c r="M42" s="46"/>
      <c r="N42" s="46"/>
      <c r="O42" s="46"/>
      <c r="P42" s="46"/>
      <c r="Q42" s="46"/>
      <c r="R42" s="46"/>
      <c r="S42" s="46"/>
      <c r="T42" s="46"/>
      <c r="U42" s="46"/>
      <c r="V42" s="46"/>
      <c r="W42" s="46"/>
      <c r="X42" s="46"/>
      <c r="Y42" s="46"/>
      <c r="Z42" s="46"/>
    </row>
    <row r="43" spans="1:26" x14ac:dyDescent="0.25">
      <c r="A43" s="293"/>
      <c r="B43" s="140" t="s">
        <v>893</v>
      </c>
      <c r="C43" s="75">
        <f>C42*C40</f>
        <v>24</v>
      </c>
      <c r="D43" s="315" t="s">
        <v>484</v>
      </c>
      <c r="E43" s="293"/>
      <c r="F43" s="134" t="s">
        <v>894</v>
      </c>
      <c r="G43" s="46"/>
      <c r="H43" s="46"/>
      <c r="I43" s="46"/>
      <c r="J43" s="46"/>
      <c r="K43" s="46"/>
      <c r="L43" s="46"/>
      <c r="M43" s="46"/>
      <c r="N43" s="46"/>
      <c r="O43" s="46"/>
      <c r="P43" s="46"/>
      <c r="Q43" s="46"/>
      <c r="R43" s="46"/>
      <c r="S43" s="46"/>
      <c r="T43" s="46"/>
      <c r="U43" s="46"/>
      <c r="V43" s="46"/>
      <c r="W43" s="46"/>
      <c r="X43" s="46"/>
      <c r="Y43" s="46"/>
      <c r="Z43" s="46"/>
    </row>
    <row r="44" spans="1:26" x14ac:dyDescent="0.25">
      <c r="A44" s="293"/>
      <c r="B44" s="140" t="s">
        <v>895</v>
      </c>
      <c r="C44" s="75">
        <f>C42*C41</f>
        <v>48</v>
      </c>
      <c r="D44" s="315" t="s">
        <v>126</v>
      </c>
      <c r="E44" s="293"/>
      <c r="F44" s="134" t="s">
        <v>896</v>
      </c>
      <c r="G44" s="46"/>
      <c r="H44" s="46"/>
      <c r="I44" s="46"/>
      <c r="J44" s="46"/>
      <c r="K44" s="46"/>
      <c r="L44" s="46"/>
      <c r="M44" s="46"/>
      <c r="N44" s="46"/>
      <c r="O44" s="46"/>
      <c r="P44" s="46"/>
      <c r="Q44" s="46"/>
      <c r="R44" s="46"/>
      <c r="S44" s="46"/>
      <c r="T44" s="46"/>
      <c r="U44" s="46"/>
      <c r="V44" s="46"/>
      <c r="W44" s="46"/>
      <c r="X44" s="46"/>
      <c r="Y44" s="46"/>
      <c r="Z44" s="46"/>
    </row>
    <row r="45" spans="1:26" x14ac:dyDescent="0.25">
      <c r="A45" s="293"/>
      <c r="B45" s="293"/>
      <c r="C45" s="293"/>
      <c r="D45" s="293"/>
      <c r="E45" s="293"/>
      <c r="F45" s="293"/>
      <c r="G45" s="46"/>
      <c r="H45" s="46"/>
      <c r="I45" s="46"/>
      <c r="J45" s="46"/>
      <c r="K45" s="46"/>
      <c r="L45" s="46"/>
      <c r="M45" s="46"/>
      <c r="N45" s="46"/>
      <c r="O45" s="46"/>
      <c r="P45" s="46"/>
      <c r="Q45" s="46"/>
      <c r="R45" s="46"/>
      <c r="S45" s="46"/>
      <c r="T45" s="46"/>
      <c r="U45" s="46"/>
      <c r="V45" s="46"/>
      <c r="W45" s="46"/>
      <c r="X45" s="46"/>
      <c r="Y45" s="46"/>
      <c r="Z45" s="46"/>
    </row>
    <row r="46" spans="1:26" ht="15.75" thickBot="1" x14ac:dyDescent="0.3">
      <c r="A46" s="293"/>
      <c r="B46" s="293"/>
      <c r="C46" s="293"/>
      <c r="D46" s="293"/>
      <c r="E46" s="293"/>
      <c r="F46" s="293"/>
      <c r="G46" s="46"/>
      <c r="H46" s="46"/>
      <c r="I46" s="46"/>
      <c r="J46" s="46"/>
      <c r="K46" s="46"/>
      <c r="L46" s="46"/>
      <c r="M46" s="46"/>
      <c r="N46" s="46"/>
      <c r="O46" s="46"/>
      <c r="P46" s="46"/>
      <c r="Q46" s="46"/>
      <c r="R46" s="46"/>
      <c r="S46" s="46"/>
      <c r="T46" s="46"/>
      <c r="U46" s="46"/>
      <c r="V46" s="46"/>
      <c r="W46" s="46"/>
      <c r="X46" s="46"/>
      <c r="Y46" s="46"/>
      <c r="Z46" s="46"/>
    </row>
    <row r="47" spans="1:26" x14ac:dyDescent="0.25">
      <c r="A47" s="293"/>
      <c r="B47" s="295" t="s">
        <v>768</v>
      </c>
      <c r="C47" s="296"/>
      <c r="D47" s="296"/>
      <c r="E47" s="297"/>
      <c r="F47" s="296"/>
      <c r="G47" s="46"/>
      <c r="H47" s="46"/>
      <c r="I47" s="46"/>
      <c r="J47" s="46"/>
      <c r="K47" s="46"/>
      <c r="L47" s="46"/>
      <c r="M47" s="46"/>
      <c r="N47" s="46"/>
      <c r="O47" s="46"/>
      <c r="P47" s="46"/>
      <c r="Q47" s="46"/>
      <c r="R47" s="46"/>
      <c r="S47" s="46"/>
      <c r="T47" s="46"/>
      <c r="U47" s="46"/>
      <c r="V47" s="46"/>
      <c r="W47" s="46"/>
      <c r="X47" s="46"/>
      <c r="Y47" s="46"/>
      <c r="Z47" s="46"/>
    </row>
    <row r="48" spans="1:26" x14ac:dyDescent="0.25">
      <c r="A48" s="293"/>
      <c r="B48" s="293" t="s">
        <v>769</v>
      </c>
      <c r="C48" s="316" t="str">
        <f>IF(C28&gt;=0,"PASS","FAIL")</f>
        <v>PASS</v>
      </c>
      <c r="D48" s="293"/>
      <c r="E48" s="293"/>
      <c r="F48" s="134" t="s">
        <v>770</v>
      </c>
      <c r="G48" s="46"/>
      <c r="H48" s="46"/>
      <c r="I48" s="46"/>
      <c r="J48" s="46"/>
      <c r="K48" s="46"/>
      <c r="L48" s="46"/>
      <c r="M48" s="46"/>
      <c r="N48" s="46"/>
      <c r="O48" s="46"/>
      <c r="P48" s="46"/>
      <c r="Q48" s="46"/>
      <c r="R48" s="46"/>
      <c r="S48" s="46"/>
      <c r="T48" s="46"/>
      <c r="U48" s="46"/>
      <c r="V48" s="46"/>
      <c r="W48" s="46"/>
      <c r="X48" s="46"/>
      <c r="Y48" s="46"/>
      <c r="Z48" s="46"/>
    </row>
    <row r="49" spans="1:26" x14ac:dyDescent="0.25">
      <c r="A49" s="293"/>
      <c r="B49" s="317" t="s">
        <v>771</v>
      </c>
      <c r="C49" s="318" t="str">
        <f>IF(C29&lt;=0.8,"PASS","FAIL")</f>
        <v>FAIL</v>
      </c>
      <c r="D49" s="317"/>
      <c r="E49" s="293"/>
      <c r="F49" s="134" t="s">
        <v>772</v>
      </c>
      <c r="G49" s="46"/>
      <c r="H49" s="46"/>
      <c r="I49" s="46"/>
      <c r="J49" s="46"/>
      <c r="K49" s="46"/>
      <c r="L49" s="46"/>
      <c r="M49" s="46"/>
      <c r="N49" s="46"/>
      <c r="O49" s="46"/>
      <c r="P49" s="46"/>
      <c r="Q49" s="46"/>
      <c r="R49" s="46"/>
      <c r="S49" s="46"/>
      <c r="T49" s="46"/>
      <c r="U49" s="46"/>
      <c r="V49" s="46"/>
      <c r="W49" s="46"/>
      <c r="X49" s="46"/>
      <c r="Y49" s="46"/>
      <c r="Z49" s="46"/>
    </row>
    <row r="50" spans="1:26" x14ac:dyDescent="0.25">
      <c r="A50" s="293"/>
      <c r="B50" s="317" t="s">
        <v>773</v>
      </c>
      <c r="C50" s="318" t="str">
        <f>IF(OR(AND(C10="Two-Way Mirror",C6&gt;=2),AND(C10="Three-Way Mirror",C6&gt;=3),AND(C10="Dual Parity",C6&gt;=4),AND(C10="Nested Two-Way Mirror",C6&gt;=4)),"PASS","FAIL")</f>
        <v>PASS</v>
      </c>
      <c r="D50" s="317"/>
      <c r="E50" s="293"/>
      <c r="F50" s="134" t="s">
        <v>774</v>
      </c>
      <c r="G50" s="46"/>
      <c r="H50" s="46"/>
      <c r="I50" s="46"/>
      <c r="J50" s="46"/>
      <c r="K50" s="46"/>
      <c r="L50" s="46"/>
      <c r="M50" s="46"/>
      <c r="N50" s="46"/>
      <c r="O50" s="46"/>
      <c r="P50" s="46"/>
      <c r="Q50" s="46"/>
      <c r="R50" s="46"/>
      <c r="S50" s="46"/>
      <c r="T50" s="46"/>
      <c r="U50" s="46"/>
      <c r="V50" s="46"/>
      <c r="W50" s="46"/>
      <c r="X50" s="46"/>
      <c r="Y50" s="46"/>
      <c r="Z50" s="46"/>
    </row>
    <row r="51" spans="1:26" x14ac:dyDescent="0.25">
      <c r="A51" s="293"/>
      <c r="B51" s="319" t="s">
        <v>775</v>
      </c>
      <c r="C51" s="320" t="s">
        <v>777</v>
      </c>
      <c r="D51" s="319"/>
      <c r="E51" s="293"/>
      <c r="F51" s="134" t="s">
        <v>776</v>
      </c>
      <c r="G51" s="46"/>
      <c r="H51" s="46"/>
      <c r="I51" s="46"/>
      <c r="J51" s="46"/>
      <c r="K51" s="46"/>
      <c r="L51" s="46"/>
      <c r="M51" s="46"/>
      <c r="N51" s="46"/>
      <c r="O51" s="46"/>
      <c r="P51" s="46"/>
      <c r="Q51" s="46"/>
      <c r="R51" s="46"/>
      <c r="S51" s="46"/>
      <c r="T51" s="46"/>
      <c r="U51" s="46"/>
      <c r="V51" s="46"/>
      <c r="W51" s="46"/>
      <c r="X51" s="46"/>
      <c r="Y51" s="46"/>
      <c r="Z51" s="46"/>
    </row>
    <row r="52" spans="1:26" x14ac:dyDescent="0.25">
      <c r="A52" s="293"/>
      <c r="B52" s="293"/>
      <c r="C52" s="293"/>
      <c r="D52" s="293"/>
      <c r="E52" s="293"/>
      <c r="F52" s="293"/>
      <c r="G52" s="46"/>
      <c r="H52" s="46"/>
      <c r="I52" s="46"/>
      <c r="J52" s="46"/>
      <c r="K52" s="46"/>
      <c r="L52" s="46"/>
      <c r="M52" s="46"/>
      <c r="N52" s="46"/>
      <c r="O52" s="46"/>
      <c r="P52" s="46"/>
      <c r="Q52" s="46"/>
      <c r="R52" s="46"/>
      <c r="S52" s="46"/>
      <c r="T52" s="46"/>
      <c r="U52" s="46"/>
      <c r="V52" s="46"/>
      <c r="W52" s="46"/>
      <c r="X52" s="46"/>
      <c r="Y52" s="46"/>
      <c r="Z52" s="46"/>
    </row>
    <row r="53" spans="1:26" x14ac:dyDescent="0.25">
      <c r="A53" s="293"/>
      <c r="B53" s="253" t="s">
        <v>778</v>
      </c>
      <c r="C53" s="321"/>
      <c r="D53" s="321"/>
      <c r="E53" s="293"/>
      <c r="F53" s="321"/>
      <c r="G53" s="46"/>
      <c r="H53" s="46"/>
      <c r="I53" s="46"/>
      <c r="J53" s="46"/>
      <c r="K53" s="46"/>
      <c r="L53" s="46"/>
      <c r="M53" s="46"/>
      <c r="N53" s="46"/>
      <c r="O53" s="46"/>
      <c r="P53" s="46"/>
      <c r="Q53" s="46"/>
      <c r="R53" s="46"/>
      <c r="S53" s="46"/>
      <c r="T53" s="46"/>
      <c r="U53" s="46"/>
      <c r="V53" s="46"/>
      <c r="W53" s="46"/>
      <c r="X53" s="46"/>
      <c r="Y53" s="46"/>
      <c r="Z53" s="46"/>
    </row>
    <row r="54" spans="1:26" x14ac:dyDescent="0.25">
      <c r="A54" s="293"/>
      <c r="B54" s="322" t="s">
        <v>779</v>
      </c>
      <c r="C54" s="293"/>
      <c r="D54" s="293"/>
      <c r="E54" s="293"/>
      <c r="F54" s="293"/>
      <c r="G54" s="46"/>
      <c r="H54" s="46"/>
      <c r="I54" s="46"/>
      <c r="J54" s="46"/>
      <c r="K54" s="46"/>
      <c r="L54" s="46"/>
      <c r="M54" s="46"/>
      <c r="N54" s="46"/>
      <c r="O54" s="46"/>
      <c r="P54" s="46"/>
      <c r="Q54" s="46"/>
      <c r="R54" s="46"/>
      <c r="S54" s="46"/>
      <c r="T54" s="46"/>
      <c r="U54" s="46"/>
      <c r="V54" s="46"/>
      <c r="W54" s="46"/>
      <c r="X54" s="46"/>
      <c r="Y54" s="46"/>
      <c r="Z54" s="46"/>
    </row>
    <row r="55" spans="1:26" x14ac:dyDescent="0.25">
      <c r="A55" s="293"/>
      <c r="B55" s="323" t="s">
        <v>780</v>
      </c>
      <c r="C55" s="293"/>
      <c r="D55" s="293"/>
      <c r="E55" s="293"/>
      <c r="F55" s="293"/>
      <c r="G55" s="46"/>
      <c r="H55" s="46"/>
      <c r="I55" s="46"/>
      <c r="J55" s="46"/>
      <c r="K55" s="46"/>
      <c r="L55" s="46"/>
      <c r="M55" s="46"/>
      <c r="N55" s="46"/>
      <c r="O55" s="46"/>
      <c r="P55" s="46"/>
      <c r="Q55" s="46"/>
      <c r="R55" s="46"/>
      <c r="S55" s="46"/>
      <c r="T55" s="46"/>
      <c r="U55" s="46"/>
      <c r="V55" s="46"/>
      <c r="W55" s="46"/>
      <c r="X55" s="46"/>
      <c r="Y55" s="46"/>
      <c r="Z55" s="46"/>
    </row>
    <row r="56" spans="1:26" x14ac:dyDescent="0.25">
      <c r="A56" s="293"/>
      <c r="B56" s="324" t="s">
        <v>781</v>
      </c>
      <c r="C56" s="293"/>
      <c r="D56" s="293"/>
      <c r="E56" s="293"/>
      <c r="F56" s="293"/>
      <c r="G56" s="46"/>
      <c r="H56" s="46"/>
      <c r="I56" s="46"/>
      <c r="J56" s="46"/>
      <c r="K56" s="46"/>
      <c r="L56" s="46"/>
      <c r="M56" s="46"/>
      <c r="N56" s="46"/>
      <c r="O56" s="46"/>
      <c r="P56" s="46"/>
      <c r="Q56" s="46"/>
      <c r="R56" s="46"/>
      <c r="S56" s="46"/>
      <c r="T56" s="46"/>
      <c r="U56" s="46"/>
      <c r="V56" s="46"/>
      <c r="W56" s="46"/>
      <c r="X56" s="46"/>
      <c r="Y56" s="46"/>
      <c r="Z56" s="46"/>
    </row>
    <row r="57" spans="1:26" x14ac:dyDescent="0.25">
      <c r="A57" s="293"/>
      <c r="B57" s="324" t="s">
        <v>782</v>
      </c>
      <c r="C57" s="293"/>
      <c r="D57" s="293"/>
      <c r="E57" s="293"/>
      <c r="F57" s="293"/>
      <c r="G57" s="46"/>
      <c r="H57" s="46"/>
      <c r="I57" s="46"/>
      <c r="J57" s="46"/>
      <c r="K57" s="46"/>
      <c r="L57" s="46"/>
      <c r="M57" s="46"/>
      <c r="N57" s="46"/>
      <c r="O57" s="46"/>
      <c r="P57" s="46"/>
      <c r="Q57" s="46"/>
      <c r="R57" s="46"/>
      <c r="S57" s="46"/>
      <c r="T57" s="46"/>
      <c r="U57" s="46"/>
      <c r="V57" s="46"/>
      <c r="W57" s="46"/>
      <c r="X57" s="46"/>
      <c r="Y57" s="46"/>
      <c r="Z57" s="46"/>
    </row>
    <row r="58" spans="1:26" x14ac:dyDescent="0.25">
      <c r="A58" s="293"/>
      <c r="B58" s="324" t="s">
        <v>783</v>
      </c>
      <c r="C58" s="293"/>
      <c r="D58" s="293"/>
      <c r="E58" s="293"/>
      <c r="F58" s="293"/>
      <c r="G58" s="46"/>
      <c r="H58" s="46"/>
      <c r="I58" s="46"/>
      <c r="J58" s="46"/>
      <c r="K58" s="46"/>
      <c r="L58" s="46"/>
      <c r="M58" s="46"/>
      <c r="N58" s="46"/>
      <c r="O58" s="46"/>
      <c r="P58" s="46"/>
      <c r="Q58" s="46"/>
      <c r="R58" s="46"/>
      <c r="S58" s="46"/>
      <c r="T58" s="46"/>
      <c r="U58" s="46"/>
      <c r="V58" s="46"/>
      <c r="W58" s="46"/>
      <c r="X58" s="46"/>
      <c r="Y58" s="46"/>
      <c r="Z58" s="46"/>
    </row>
    <row r="59" spans="1:26" x14ac:dyDescent="0.25">
      <c r="A59" s="293"/>
      <c r="B59" s="293"/>
      <c r="C59" s="293"/>
      <c r="D59" s="293"/>
      <c r="E59" s="293"/>
      <c r="F59" s="293"/>
      <c r="G59" s="46"/>
      <c r="H59" s="46"/>
      <c r="I59" s="46"/>
      <c r="J59" s="46"/>
      <c r="K59" s="46"/>
      <c r="L59" s="46"/>
      <c r="M59" s="46"/>
      <c r="N59" s="46"/>
      <c r="O59" s="46"/>
      <c r="P59" s="46"/>
      <c r="Q59" s="46"/>
      <c r="R59" s="46"/>
      <c r="S59" s="46"/>
      <c r="T59" s="46"/>
      <c r="U59" s="46"/>
      <c r="V59" s="46"/>
      <c r="W59" s="46"/>
      <c r="X59" s="46"/>
      <c r="Y59" s="46"/>
      <c r="Z59" s="46"/>
    </row>
    <row r="60" spans="1:26" x14ac:dyDescent="0.25">
      <c r="A60" s="293"/>
      <c r="B60" s="293"/>
      <c r="C60" s="293"/>
      <c r="D60" s="293"/>
      <c r="E60" s="293"/>
      <c r="F60" s="293"/>
      <c r="G60" s="46"/>
      <c r="H60" s="46"/>
      <c r="I60" s="46"/>
      <c r="J60" s="46"/>
      <c r="K60" s="46"/>
      <c r="L60" s="46"/>
      <c r="M60" s="46"/>
      <c r="N60" s="46"/>
      <c r="O60" s="46"/>
      <c r="P60" s="46"/>
      <c r="Q60" s="46"/>
      <c r="R60" s="46"/>
      <c r="S60" s="46"/>
      <c r="T60" s="46"/>
      <c r="U60" s="46"/>
      <c r="V60" s="46"/>
      <c r="W60" s="46"/>
      <c r="X60" s="46"/>
      <c r="Y60" s="46"/>
      <c r="Z60" s="46"/>
    </row>
    <row r="61" spans="1:26" x14ac:dyDescent="0.25">
      <c r="A61" s="293"/>
      <c r="B61" s="293"/>
      <c r="C61" s="293"/>
      <c r="D61" s="293"/>
      <c r="E61" s="293"/>
      <c r="F61" s="293"/>
      <c r="G61" s="46"/>
      <c r="H61" s="46"/>
      <c r="I61" s="46"/>
      <c r="J61" s="46"/>
      <c r="K61" s="46"/>
      <c r="L61" s="46"/>
      <c r="M61" s="46"/>
      <c r="N61" s="46"/>
      <c r="O61" s="46"/>
      <c r="P61" s="46"/>
      <c r="Q61" s="46"/>
      <c r="R61" s="46"/>
      <c r="S61" s="46"/>
      <c r="T61" s="46"/>
      <c r="U61" s="46"/>
      <c r="V61" s="46"/>
      <c r="W61" s="46"/>
      <c r="X61" s="46"/>
      <c r="Y61" s="46"/>
      <c r="Z61" s="46"/>
    </row>
    <row r="62" spans="1:26" x14ac:dyDescent="0.25">
      <c r="A62" s="293"/>
      <c r="B62" s="293"/>
      <c r="C62" s="293"/>
      <c r="D62" s="293"/>
      <c r="E62" s="293"/>
      <c r="F62" s="293"/>
      <c r="G62" s="46"/>
      <c r="H62" s="46"/>
      <c r="I62" s="46"/>
      <c r="J62" s="46"/>
      <c r="K62" s="46"/>
      <c r="L62" s="46"/>
      <c r="M62" s="46"/>
      <c r="N62" s="46"/>
      <c r="O62" s="46"/>
      <c r="P62" s="46"/>
      <c r="Q62" s="46"/>
      <c r="R62" s="46"/>
      <c r="S62" s="46"/>
      <c r="T62" s="46"/>
      <c r="U62" s="46"/>
      <c r="V62" s="46"/>
      <c r="W62" s="46"/>
      <c r="X62" s="46"/>
      <c r="Y62" s="46"/>
      <c r="Z62" s="46"/>
    </row>
    <row r="63" spans="1:26" x14ac:dyDescent="0.25">
      <c r="A63" s="293"/>
      <c r="B63" s="293"/>
      <c r="C63" s="293"/>
      <c r="D63" s="293"/>
      <c r="E63" s="293"/>
      <c r="F63" s="293"/>
      <c r="G63" s="46"/>
      <c r="H63" s="46"/>
      <c r="I63" s="46"/>
      <c r="J63" s="46"/>
      <c r="K63" s="46"/>
      <c r="L63" s="46"/>
      <c r="M63" s="46"/>
      <c r="N63" s="46"/>
      <c r="O63" s="46"/>
      <c r="P63" s="46"/>
      <c r="Q63" s="46"/>
      <c r="R63" s="46"/>
      <c r="S63" s="46"/>
      <c r="T63" s="46"/>
      <c r="U63" s="46"/>
      <c r="V63" s="46"/>
      <c r="W63" s="46"/>
      <c r="X63" s="46"/>
      <c r="Y63" s="46"/>
      <c r="Z63" s="46"/>
    </row>
    <row r="64" spans="1:26" x14ac:dyDescent="0.25">
      <c r="A64" s="293"/>
      <c r="B64" s="293"/>
      <c r="C64" s="293"/>
      <c r="D64" s="293"/>
      <c r="E64" s="293"/>
      <c r="F64" s="293"/>
      <c r="G64" s="46"/>
      <c r="H64" s="46"/>
      <c r="I64" s="46"/>
      <c r="J64" s="46"/>
      <c r="K64" s="46"/>
      <c r="L64" s="46"/>
      <c r="M64" s="46"/>
      <c r="N64" s="46"/>
      <c r="O64" s="46"/>
      <c r="P64" s="46"/>
      <c r="Q64" s="46"/>
      <c r="R64" s="46"/>
      <c r="S64" s="46"/>
      <c r="T64" s="46"/>
      <c r="U64" s="46"/>
      <c r="V64" s="46"/>
      <c r="W64" s="46"/>
      <c r="X64" s="46"/>
      <c r="Y64" s="46"/>
      <c r="Z64" s="46"/>
    </row>
    <row r="65" spans="1:26" x14ac:dyDescent="0.25">
      <c r="A65" s="293"/>
      <c r="B65" s="293"/>
      <c r="C65" s="293"/>
      <c r="D65" s="293"/>
      <c r="E65" s="293"/>
      <c r="F65" s="293"/>
      <c r="G65" s="46"/>
      <c r="H65" s="46"/>
      <c r="I65" s="46"/>
      <c r="J65" s="46"/>
      <c r="K65" s="46"/>
      <c r="L65" s="46"/>
      <c r="M65" s="46"/>
      <c r="N65" s="46"/>
      <c r="O65" s="46"/>
      <c r="P65" s="46"/>
      <c r="Q65" s="46"/>
      <c r="R65" s="46"/>
      <c r="S65" s="46"/>
      <c r="T65" s="46"/>
      <c r="U65" s="46"/>
      <c r="V65" s="46"/>
      <c r="W65" s="46"/>
      <c r="X65" s="46"/>
      <c r="Y65" s="46"/>
      <c r="Z65" s="46"/>
    </row>
    <row r="66" spans="1:26" x14ac:dyDescent="0.25">
      <c r="A66" s="293"/>
      <c r="B66" s="293"/>
      <c r="C66" s="293"/>
      <c r="D66" s="293"/>
      <c r="E66" s="293"/>
      <c r="F66" s="293"/>
      <c r="G66" s="46"/>
      <c r="H66" s="46"/>
      <c r="I66" s="46"/>
      <c r="J66" s="46"/>
      <c r="K66" s="46"/>
      <c r="L66" s="46"/>
      <c r="M66" s="46"/>
      <c r="N66" s="46"/>
      <c r="O66" s="46"/>
      <c r="P66" s="46"/>
      <c r="Q66" s="46"/>
      <c r="R66" s="46"/>
      <c r="S66" s="46"/>
      <c r="T66" s="46"/>
      <c r="U66" s="46"/>
      <c r="V66" s="46"/>
      <c r="W66" s="46"/>
      <c r="X66" s="46"/>
      <c r="Y66" s="46"/>
      <c r="Z66" s="46"/>
    </row>
    <row r="67" spans="1:26" x14ac:dyDescent="0.25">
      <c r="A67" s="293"/>
      <c r="B67" s="293"/>
      <c r="C67" s="293"/>
      <c r="D67" s="293"/>
      <c r="E67" s="293"/>
      <c r="F67" s="293"/>
      <c r="G67" s="46"/>
      <c r="H67" s="46"/>
      <c r="I67" s="46"/>
      <c r="J67" s="46"/>
      <c r="K67" s="46"/>
      <c r="L67" s="46"/>
      <c r="M67" s="46"/>
      <c r="N67" s="46"/>
      <c r="O67" s="46"/>
      <c r="P67" s="46"/>
      <c r="Q67" s="46"/>
      <c r="R67" s="46"/>
      <c r="S67" s="46"/>
      <c r="T67" s="46"/>
      <c r="U67" s="46"/>
      <c r="V67" s="46"/>
      <c r="W67" s="46"/>
      <c r="X67" s="46"/>
      <c r="Y67" s="46"/>
      <c r="Z67" s="46"/>
    </row>
    <row r="68" spans="1:26" x14ac:dyDescent="0.25">
      <c r="A68" s="293"/>
      <c r="B68" s="293"/>
      <c r="C68" s="293"/>
      <c r="D68" s="293"/>
      <c r="E68" s="293"/>
      <c r="F68" s="293"/>
      <c r="G68" s="46"/>
      <c r="H68" s="46"/>
      <c r="I68" s="46"/>
      <c r="J68" s="46"/>
      <c r="K68" s="46"/>
      <c r="L68" s="46"/>
      <c r="M68" s="46"/>
      <c r="N68" s="46"/>
      <c r="O68" s="46"/>
      <c r="P68" s="46"/>
      <c r="Q68" s="46"/>
      <c r="R68" s="46"/>
      <c r="S68" s="46"/>
      <c r="T68" s="46"/>
      <c r="U68" s="46"/>
      <c r="V68" s="46"/>
      <c r="W68" s="46"/>
      <c r="X68" s="46"/>
      <c r="Y68" s="46"/>
      <c r="Z68" s="46"/>
    </row>
    <row r="69" spans="1:26" x14ac:dyDescent="0.25">
      <c r="A69" s="293"/>
      <c r="B69" s="293"/>
      <c r="C69" s="293"/>
      <c r="D69" s="293"/>
      <c r="E69" s="293"/>
      <c r="F69" s="293"/>
      <c r="G69" s="46"/>
      <c r="H69" s="46"/>
      <c r="I69" s="46"/>
      <c r="J69" s="46"/>
      <c r="K69" s="46"/>
      <c r="L69" s="46"/>
      <c r="M69" s="46"/>
      <c r="N69" s="46"/>
      <c r="O69" s="46"/>
      <c r="P69" s="46"/>
      <c r="Q69" s="46"/>
      <c r="R69" s="46"/>
      <c r="S69" s="46"/>
      <c r="T69" s="46"/>
      <c r="U69" s="46"/>
      <c r="V69" s="46"/>
      <c r="W69" s="46"/>
      <c r="X69" s="46"/>
      <c r="Y69" s="46"/>
      <c r="Z69" s="46"/>
    </row>
    <row r="70" spans="1:26" x14ac:dyDescent="0.25">
      <c r="A70" s="293"/>
      <c r="B70" s="293"/>
      <c r="C70" s="293"/>
      <c r="D70" s="293"/>
      <c r="E70" s="293"/>
      <c r="F70" s="293"/>
      <c r="G70" s="46"/>
      <c r="H70" s="46"/>
      <c r="I70" s="46"/>
      <c r="J70" s="46"/>
      <c r="K70" s="46"/>
      <c r="L70" s="46"/>
      <c r="M70" s="46"/>
      <c r="N70" s="46"/>
      <c r="O70" s="46"/>
      <c r="P70" s="46"/>
      <c r="Q70" s="46"/>
      <c r="R70" s="46"/>
      <c r="S70" s="46"/>
      <c r="T70" s="46"/>
      <c r="U70" s="46"/>
      <c r="V70" s="46"/>
      <c r="W70" s="46"/>
      <c r="X70" s="46"/>
      <c r="Y70" s="46"/>
      <c r="Z70" s="46"/>
    </row>
    <row r="71" spans="1:26" x14ac:dyDescent="0.25">
      <c r="A71" s="293"/>
      <c r="B71" s="293"/>
      <c r="C71" s="293"/>
      <c r="D71" s="293"/>
      <c r="E71" s="293"/>
      <c r="F71" s="293"/>
      <c r="G71" s="46"/>
      <c r="H71" s="46"/>
      <c r="I71" s="46"/>
      <c r="J71" s="46"/>
      <c r="K71" s="46"/>
      <c r="L71" s="46"/>
      <c r="M71" s="46"/>
      <c r="N71" s="46"/>
      <c r="O71" s="46"/>
      <c r="P71" s="46"/>
      <c r="Q71" s="46"/>
      <c r="R71" s="46"/>
      <c r="S71" s="46"/>
      <c r="T71" s="46"/>
      <c r="U71" s="46"/>
      <c r="V71" s="46"/>
      <c r="W71" s="46"/>
      <c r="X71" s="46"/>
      <c r="Y71" s="46"/>
      <c r="Z71" s="46"/>
    </row>
    <row r="72" spans="1:26" x14ac:dyDescent="0.25">
      <c r="A72" s="293"/>
      <c r="B72" s="293"/>
      <c r="C72" s="293"/>
      <c r="D72" s="293"/>
      <c r="E72" s="293"/>
      <c r="F72" s="293"/>
      <c r="G72" s="46"/>
      <c r="H72" s="46"/>
      <c r="I72" s="46"/>
      <c r="J72" s="46"/>
      <c r="K72" s="46"/>
      <c r="L72" s="46"/>
      <c r="M72" s="46"/>
      <c r="N72" s="46"/>
      <c r="O72" s="46"/>
      <c r="P72" s="46"/>
      <c r="Q72" s="46"/>
      <c r="R72" s="46"/>
      <c r="S72" s="46"/>
      <c r="T72" s="46"/>
      <c r="U72" s="46"/>
      <c r="V72" s="46"/>
      <c r="W72" s="46"/>
      <c r="X72" s="46"/>
      <c r="Y72" s="46"/>
      <c r="Z72" s="46"/>
    </row>
    <row r="73" spans="1:26" x14ac:dyDescent="0.25">
      <c r="A73" s="293"/>
      <c r="B73" s="293"/>
      <c r="C73" s="293"/>
      <c r="D73" s="293"/>
      <c r="E73" s="293"/>
      <c r="F73" s="293"/>
      <c r="G73" s="46"/>
      <c r="H73" s="46"/>
      <c r="I73" s="46"/>
      <c r="J73" s="46"/>
      <c r="K73" s="46"/>
      <c r="L73" s="46"/>
      <c r="M73" s="46"/>
      <c r="N73" s="46"/>
      <c r="O73" s="46"/>
      <c r="P73" s="46"/>
      <c r="Q73" s="46"/>
      <c r="R73" s="46"/>
      <c r="S73" s="46"/>
      <c r="T73" s="46"/>
      <c r="U73" s="46"/>
      <c r="V73" s="46"/>
      <c r="W73" s="46"/>
      <c r="X73" s="46"/>
      <c r="Y73" s="46"/>
      <c r="Z73" s="46"/>
    </row>
    <row r="74" spans="1:26" x14ac:dyDescent="0.25">
      <c r="A74" s="293"/>
      <c r="B74" s="293"/>
      <c r="C74" s="293"/>
      <c r="D74" s="293"/>
      <c r="E74" s="293"/>
      <c r="F74" s="293"/>
      <c r="G74" s="46"/>
      <c r="H74" s="46"/>
      <c r="I74" s="46"/>
      <c r="J74" s="46"/>
      <c r="K74" s="46"/>
      <c r="L74" s="46"/>
      <c r="M74" s="46"/>
      <c r="N74" s="46"/>
      <c r="O74" s="46"/>
      <c r="P74" s="46"/>
      <c r="Q74" s="46"/>
      <c r="R74" s="46"/>
      <c r="S74" s="46"/>
      <c r="T74" s="46"/>
      <c r="U74" s="46"/>
      <c r="V74" s="46"/>
      <c r="W74" s="46"/>
      <c r="X74" s="46"/>
      <c r="Y74" s="46"/>
      <c r="Z74" s="46"/>
    </row>
    <row r="75" spans="1:26" x14ac:dyDescent="0.25">
      <c r="A75" s="293"/>
      <c r="B75" s="293"/>
      <c r="C75" s="293"/>
      <c r="D75" s="293"/>
      <c r="E75" s="293"/>
      <c r="F75" s="293"/>
      <c r="G75" s="46"/>
      <c r="H75" s="46"/>
      <c r="I75" s="46"/>
      <c r="J75" s="46"/>
      <c r="K75" s="46"/>
      <c r="L75" s="46"/>
      <c r="M75" s="46"/>
      <c r="N75" s="46"/>
      <c r="O75" s="46"/>
      <c r="P75" s="46"/>
      <c r="Q75" s="46"/>
      <c r="R75" s="46"/>
      <c r="S75" s="46"/>
      <c r="T75" s="46"/>
      <c r="U75" s="46"/>
      <c r="V75" s="46"/>
      <c r="W75" s="46"/>
      <c r="X75" s="46"/>
      <c r="Y75" s="46"/>
      <c r="Z75" s="46"/>
    </row>
    <row r="76" spans="1:26" x14ac:dyDescent="0.25">
      <c r="A76" s="293"/>
      <c r="B76" s="293"/>
      <c r="C76" s="293"/>
      <c r="D76" s="293"/>
      <c r="E76" s="293"/>
      <c r="F76" s="293"/>
      <c r="G76" s="46"/>
      <c r="H76" s="46"/>
      <c r="I76" s="46"/>
      <c r="J76" s="46"/>
      <c r="K76" s="46"/>
      <c r="L76" s="46"/>
      <c r="M76" s="46"/>
      <c r="N76" s="46"/>
      <c r="O76" s="46"/>
      <c r="P76" s="46"/>
      <c r="Q76" s="46"/>
      <c r="R76" s="46"/>
      <c r="S76" s="46"/>
      <c r="T76" s="46"/>
      <c r="U76" s="46"/>
      <c r="V76" s="46"/>
      <c r="W76" s="46"/>
      <c r="X76" s="46"/>
      <c r="Y76" s="46"/>
      <c r="Z76" s="46"/>
    </row>
    <row r="77" spans="1:26" x14ac:dyDescent="0.25">
      <c r="A77" s="293"/>
      <c r="B77" s="293"/>
      <c r="C77" s="293"/>
      <c r="D77" s="293"/>
      <c r="E77" s="293"/>
      <c r="F77" s="293"/>
      <c r="G77" s="46"/>
      <c r="H77" s="46"/>
      <c r="I77" s="46"/>
      <c r="J77" s="46"/>
      <c r="K77" s="46"/>
      <c r="L77" s="46"/>
      <c r="M77" s="46"/>
      <c r="N77" s="46"/>
      <c r="O77" s="46"/>
      <c r="P77" s="46"/>
      <c r="Q77" s="46"/>
      <c r="R77" s="46"/>
      <c r="S77" s="46"/>
      <c r="T77" s="46"/>
      <c r="U77" s="46"/>
      <c r="V77" s="46"/>
      <c r="W77" s="46"/>
      <c r="X77" s="46"/>
      <c r="Y77" s="46"/>
      <c r="Z77" s="46"/>
    </row>
    <row r="78" spans="1:26" x14ac:dyDescent="0.25">
      <c r="A78" s="293"/>
      <c r="B78" s="293"/>
      <c r="C78" s="293"/>
      <c r="D78" s="293"/>
      <c r="E78" s="293"/>
      <c r="F78" s="293"/>
      <c r="G78" s="46"/>
      <c r="H78" s="46"/>
      <c r="I78" s="46"/>
      <c r="J78" s="46"/>
      <c r="K78" s="46"/>
      <c r="L78" s="46"/>
      <c r="M78" s="46"/>
      <c r="N78" s="46"/>
      <c r="O78" s="46"/>
      <c r="P78" s="46"/>
      <c r="Q78" s="46"/>
      <c r="R78" s="46"/>
      <c r="S78" s="46"/>
      <c r="T78" s="46"/>
      <c r="U78" s="46"/>
      <c r="V78" s="46"/>
      <c r="W78" s="46"/>
      <c r="X78" s="46"/>
      <c r="Y78" s="46"/>
      <c r="Z78" s="46"/>
    </row>
    <row r="79" spans="1:26" x14ac:dyDescent="0.25">
      <c r="A79" s="293"/>
      <c r="B79" s="293"/>
      <c r="C79" s="293"/>
      <c r="D79" s="293"/>
      <c r="E79" s="293"/>
      <c r="F79" s="293"/>
      <c r="G79" s="46"/>
      <c r="H79" s="46"/>
      <c r="I79" s="46"/>
      <c r="J79" s="46"/>
      <c r="K79" s="46"/>
      <c r="L79" s="46"/>
      <c r="M79" s="46"/>
      <c r="N79" s="46"/>
      <c r="O79" s="46"/>
      <c r="P79" s="46"/>
      <c r="Q79" s="46"/>
      <c r="R79" s="46"/>
      <c r="S79" s="46"/>
      <c r="T79" s="46"/>
      <c r="U79" s="46"/>
      <c r="V79" s="46"/>
      <c r="W79" s="46"/>
      <c r="X79" s="46"/>
      <c r="Y79" s="46"/>
      <c r="Z79" s="46"/>
    </row>
    <row r="80" spans="1:26" x14ac:dyDescent="0.25">
      <c r="A80" s="293"/>
      <c r="B80" s="293"/>
      <c r="C80" s="293"/>
      <c r="D80" s="293"/>
      <c r="E80" s="293"/>
      <c r="F80" s="293"/>
      <c r="G80" s="46"/>
      <c r="H80" s="46"/>
      <c r="I80" s="46"/>
      <c r="J80" s="46"/>
      <c r="K80" s="46"/>
      <c r="L80" s="46"/>
      <c r="M80" s="46"/>
      <c r="N80" s="46"/>
      <c r="O80" s="46"/>
      <c r="P80" s="46"/>
      <c r="Q80" s="46"/>
      <c r="R80" s="46"/>
      <c r="S80" s="46"/>
      <c r="T80" s="46"/>
      <c r="U80" s="46"/>
      <c r="V80" s="46"/>
      <c r="W80" s="46"/>
      <c r="X80" s="46"/>
      <c r="Y80" s="46"/>
      <c r="Z80" s="46"/>
    </row>
    <row r="81" spans="1:26" x14ac:dyDescent="0.25">
      <c r="A81" s="293"/>
      <c r="B81" s="293"/>
      <c r="C81" s="293"/>
      <c r="D81" s="293"/>
      <c r="E81" s="293"/>
      <c r="F81" s="293"/>
      <c r="G81" s="46"/>
      <c r="H81" s="46"/>
      <c r="I81" s="46"/>
      <c r="J81" s="46"/>
      <c r="K81" s="46"/>
      <c r="L81" s="46"/>
      <c r="M81" s="46"/>
      <c r="N81" s="46"/>
      <c r="O81" s="46"/>
      <c r="P81" s="46"/>
      <c r="Q81" s="46"/>
      <c r="R81" s="46"/>
      <c r="S81" s="46"/>
      <c r="T81" s="46"/>
      <c r="U81" s="46"/>
      <c r="V81" s="46"/>
      <c r="W81" s="46"/>
      <c r="X81" s="46"/>
      <c r="Y81" s="46"/>
      <c r="Z81" s="46"/>
    </row>
    <row r="82" spans="1:26" x14ac:dyDescent="0.25">
      <c r="A82" s="293"/>
      <c r="B82" s="293"/>
      <c r="C82" s="293"/>
      <c r="D82" s="293"/>
      <c r="E82" s="293"/>
      <c r="F82" s="293"/>
      <c r="G82" s="46"/>
      <c r="H82" s="46"/>
      <c r="I82" s="46"/>
      <c r="J82" s="46"/>
      <c r="K82" s="46"/>
      <c r="L82" s="46"/>
      <c r="M82" s="46"/>
      <c r="N82" s="46"/>
      <c r="O82" s="46"/>
      <c r="P82" s="46"/>
      <c r="Q82" s="46"/>
      <c r="R82" s="46"/>
      <c r="S82" s="46"/>
      <c r="T82" s="46"/>
      <c r="U82" s="46"/>
      <c r="V82" s="46"/>
      <c r="W82" s="46"/>
      <c r="X82" s="46"/>
      <c r="Y82" s="46"/>
      <c r="Z82" s="46"/>
    </row>
    <row r="83" spans="1:26" x14ac:dyDescent="0.25">
      <c r="A83" s="293"/>
      <c r="B83" s="293"/>
      <c r="C83" s="293"/>
      <c r="D83" s="293"/>
      <c r="E83" s="293"/>
      <c r="F83" s="293"/>
      <c r="G83" s="46"/>
      <c r="H83" s="46"/>
      <c r="I83" s="46"/>
      <c r="J83" s="46"/>
      <c r="K83" s="46"/>
      <c r="L83" s="46"/>
      <c r="M83" s="46"/>
      <c r="N83" s="46"/>
      <c r="O83" s="46"/>
      <c r="P83" s="46"/>
      <c r="Q83" s="46"/>
      <c r="R83" s="46"/>
      <c r="S83" s="46"/>
      <c r="T83" s="46"/>
      <c r="U83" s="46"/>
      <c r="V83" s="46"/>
      <c r="W83" s="46"/>
      <c r="X83" s="46"/>
      <c r="Y83" s="46"/>
      <c r="Z83" s="46"/>
    </row>
    <row r="84" spans="1:26" x14ac:dyDescent="0.25">
      <c r="A84" s="293"/>
      <c r="B84" s="293"/>
      <c r="C84" s="293"/>
      <c r="D84" s="293"/>
      <c r="E84" s="293"/>
      <c r="F84" s="293"/>
      <c r="G84" s="46"/>
      <c r="H84" s="46"/>
      <c r="I84" s="46"/>
      <c r="J84" s="46"/>
      <c r="K84" s="46"/>
      <c r="L84" s="46"/>
      <c r="M84" s="46"/>
      <c r="N84" s="46"/>
      <c r="O84" s="46"/>
      <c r="P84" s="46"/>
      <c r="Q84" s="46"/>
      <c r="R84" s="46"/>
      <c r="S84" s="46"/>
      <c r="T84" s="46"/>
      <c r="U84" s="46"/>
      <c r="V84" s="46"/>
      <c r="W84" s="46"/>
      <c r="X84" s="46"/>
      <c r="Y84" s="46"/>
      <c r="Z84" s="46"/>
    </row>
    <row r="85" spans="1:26" x14ac:dyDescent="0.25">
      <c r="A85" s="293"/>
      <c r="B85" s="293"/>
      <c r="C85" s="293"/>
      <c r="D85" s="293"/>
      <c r="E85" s="293"/>
      <c r="F85" s="293"/>
      <c r="G85" s="46"/>
      <c r="H85" s="46"/>
      <c r="I85" s="46"/>
      <c r="J85" s="46"/>
      <c r="K85" s="46"/>
      <c r="L85" s="46"/>
      <c r="M85" s="46"/>
      <c r="N85" s="46"/>
      <c r="O85" s="46"/>
      <c r="P85" s="46"/>
      <c r="Q85" s="46"/>
      <c r="R85" s="46"/>
      <c r="S85" s="46"/>
      <c r="T85" s="46"/>
      <c r="U85" s="46"/>
      <c r="V85" s="46"/>
      <c r="W85" s="46"/>
      <c r="X85" s="46"/>
      <c r="Y85" s="46"/>
      <c r="Z85" s="46"/>
    </row>
    <row r="86" spans="1:26" x14ac:dyDescent="0.25">
      <c r="A86" s="293"/>
      <c r="B86" s="293"/>
      <c r="C86" s="293"/>
      <c r="D86" s="293"/>
      <c r="E86" s="293"/>
      <c r="F86" s="293"/>
      <c r="G86" s="46"/>
      <c r="H86" s="46"/>
      <c r="I86" s="46"/>
      <c r="J86" s="46"/>
      <c r="K86" s="46"/>
      <c r="L86" s="46"/>
      <c r="M86" s="46"/>
      <c r="N86" s="46"/>
      <c r="O86" s="46"/>
      <c r="P86" s="46"/>
      <c r="Q86" s="46"/>
      <c r="R86" s="46"/>
      <c r="S86" s="46"/>
      <c r="T86" s="46"/>
      <c r="U86" s="46"/>
      <c r="V86" s="46"/>
      <c r="W86" s="46"/>
      <c r="X86" s="46"/>
      <c r="Y86" s="46"/>
      <c r="Z86" s="46"/>
    </row>
    <row r="87" spans="1:26" x14ac:dyDescent="0.25">
      <c r="A87" s="293"/>
      <c r="B87" s="293"/>
      <c r="C87" s="293"/>
      <c r="D87" s="293"/>
      <c r="E87" s="293"/>
      <c r="F87" s="293"/>
      <c r="G87" s="46"/>
      <c r="H87" s="46"/>
      <c r="I87" s="46"/>
      <c r="J87" s="46"/>
      <c r="K87" s="46"/>
      <c r="L87" s="46"/>
      <c r="M87" s="46"/>
      <c r="N87" s="46"/>
      <c r="O87" s="46"/>
      <c r="P87" s="46"/>
      <c r="Q87" s="46"/>
      <c r="R87" s="46"/>
      <c r="S87" s="46"/>
      <c r="T87" s="46"/>
      <c r="U87" s="46"/>
      <c r="V87" s="46"/>
      <c r="W87" s="46"/>
      <c r="X87" s="46"/>
      <c r="Y87" s="46"/>
      <c r="Z87" s="46"/>
    </row>
    <row r="88" spans="1:26" x14ac:dyDescent="0.25">
      <c r="A88" s="293"/>
      <c r="B88" s="293"/>
      <c r="C88" s="293"/>
      <c r="D88" s="293"/>
      <c r="E88" s="293"/>
      <c r="F88" s="293"/>
      <c r="G88" s="46"/>
      <c r="H88" s="46"/>
      <c r="I88" s="46"/>
      <c r="J88" s="46"/>
      <c r="K88" s="46"/>
      <c r="L88" s="46"/>
      <c r="M88" s="46"/>
      <c r="N88" s="46"/>
      <c r="O88" s="46"/>
      <c r="P88" s="46"/>
      <c r="Q88" s="46"/>
      <c r="R88" s="46"/>
      <c r="S88" s="46"/>
      <c r="T88" s="46"/>
      <c r="U88" s="46"/>
      <c r="V88" s="46"/>
      <c r="W88" s="46"/>
      <c r="X88" s="46"/>
      <c r="Y88" s="46"/>
      <c r="Z88" s="46"/>
    </row>
    <row r="89" spans="1:26" x14ac:dyDescent="0.25">
      <c r="A89" s="293"/>
      <c r="B89" s="293"/>
      <c r="C89" s="293"/>
      <c r="D89" s="293"/>
      <c r="E89" s="293"/>
      <c r="F89" s="293"/>
      <c r="G89" s="46"/>
      <c r="H89" s="46"/>
      <c r="I89" s="46"/>
      <c r="J89" s="46"/>
      <c r="K89" s="46"/>
      <c r="L89" s="46"/>
      <c r="M89" s="46"/>
      <c r="N89" s="46"/>
      <c r="O89" s="46"/>
      <c r="P89" s="46"/>
      <c r="Q89" s="46"/>
      <c r="R89" s="46"/>
      <c r="S89" s="46"/>
      <c r="T89" s="46"/>
      <c r="U89" s="46"/>
      <c r="V89" s="46"/>
      <c r="W89" s="46"/>
      <c r="X89" s="46"/>
      <c r="Y89" s="46"/>
      <c r="Z89" s="46"/>
    </row>
    <row r="90" spans="1:26" x14ac:dyDescent="0.25">
      <c r="A90" s="293"/>
      <c r="B90" s="293"/>
      <c r="C90" s="293"/>
      <c r="D90" s="293"/>
      <c r="E90" s="293"/>
      <c r="F90" s="293"/>
      <c r="G90" s="46"/>
      <c r="H90" s="46"/>
      <c r="I90" s="46"/>
      <c r="J90" s="46"/>
      <c r="K90" s="46"/>
      <c r="L90" s="46"/>
      <c r="M90" s="46"/>
      <c r="N90" s="46"/>
      <c r="O90" s="46"/>
      <c r="P90" s="46"/>
      <c r="Q90" s="46"/>
      <c r="R90" s="46"/>
      <c r="S90" s="46"/>
      <c r="T90" s="46"/>
      <c r="U90" s="46"/>
      <c r="V90" s="46"/>
      <c r="W90" s="46"/>
      <c r="X90" s="46"/>
      <c r="Y90" s="46"/>
      <c r="Z90" s="46"/>
    </row>
    <row r="91" spans="1:26"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spans="1:26"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spans="1:26" x14ac:dyDescent="0.25">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x14ac:dyDescent="0.25">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x14ac:dyDescent="0.25">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x14ac:dyDescent="0.25">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spans="1:26" x14ac:dyDescent="0.25">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0" spans="1:26" x14ac:dyDescent="0.25">
      <c r="A100" s="46"/>
      <c r="B100" s="46"/>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row>
    <row r="101" spans="1:26" x14ac:dyDescent="0.25">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row>
    <row r="102" spans="1:26" x14ac:dyDescent="0.25">
      <c r="A102" s="46"/>
      <c r="B102" s="46"/>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row>
    <row r="103" spans="1:26" x14ac:dyDescent="0.25">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row>
    <row r="104" spans="1:26" x14ac:dyDescent="0.2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row>
    <row r="105" spans="1:26" x14ac:dyDescent="0.25">
      <c r="A105" s="46"/>
      <c r="B105" s="46"/>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row>
    <row r="106" spans="1:26" x14ac:dyDescent="0.25">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row>
    <row r="107" spans="1:26" x14ac:dyDescent="0.25">
      <c r="A107" s="46"/>
      <c r="B107" s="46"/>
      <c r="C107" s="46"/>
      <c r="D107" s="46"/>
      <c r="E107" s="46"/>
      <c r="F107" s="46"/>
      <c r="G107" s="46"/>
      <c r="H107" s="46"/>
      <c r="I107" s="46"/>
      <c r="J107" s="46"/>
      <c r="K107" s="46"/>
      <c r="L107" s="46"/>
      <c r="M107" s="46"/>
      <c r="N107" s="46"/>
      <c r="O107" s="46"/>
      <c r="P107" s="46"/>
      <c r="Q107" s="46"/>
      <c r="R107" s="46"/>
      <c r="S107" s="46"/>
      <c r="T107" s="46"/>
      <c r="U107" s="46"/>
      <c r="V107" s="46"/>
      <c r="W107" s="46"/>
      <c r="X107" s="46"/>
      <c r="Y107" s="46"/>
      <c r="Z107" s="46"/>
    </row>
    <row r="108" spans="1:26" x14ac:dyDescent="0.25">
      <c r="A108" s="46"/>
      <c r="B108" s="46"/>
      <c r="C108" s="46"/>
      <c r="D108" s="46"/>
      <c r="E108" s="46"/>
      <c r="F108" s="46"/>
      <c r="G108" s="46"/>
      <c r="H108" s="46"/>
      <c r="I108" s="46"/>
      <c r="J108" s="46"/>
      <c r="K108" s="46"/>
      <c r="L108" s="46"/>
      <c r="M108" s="46"/>
      <c r="N108" s="46"/>
      <c r="O108" s="46"/>
      <c r="P108" s="46"/>
      <c r="Q108" s="46"/>
      <c r="R108" s="46"/>
      <c r="S108" s="46"/>
      <c r="T108" s="46"/>
      <c r="U108" s="46"/>
      <c r="V108" s="46"/>
      <c r="W108" s="46"/>
      <c r="X108" s="46"/>
      <c r="Y108" s="46"/>
      <c r="Z108" s="46"/>
    </row>
    <row r="109" spans="1:26" x14ac:dyDescent="0.25">
      <c r="A109" s="46"/>
      <c r="B109" s="46"/>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row>
    <row r="110" spans="1:26" x14ac:dyDescent="0.25">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row>
    <row r="111" spans="1:26" x14ac:dyDescent="0.25">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spans="1:26" x14ac:dyDescent="0.25">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spans="1:26" x14ac:dyDescent="0.25">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row>
    <row r="114" spans="1:26" x14ac:dyDescent="0.25">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row>
    <row r="115" spans="1:26" x14ac:dyDescent="0.2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spans="1:26" x14ac:dyDescent="0.25">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spans="1:26" x14ac:dyDescent="0.25">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spans="1:26" x14ac:dyDescent="0.25">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spans="1:26" x14ac:dyDescent="0.25">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spans="1:26" x14ac:dyDescent="0.25">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spans="1:26" x14ac:dyDescent="0.25">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spans="1:26" x14ac:dyDescent="0.25">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spans="1:26" x14ac:dyDescent="0.25">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spans="1:26" x14ac:dyDescent="0.25">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spans="1:26" x14ac:dyDescent="0.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spans="1:26" x14ac:dyDescent="0.25">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spans="1:26" x14ac:dyDescent="0.25">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spans="1:26" x14ac:dyDescent="0.25">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spans="1:26" x14ac:dyDescent="0.25">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spans="1:26" x14ac:dyDescent="0.25">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spans="1:26" x14ac:dyDescent="0.25">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spans="1:26" x14ac:dyDescent="0.25">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spans="1:26" x14ac:dyDescent="0.25">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spans="1:26" x14ac:dyDescent="0.25">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spans="1:26" x14ac:dyDescent="0.2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spans="1:26" x14ac:dyDescent="0.25">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spans="1:26" x14ac:dyDescent="0.25">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spans="1:26" x14ac:dyDescent="0.25">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spans="1:26" x14ac:dyDescent="0.25">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spans="1:26" x14ac:dyDescent="0.25">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spans="1:26" x14ac:dyDescent="0.25">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spans="1:26" x14ac:dyDescent="0.25">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spans="1:26" x14ac:dyDescent="0.25">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spans="1:26" x14ac:dyDescent="0.25">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spans="1:26" x14ac:dyDescent="0.2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spans="1:26" x14ac:dyDescent="0.25">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spans="1:26" x14ac:dyDescent="0.25">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spans="1:26" x14ac:dyDescent="0.25">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spans="1:26" x14ac:dyDescent="0.25">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spans="1:26" x14ac:dyDescent="0.25">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spans="1:26" x14ac:dyDescent="0.25">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spans="1:26" x14ac:dyDescent="0.25">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spans="1:26" x14ac:dyDescent="0.25">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spans="1:26" x14ac:dyDescent="0.25">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spans="1:26" x14ac:dyDescent="0.2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spans="1:26" x14ac:dyDescent="0.25">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spans="1:26" x14ac:dyDescent="0.25">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spans="1:26" x14ac:dyDescent="0.25">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spans="1:26" x14ac:dyDescent="0.25">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spans="1:26" x14ac:dyDescent="0.25">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spans="1:26" x14ac:dyDescent="0.25">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spans="1:26" x14ac:dyDescent="0.25">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spans="1:26" x14ac:dyDescent="0.25">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spans="1:26" x14ac:dyDescent="0.25">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spans="1:26" x14ac:dyDescent="0.2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spans="1:26" x14ac:dyDescent="0.25">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spans="1:26" x14ac:dyDescent="0.25">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spans="1:26" x14ac:dyDescent="0.25">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spans="1:26" x14ac:dyDescent="0.25">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spans="1:26" x14ac:dyDescent="0.25">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spans="1:26" x14ac:dyDescent="0.25">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spans="1:26" x14ac:dyDescent="0.25">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spans="1:26" x14ac:dyDescent="0.25">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spans="1:26" x14ac:dyDescent="0.25">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spans="1:26" x14ac:dyDescent="0.2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spans="1:26" x14ac:dyDescent="0.25">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spans="1:26" x14ac:dyDescent="0.25">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spans="1:26" x14ac:dyDescent="0.25">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spans="1:26" x14ac:dyDescent="0.25">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spans="1:26" x14ac:dyDescent="0.25">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spans="1:26" x14ac:dyDescent="0.25">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spans="1:26" x14ac:dyDescent="0.25">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spans="1:26" x14ac:dyDescent="0.25">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spans="1:26" x14ac:dyDescent="0.25">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spans="1:26" x14ac:dyDescent="0.2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spans="1:26" x14ac:dyDescent="0.25">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spans="1:26" x14ac:dyDescent="0.25">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spans="1:26" x14ac:dyDescent="0.25">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spans="1:26" x14ac:dyDescent="0.25">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spans="1:26" x14ac:dyDescent="0.25">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spans="1:26" x14ac:dyDescent="0.25">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spans="1:26" x14ac:dyDescent="0.25">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spans="1:26" x14ac:dyDescent="0.25">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spans="1:26" x14ac:dyDescent="0.25">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spans="1:26" x14ac:dyDescent="0.2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spans="1:26" x14ac:dyDescent="0.25">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spans="1:26" x14ac:dyDescent="0.25">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spans="1:26" x14ac:dyDescent="0.25">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spans="1:26" x14ac:dyDescent="0.25">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spans="1:26" x14ac:dyDescent="0.25">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spans="1:26" x14ac:dyDescent="0.25">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spans="1:26" x14ac:dyDescent="0.25">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spans="1:26" x14ac:dyDescent="0.25">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spans="1:26" x14ac:dyDescent="0.25">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spans="1:26" x14ac:dyDescent="0.2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spans="1:26" x14ac:dyDescent="0.25">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spans="1:26" x14ac:dyDescent="0.25">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spans="1:26" x14ac:dyDescent="0.25">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spans="1:26" x14ac:dyDescent="0.25">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spans="1:26" x14ac:dyDescent="0.25">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spans="1:26" x14ac:dyDescent="0.25">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spans="1:26" x14ac:dyDescent="0.25">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spans="1:26" x14ac:dyDescent="0.25">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spans="1:26" x14ac:dyDescent="0.25">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spans="1:26" x14ac:dyDescent="0.2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spans="1:26" x14ac:dyDescent="0.25">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spans="1:26" x14ac:dyDescent="0.25">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spans="1:26" x14ac:dyDescent="0.25">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spans="1:26" x14ac:dyDescent="0.25">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spans="1:26" x14ac:dyDescent="0.25">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spans="1:26" x14ac:dyDescent="0.25">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spans="1:26" x14ac:dyDescent="0.25">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spans="1:26" x14ac:dyDescent="0.25">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spans="1:26" x14ac:dyDescent="0.25">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spans="1:26" x14ac:dyDescent="0.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spans="1:26" x14ac:dyDescent="0.25">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spans="1:26" x14ac:dyDescent="0.25">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spans="1:26" x14ac:dyDescent="0.25">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spans="1:26" x14ac:dyDescent="0.25">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spans="1:26" x14ac:dyDescent="0.25">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spans="1:26" x14ac:dyDescent="0.25">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spans="1:26" x14ac:dyDescent="0.25">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spans="1:26" x14ac:dyDescent="0.25">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spans="1:26" x14ac:dyDescent="0.25">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spans="1:26" x14ac:dyDescent="0.2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spans="1:26" x14ac:dyDescent="0.25">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spans="1:26" x14ac:dyDescent="0.25">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spans="1:26" x14ac:dyDescent="0.25">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spans="1:26" x14ac:dyDescent="0.25">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spans="1:26" x14ac:dyDescent="0.25">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spans="1:26" x14ac:dyDescent="0.25">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spans="1:26" x14ac:dyDescent="0.25">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spans="1:26" x14ac:dyDescent="0.25">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spans="1:26" x14ac:dyDescent="0.25">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spans="1:26" x14ac:dyDescent="0.2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spans="1:26" x14ac:dyDescent="0.25">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spans="1:26" x14ac:dyDescent="0.25">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spans="1:26" x14ac:dyDescent="0.25">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spans="1:26" x14ac:dyDescent="0.25">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spans="1:26" x14ac:dyDescent="0.25">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spans="1:26" x14ac:dyDescent="0.25">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spans="1:26" x14ac:dyDescent="0.25">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spans="1:26" x14ac:dyDescent="0.25">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spans="1:26" x14ac:dyDescent="0.25">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spans="1:26" x14ac:dyDescent="0.2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spans="1:26" x14ac:dyDescent="0.25">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spans="1:26" x14ac:dyDescent="0.25">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spans="1:26" x14ac:dyDescent="0.25">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spans="1:26" x14ac:dyDescent="0.25">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spans="1:26" x14ac:dyDescent="0.25">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spans="1:26" x14ac:dyDescent="0.25">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spans="1:26" x14ac:dyDescent="0.25">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spans="1:26" x14ac:dyDescent="0.25">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spans="1:26" x14ac:dyDescent="0.25">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spans="1:26" x14ac:dyDescent="0.2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spans="1:26" x14ac:dyDescent="0.25">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spans="1:26" x14ac:dyDescent="0.25">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spans="1:26" x14ac:dyDescent="0.25">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spans="1:26" x14ac:dyDescent="0.25">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spans="1:26" x14ac:dyDescent="0.25">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spans="1:26" x14ac:dyDescent="0.25">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spans="1:26" x14ac:dyDescent="0.25">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spans="1:26" x14ac:dyDescent="0.25">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spans="1:26" x14ac:dyDescent="0.25">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spans="1:26" x14ac:dyDescent="0.2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spans="1:26" x14ac:dyDescent="0.25">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spans="1:26" x14ac:dyDescent="0.25">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spans="1:26" x14ac:dyDescent="0.25">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spans="1:26" x14ac:dyDescent="0.25">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spans="1:26" x14ac:dyDescent="0.25">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spans="1:26" x14ac:dyDescent="0.25">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spans="1:26" x14ac:dyDescent="0.25">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spans="1:26" x14ac:dyDescent="0.25">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spans="1:26" x14ac:dyDescent="0.25">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spans="1:26" x14ac:dyDescent="0.2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spans="1:26" x14ac:dyDescent="0.25">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spans="1:26" x14ac:dyDescent="0.25">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spans="1:26" x14ac:dyDescent="0.25">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spans="1:26" x14ac:dyDescent="0.25">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spans="1:26" x14ac:dyDescent="0.25">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spans="1:26" x14ac:dyDescent="0.25">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spans="1:26" x14ac:dyDescent="0.25">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spans="1:26" x14ac:dyDescent="0.25">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spans="1:26" x14ac:dyDescent="0.25">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spans="1:26" x14ac:dyDescent="0.2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spans="1:26" x14ac:dyDescent="0.25">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spans="1:26" x14ac:dyDescent="0.25">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spans="1:26" x14ac:dyDescent="0.25">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spans="1:26" x14ac:dyDescent="0.25">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spans="1:26" x14ac:dyDescent="0.25">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spans="1:26" x14ac:dyDescent="0.25">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spans="1:26" x14ac:dyDescent="0.25">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spans="1:26" x14ac:dyDescent="0.25">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spans="1:26" x14ac:dyDescent="0.25">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spans="1:26" x14ac:dyDescent="0.2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spans="1:26" x14ac:dyDescent="0.25">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spans="1:26" x14ac:dyDescent="0.25">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spans="1:26" x14ac:dyDescent="0.25">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spans="1:26" x14ac:dyDescent="0.25">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spans="1:26" x14ac:dyDescent="0.25">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spans="1:26" x14ac:dyDescent="0.25">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spans="1:26" x14ac:dyDescent="0.25">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spans="1:26" x14ac:dyDescent="0.25">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spans="1:26" x14ac:dyDescent="0.25">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spans="1:26" x14ac:dyDescent="0.2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spans="1:26" x14ac:dyDescent="0.25">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spans="1:26" x14ac:dyDescent="0.25">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spans="1:26" x14ac:dyDescent="0.25">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spans="1:26" x14ac:dyDescent="0.25">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spans="1:26" x14ac:dyDescent="0.25">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spans="1:26" x14ac:dyDescent="0.25">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spans="1:26" x14ac:dyDescent="0.25">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spans="1:26" x14ac:dyDescent="0.25">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spans="1:26" x14ac:dyDescent="0.25">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spans="1:26" x14ac:dyDescent="0.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spans="1:26" x14ac:dyDescent="0.25">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spans="1:26" x14ac:dyDescent="0.25">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spans="1:26" x14ac:dyDescent="0.25">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spans="1:26" x14ac:dyDescent="0.25">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spans="1:26" x14ac:dyDescent="0.25">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spans="1:26" x14ac:dyDescent="0.25">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spans="1:26" x14ac:dyDescent="0.25">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spans="1:26" x14ac:dyDescent="0.25">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spans="1:26" x14ac:dyDescent="0.25">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spans="1:26" x14ac:dyDescent="0.2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spans="1:26" x14ac:dyDescent="0.25">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spans="1:26" x14ac:dyDescent="0.25">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spans="1:26" x14ac:dyDescent="0.25">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spans="1:26" x14ac:dyDescent="0.25">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spans="1:26" x14ac:dyDescent="0.25">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spans="1:26" x14ac:dyDescent="0.25">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spans="1:26" x14ac:dyDescent="0.25">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spans="1:26" x14ac:dyDescent="0.25">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spans="1:26" x14ac:dyDescent="0.25">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spans="1:26" x14ac:dyDescent="0.2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spans="1:26" x14ac:dyDescent="0.25">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spans="1:26" x14ac:dyDescent="0.25">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spans="1:26" x14ac:dyDescent="0.25">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spans="1:26" x14ac:dyDescent="0.25">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spans="1:26" x14ac:dyDescent="0.25">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spans="1:26" x14ac:dyDescent="0.25">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spans="1:26" x14ac:dyDescent="0.25">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spans="1:26" x14ac:dyDescent="0.25">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spans="1:26" x14ac:dyDescent="0.25">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spans="1:26" x14ac:dyDescent="0.2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spans="1:26" x14ac:dyDescent="0.25">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spans="1:26" x14ac:dyDescent="0.25">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spans="1:26" x14ac:dyDescent="0.25">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spans="1:26" x14ac:dyDescent="0.25">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spans="1:26" x14ac:dyDescent="0.25">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spans="1:26" x14ac:dyDescent="0.25">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spans="1:26" x14ac:dyDescent="0.25">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spans="1:26" x14ac:dyDescent="0.25">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spans="1:26" x14ac:dyDescent="0.25">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spans="1:26" x14ac:dyDescent="0.2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spans="1:26" x14ac:dyDescent="0.25">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spans="1:26" x14ac:dyDescent="0.25">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spans="1:26" x14ac:dyDescent="0.25">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spans="1:26" x14ac:dyDescent="0.25">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spans="1:26" x14ac:dyDescent="0.25">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spans="1:26" x14ac:dyDescent="0.25">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spans="1:26" x14ac:dyDescent="0.25">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spans="1:26" x14ac:dyDescent="0.25">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spans="1:26" x14ac:dyDescent="0.25">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spans="1:26" x14ac:dyDescent="0.2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spans="1:26" x14ac:dyDescent="0.25">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spans="1:26" x14ac:dyDescent="0.25">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spans="1:26" x14ac:dyDescent="0.25">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spans="1:26" x14ac:dyDescent="0.25">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spans="1:26" x14ac:dyDescent="0.25">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spans="1:26" x14ac:dyDescent="0.25">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spans="1:26" x14ac:dyDescent="0.25">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spans="1:26" x14ac:dyDescent="0.25">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spans="1:26" x14ac:dyDescent="0.25">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spans="1:26" x14ac:dyDescent="0.2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spans="1:26" x14ac:dyDescent="0.25">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spans="1:26" x14ac:dyDescent="0.25">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spans="1:26" x14ac:dyDescent="0.25">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spans="1:26" x14ac:dyDescent="0.25">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spans="1:26" x14ac:dyDescent="0.25">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spans="1:26" x14ac:dyDescent="0.25">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spans="1:26" x14ac:dyDescent="0.25">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spans="1:26" x14ac:dyDescent="0.25">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spans="1:26" x14ac:dyDescent="0.25">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spans="1:26" x14ac:dyDescent="0.2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spans="1:26" x14ac:dyDescent="0.25">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spans="1:26" x14ac:dyDescent="0.25">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spans="1:26" x14ac:dyDescent="0.25">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spans="1:26" x14ac:dyDescent="0.25">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spans="1:26" x14ac:dyDescent="0.25">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spans="1:26" x14ac:dyDescent="0.25">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spans="1:26" x14ac:dyDescent="0.25">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spans="1:26" x14ac:dyDescent="0.25">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spans="1:26" x14ac:dyDescent="0.25">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spans="1:26" x14ac:dyDescent="0.2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spans="1:26" x14ac:dyDescent="0.25">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spans="1:26" x14ac:dyDescent="0.25">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spans="1:26" x14ac:dyDescent="0.25">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spans="1:26" x14ac:dyDescent="0.25">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spans="1:26" x14ac:dyDescent="0.25">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spans="1:26" x14ac:dyDescent="0.25">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spans="1:26" x14ac:dyDescent="0.25">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spans="1:26" x14ac:dyDescent="0.25">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spans="1:26" x14ac:dyDescent="0.25">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spans="1:26" x14ac:dyDescent="0.2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spans="1:26" x14ac:dyDescent="0.25">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spans="1:26" x14ac:dyDescent="0.25">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spans="1:26" x14ac:dyDescent="0.25">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spans="1:26" x14ac:dyDescent="0.25">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spans="1:26" x14ac:dyDescent="0.25">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spans="1:26" x14ac:dyDescent="0.25">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spans="1:26" x14ac:dyDescent="0.25">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spans="1:26" x14ac:dyDescent="0.25">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spans="1:26" x14ac:dyDescent="0.25">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spans="1:26" x14ac:dyDescent="0.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spans="1:26" x14ac:dyDescent="0.25">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spans="1:26" x14ac:dyDescent="0.25">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spans="1:26" x14ac:dyDescent="0.25">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spans="1:26" x14ac:dyDescent="0.25">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spans="1:26" x14ac:dyDescent="0.25">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spans="1:26" x14ac:dyDescent="0.25">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spans="1:26" x14ac:dyDescent="0.25">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spans="1:26" x14ac:dyDescent="0.25">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spans="1:26" x14ac:dyDescent="0.25">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spans="1:26" x14ac:dyDescent="0.2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spans="1:26" x14ac:dyDescent="0.25">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spans="1:26" x14ac:dyDescent="0.25">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spans="1:26" x14ac:dyDescent="0.25">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spans="1:26" x14ac:dyDescent="0.25">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spans="1:26" x14ac:dyDescent="0.25">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spans="1:26" x14ac:dyDescent="0.25">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spans="1:26" x14ac:dyDescent="0.25">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spans="1:26" x14ac:dyDescent="0.25">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spans="1:26" x14ac:dyDescent="0.25">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spans="1:26" x14ac:dyDescent="0.2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spans="1:26" x14ac:dyDescent="0.25">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spans="1:26" x14ac:dyDescent="0.25">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spans="1:26" x14ac:dyDescent="0.25">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spans="1:26" x14ac:dyDescent="0.25">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spans="1:26" x14ac:dyDescent="0.25">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spans="1:26" x14ac:dyDescent="0.25">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spans="1:26" x14ac:dyDescent="0.25">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spans="1:26" x14ac:dyDescent="0.25">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spans="1:26" x14ac:dyDescent="0.25">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spans="1:26" x14ac:dyDescent="0.2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spans="1:26" x14ac:dyDescent="0.25">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spans="1:26" x14ac:dyDescent="0.25">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spans="1:26" x14ac:dyDescent="0.25">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spans="1:26" x14ac:dyDescent="0.25">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spans="1:26" x14ac:dyDescent="0.25">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spans="1:26" x14ac:dyDescent="0.25">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spans="1:26" x14ac:dyDescent="0.25">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spans="1:26" x14ac:dyDescent="0.25">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spans="1:26" x14ac:dyDescent="0.25">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spans="1:26" x14ac:dyDescent="0.2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spans="1:26" x14ac:dyDescent="0.25">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spans="1:26" x14ac:dyDescent="0.25">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spans="1:26" x14ac:dyDescent="0.25">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spans="1:26" x14ac:dyDescent="0.25">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spans="1:26" x14ac:dyDescent="0.25">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spans="1:26" x14ac:dyDescent="0.25">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spans="1:26" x14ac:dyDescent="0.25">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spans="1:26" x14ac:dyDescent="0.25">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spans="1:26" x14ac:dyDescent="0.25">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spans="1:26" x14ac:dyDescent="0.2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spans="1:26" x14ac:dyDescent="0.25">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spans="1:26" x14ac:dyDescent="0.25">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spans="1:26" x14ac:dyDescent="0.25">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spans="1:26" x14ac:dyDescent="0.25">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spans="1:26" x14ac:dyDescent="0.25">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spans="1:26" x14ac:dyDescent="0.25">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spans="1:26" x14ac:dyDescent="0.25">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spans="1:26" x14ac:dyDescent="0.25">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spans="1:26" x14ac:dyDescent="0.25">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spans="1:26" x14ac:dyDescent="0.2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spans="1:26" x14ac:dyDescent="0.25">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spans="1:26" x14ac:dyDescent="0.25">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spans="1:26" x14ac:dyDescent="0.25">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spans="1:26" x14ac:dyDescent="0.25">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spans="1:26" x14ac:dyDescent="0.25">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spans="1:26" x14ac:dyDescent="0.25">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spans="1:26" x14ac:dyDescent="0.25">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spans="1:26" x14ac:dyDescent="0.25">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spans="1:26" x14ac:dyDescent="0.25">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spans="1:26" x14ac:dyDescent="0.2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spans="1:26" x14ac:dyDescent="0.25">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spans="1:26" x14ac:dyDescent="0.25">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spans="1:26" x14ac:dyDescent="0.25">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spans="1:26" x14ac:dyDescent="0.25">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spans="1:26" x14ac:dyDescent="0.25">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sheetData>
  <sheetProtection sheet="1" objects="1" scenarios="1"/>
  <conditionalFormatting sqref="C48:C50">
    <cfRule type="containsText" dxfId="53" priority="1" operator="containsText" text="PASS">
      <formula>NOT(ISERROR(SEARCH("PASS",C48)))</formula>
    </cfRule>
    <cfRule type="containsText" dxfId="52" priority="2" operator="containsText" text="FAIL">
      <formula>NOT(ISERROR(SEARCH("FAIL",C48)))</formula>
    </cfRule>
  </conditionalFormatting>
  <dataValidations count="4">
    <dataValidation type="list" allowBlank="1" showInputMessage="1" showErrorMessage="1" errorTitle="Invalid Node Count" error="SOFS cluster supports 2 or 3 nodes only." sqref="C6" xr:uid="{5C6D4986-714E-4B08-9607-A5300045A97D}">
      <formula1>"2,3"</formula1>
    </dataValidation>
    <dataValidation type="list" allowBlank="1" showInputMessage="1" showErrorMessage="1" errorTitle="Invalid Drive Count" error="Minimum 4 drives per node. Maximum 8." sqref="C7" xr:uid="{CDCA95A2-80E6-47AD-AE1E-E51068F28261}">
      <formula1>"4,5,6,7,8"</formula1>
    </dataValidation>
    <dataValidation type="list" allowBlank="1" showInputMessage="1" showErrorMessage="1" errorTitle="Invalid Container Type" error="Single = 1 VHD per user. Split = 3 VHDs per user." sqref="C12" xr:uid="{5FA9E372-0B58-43EB-A6C4-7431EAC0DF55}">
      <formula1>"Single,Split"</formula1>
    </dataValidation>
    <dataValidation type="list" allowBlank="1" showInputMessage="1" showErrorMessage="1" errorTitle="Invalid Resiliency" error="Choose Two-Way Mirror or Three-Way Mirror for SOFS VM volumes on main cluster." sqref="C13" xr:uid="{74EE4F6B-714A-4C30-ADAA-D4C8FBC75EC3}">
      <formula1>"Two-Way Mirror,Three-Way Mirror"</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C27B0"/>
  </sheetPr>
  <dimension ref="A1:Z500"/>
  <sheetViews>
    <sheetView zoomScaleNormal="100" workbookViewId="0">
      <selection activeCell="C19" sqref="C19"/>
    </sheetView>
  </sheetViews>
  <sheetFormatPr defaultColWidth="8.7109375" defaultRowHeight="15" x14ac:dyDescent="0.25"/>
  <cols>
    <col min="1" max="1" width="2.85546875" customWidth="1"/>
    <col min="2" max="2" width="54.7109375" customWidth="1"/>
    <col min="3" max="3" width="22.85546875" customWidth="1"/>
    <col min="4" max="5" width="17.140625" customWidth="1"/>
    <col min="6" max="6" width="19" customWidth="1"/>
    <col min="7" max="7" width="11.42578125" customWidth="1"/>
    <col min="8" max="8" width="13.28515625" customWidth="1"/>
    <col min="9" max="9" width="19" customWidth="1"/>
  </cols>
  <sheetData>
    <row r="1" spans="1:26" x14ac:dyDescent="0.25">
      <c r="A1" s="46"/>
      <c r="B1" s="46"/>
      <c r="C1" s="46"/>
      <c r="D1" s="46"/>
      <c r="E1" s="46"/>
      <c r="F1" s="46"/>
      <c r="G1" s="46"/>
      <c r="H1" s="46"/>
      <c r="I1" s="46"/>
      <c r="J1" s="46"/>
      <c r="K1" s="46"/>
      <c r="L1" s="46"/>
      <c r="M1" s="46"/>
      <c r="N1" s="46"/>
      <c r="O1" s="46"/>
      <c r="P1" s="46"/>
      <c r="Q1" s="46"/>
      <c r="R1" s="46"/>
      <c r="S1" s="46"/>
      <c r="T1" s="46"/>
      <c r="U1" s="46"/>
      <c r="V1" s="46"/>
      <c r="W1" s="46"/>
      <c r="X1" s="46"/>
      <c r="Y1" s="46"/>
      <c r="Z1" s="46"/>
    </row>
    <row r="2" spans="1:26" ht="18" x14ac:dyDescent="0.25">
      <c r="A2" s="46"/>
      <c r="B2" s="326" t="s">
        <v>405</v>
      </c>
      <c r="C2" s="125"/>
      <c r="D2" s="125"/>
      <c r="E2" s="125"/>
      <c r="F2" s="125"/>
      <c r="G2" s="125"/>
      <c r="H2" s="125"/>
      <c r="I2" s="125"/>
      <c r="J2" s="46"/>
      <c r="K2" s="46"/>
      <c r="L2" s="46"/>
      <c r="M2" s="46"/>
      <c r="N2" s="46"/>
      <c r="O2" s="46"/>
      <c r="P2" s="46"/>
      <c r="Q2" s="46"/>
      <c r="R2" s="46"/>
      <c r="S2" s="46"/>
      <c r="T2" s="46"/>
      <c r="U2" s="46"/>
      <c r="V2" s="46"/>
      <c r="W2" s="46"/>
      <c r="X2" s="46"/>
      <c r="Y2" s="46"/>
      <c r="Z2" s="46"/>
    </row>
    <row r="3" spans="1:26" x14ac:dyDescent="0.25">
      <c r="A3" s="46"/>
      <c r="B3" s="327" t="s">
        <v>406</v>
      </c>
      <c r="C3" s="127"/>
      <c r="D3" s="127"/>
      <c r="E3" s="127"/>
      <c r="F3" s="127"/>
      <c r="G3" s="127"/>
      <c r="H3" s="127"/>
      <c r="I3" s="127"/>
      <c r="J3" s="46"/>
      <c r="K3" s="46"/>
      <c r="L3" s="46"/>
      <c r="M3" s="46"/>
      <c r="N3" s="46"/>
      <c r="O3" s="46"/>
      <c r="P3" s="46"/>
      <c r="Q3" s="46"/>
      <c r="R3" s="46"/>
      <c r="S3" s="46"/>
      <c r="T3" s="46"/>
      <c r="U3" s="46"/>
      <c r="V3" s="46"/>
      <c r="W3" s="46"/>
      <c r="X3" s="46"/>
      <c r="Y3" s="46"/>
      <c r="Z3" s="46"/>
    </row>
    <row r="4" spans="1:26" x14ac:dyDescent="0.25">
      <c r="A4" s="46"/>
      <c r="B4" s="46"/>
      <c r="C4" s="46"/>
      <c r="D4" s="46"/>
      <c r="E4" s="46"/>
      <c r="F4" s="46"/>
      <c r="G4" s="46"/>
      <c r="H4" s="46"/>
      <c r="I4" s="46"/>
      <c r="J4" s="46"/>
      <c r="K4" s="46"/>
      <c r="L4" s="46"/>
      <c r="M4" s="46"/>
      <c r="N4" s="46"/>
      <c r="O4" s="46"/>
      <c r="P4" s="46"/>
      <c r="Q4" s="46"/>
      <c r="R4" s="46"/>
      <c r="S4" s="46"/>
      <c r="T4" s="46"/>
      <c r="U4" s="46"/>
      <c r="V4" s="46"/>
      <c r="W4" s="46"/>
      <c r="X4" s="46"/>
      <c r="Y4" s="46"/>
      <c r="Z4" s="46"/>
    </row>
    <row r="5" spans="1:26" s="1" customFormat="1" ht="35.1" customHeight="1" x14ac:dyDescent="0.25">
      <c r="A5" s="347"/>
      <c r="B5" s="328" t="s">
        <v>407</v>
      </c>
      <c r="C5" s="328" t="s">
        <v>272</v>
      </c>
      <c r="D5" s="328" t="s">
        <v>408</v>
      </c>
      <c r="E5" s="328" t="s">
        <v>409</v>
      </c>
      <c r="F5" s="328" t="s">
        <v>410</v>
      </c>
      <c r="G5" s="328" t="s">
        <v>273</v>
      </c>
      <c r="H5" s="328" t="s">
        <v>105</v>
      </c>
      <c r="I5" s="328" t="s">
        <v>402</v>
      </c>
      <c r="J5" s="347"/>
      <c r="K5" s="347"/>
      <c r="L5" s="347"/>
      <c r="M5" s="347"/>
      <c r="N5" s="347"/>
      <c r="O5" s="347"/>
      <c r="P5" s="347"/>
      <c r="Q5" s="347"/>
      <c r="R5" s="347"/>
      <c r="S5" s="347"/>
      <c r="T5" s="347"/>
      <c r="U5" s="347"/>
      <c r="V5" s="347"/>
      <c r="W5" s="347"/>
      <c r="X5" s="347"/>
      <c r="Y5" s="347"/>
      <c r="Z5" s="347"/>
    </row>
    <row r="6" spans="1:26" x14ac:dyDescent="0.25">
      <c r="A6" s="46"/>
      <c r="B6" s="329" t="s">
        <v>411</v>
      </c>
      <c r="C6" s="330" t="str">
        <f>'Workload Planner'!C13</f>
        <v>Two-Way Mirror</v>
      </c>
      <c r="D6" s="331">
        <f>'Workload Planner'!C14</f>
        <v>5.53</v>
      </c>
      <c r="E6" s="332">
        <f t="shared" ref="E6:E12" si="0">IF(D6=0,0,ROUND(D6*(1000/1024)^3,2))</f>
        <v>5.15</v>
      </c>
      <c r="F6" s="333">
        <f>'Workload Planner'!C15</f>
        <v>11.06</v>
      </c>
      <c r="G6" s="330" t="str">
        <f t="shared" ref="G6:G12" si="1">IF(C6="Two-Way Mirror","2x",IF(C6="Three-Way Mirror","3x","parity"))</f>
        <v>2x</v>
      </c>
      <c r="H6" s="334">
        <f>IF(C6="Three-Way Mirror",1/3,IF(C6="Two-Way Mirror",0.5,IF(C6="Dual Parity",IF('Hardware Inputs'!C8&gt;=16,0.8,IF('Hardware Inputs'!C8&gt;=9,0.75,IF('Hardware Inputs'!C8&gt;=7,2/3,0.5))),IF(C6="Nested Two-Way Mirror",0.25,1/3))))</f>
        <v>0.5</v>
      </c>
      <c r="I6" s="335" t="str">
        <f t="shared" ref="I6:I12" si="2">IF(D6=0,"— Disabled",IF(D6&gt;64,"FAIL: &gt;64 TB","PASS"))</f>
        <v>PASS</v>
      </c>
      <c r="J6" s="46"/>
      <c r="K6" s="46"/>
      <c r="L6" s="46"/>
      <c r="M6" s="46"/>
      <c r="N6" s="46"/>
      <c r="O6" s="46"/>
      <c r="P6" s="46"/>
      <c r="Q6" s="46"/>
      <c r="R6" s="46"/>
      <c r="S6" s="46"/>
      <c r="T6" s="46"/>
      <c r="U6" s="46"/>
      <c r="V6" s="46"/>
      <c r="W6" s="46"/>
      <c r="X6" s="46"/>
      <c r="Y6" s="46"/>
      <c r="Z6" s="46"/>
    </row>
    <row r="7" spans="1:26" x14ac:dyDescent="0.25">
      <c r="A7" s="46"/>
      <c r="B7" s="336" t="s">
        <v>412</v>
      </c>
      <c r="C7" s="330" t="str">
        <f>'Workload Planner'!C22</f>
        <v>Three-Way Mirror</v>
      </c>
      <c r="D7" s="331">
        <f>'Workload Planner'!C23</f>
        <v>8.25</v>
      </c>
      <c r="E7" s="332">
        <f t="shared" si="0"/>
        <v>7.68</v>
      </c>
      <c r="F7" s="333">
        <f>'Workload Planner'!C24</f>
        <v>24.75</v>
      </c>
      <c r="G7" s="330" t="str">
        <f t="shared" si="1"/>
        <v>3x</v>
      </c>
      <c r="H7" s="334">
        <f>IF(C7="Three-Way Mirror",1/3,IF(C7="Two-Way Mirror",0.5,IF(C7="Dual Parity",IF('Hardware Inputs'!C8&gt;=16,0.8,IF('Hardware Inputs'!C8&gt;=9,0.75,IF('Hardware Inputs'!C8&gt;=7,2/3,0.5))),IF(C7="Nested Two-Way Mirror",0.25,1/3))))</f>
        <v>0.33333333333333331</v>
      </c>
      <c r="I7" s="335" t="str">
        <f t="shared" si="2"/>
        <v>PASS</v>
      </c>
      <c r="J7" s="46"/>
      <c r="K7" s="46"/>
      <c r="L7" s="46"/>
      <c r="M7" s="46"/>
      <c r="N7" s="46"/>
      <c r="O7" s="46"/>
      <c r="P7" s="46"/>
      <c r="Q7" s="46"/>
      <c r="R7" s="46"/>
      <c r="S7" s="46"/>
      <c r="T7" s="46"/>
      <c r="U7" s="46"/>
      <c r="V7" s="46"/>
      <c r="W7" s="46"/>
      <c r="X7" s="46"/>
      <c r="Y7" s="46"/>
      <c r="Z7" s="46"/>
    </row>
    <row r="8" spans="1:26" x14ac:dyDescent="0.25">
      <c r="A8" s="46"/>
      <c r="B8" s="329" t="s">
        <v>413</v>
      </c>
      <c r="C8" s="330" t="str">
        <f>'Workload Planner'!C53</f>
        <v>Three-Way Mirror</v>
      </c>
      <c r="D8" s="331">
        <f>'Workload Planner'!C54</f>
        <v>0</v>
      </c>
      <c r="E8" s="332">
        <f t="shared" si="0"/>
        <v>0</v>
      </c>
      <c r="F8" s="333">
        <f>'Workload Planner'!C55</f>
        <v>0</v>
      </c>
      <c r="G8" s="330" t="str">
        <f t="shared" si="1"/>
        <v>3x</v>
      </c>
      <c r="H8" s="334">
        <f>IF(C8="Three-Way Mirror",1/3,IF(C8="Two-Way Mirror",0.5,IF(C8="Dual Parity",IF('Hardware Inputs'!C8&gt;=16,0.8,IF('Hardware Inputs'!C8&gt;=9,0.75,IF('Hardware Inputs'!C8&gt;=7,2/3,0.5))),IF(C8="Nested Two-Way Mirror",0.25,1/3))))</f>
        <v>0.33333333333333331</v>
      </c>
      <c r="I8" s="335" t="str">
        <f t="shared" si="2"/>
        <v>— Disabled</v>
      </c>
      <c r="J8" s="46"/>
      <c r="K8" s="46"/>
      <c r="L8" s="46"/>
      <c r="M8" s="46"/>
      <c r="N8" s="46"/>
      <c r="O8" s="46"/>
      <c r="P8" s="46"/>
      <c r="Q8" s="46"/>
      <c r="R8" s="46"/>
      <c r="S8" s="46"/>
      <c r="T8" s="46"/>
      <c r="U8" s="46"/>
      <c r="V8" s="46"/>
      <c r="W8" s="46"/>
      <c r="X8" s="46"/>
      <c r="Y8" s="46"/>
      <c r="Z8" s="46"/>
    </row>
    <row r="9" spans="1:26" x14ac:dyDescent="0.25">
      <c r="A9" s="46"/>
      <c r="B9" s="336" t="s">
        <v>414</v>
      </c>
      <c r="C9" s="330" t="str">
        <f>'Workload Planner'!C69</f>
        <v>Three-Way Mirror</v>
      </c>
      <c r="D9" s="331">
        <f>'Workload Planner'!C70</f>
        <v>0</v>
      </c>
      <c r="E9" s="332">
        <f t="shared" si="0"/>
        <v>0</v>
      </c>
      <c r="F9" s="333">
        <f>'Workload Planner'!C71</f>
        <v>0</v>
      </c>
      <c r="G9" s="330" t="str">
        <f t="shared" si="1"/>
        <v>3x</v>
      </c>
      <c r="H9" s="334">
        <f>IF(C9="Three-Way Mirror",1/3,IF(C9="Two-Way Mirror",0.5,IF(C9="Dual Parity",IF('Hardware Inputs'!C8&gt;=16,0.8,IF('Hardware Inputs'!C8&gt;=9,0.75,IF('Hardware Inputs'!C8&gt;=7,2/3,0.5))),IF(C9="Nested Two-Way Mirror",0.25,1/3))))</f>
        <v>0.33333333333333331</v>
      </c>
      <c r="I9" s="335" t="str">
        <f t="shared" si="2"/>
        <v>— Disabled</v>
      </c>
      <c r="J9" s="46"/>
      <c r="K9" s="46"/>
      <c r="L9" s="46"/>
      <c r="M9" s="46"/>
      <c r="N9" s="46"/>
      <c r="O9" s="46"/>
      <c r="P9" s="46"/>
      <c r="Q9" s="46"/>
      <c r="R9" s="46"/>
      <c r="S9" s="46"/>
      <c r="T9" s="46"/>
      <c r="U9" s="46"/>
      <c r="V9" s="46"/>
      <c r="W9" s="46"/>
      <c r="X9" s="46"/>
      <c r="Y9" s="46"/>
      <c r="Z9" s="46"/>
    </row>
    <row r="10" spans="1:26" x14ac:dyDescent="0.25">
      <c r="A10" s="46"/>
      <c r="B10" s="329" t="s">
        <v>415</v>
      </c>
      <c r="C10" s="330" t="str">
        <f>'Workload Planner'!C86</f>
        <v>Two-Way Mirror</v>
      </c>
      <c r="D10" s="331">
        <f>'Workload Planner'!C87</f>
        <v>0</v>
      </c>
      <c r="E10" s="332">
        <f t="shared" si="0"/>
        <v>0</v>
      </c>
      <c r="F10" s="333">
        <f>'Workload Planner'!C88</f>
        <v>0</v>
      </c>
      <c r="G10" s="330" t="str">
        <f t="shared" si="1"/>
        <v>2x</v>
      </c>
      <c r="H10" s="334">
        <f>IF(C10="Three-Way Mirror",1/3,IF(C10="Two-Way Mirror",0.5,IF(C10="Dual Parity",IF('Hardware Inputs'!C8&gt;=16,0.8,IF('Hardware Inputs'!C8&gt;=9,0.75,IF('Hardware Inputs'!C8&gt;=7,2/3,0.5))),IF(C10="Nested Two-Way Mirror",0.25,1/3))))</f>
        <v>0.5</v>
      </c>
      <c r="I10" s="335" t="str">
        <f t="shared" si="2"/>
        <v>— Disabled</v>
      </c>
      <c r="J10" s="46"/>
      <c r="K10" s="46"/>
      <c r="L10" s="46"/>
      <c r="M10" s="46"/>
      <c r="N10" s="46"/>
      <c r="O10" s="46"/>
      <c r="P10" s="46"/>
      <c r="Q10" s="46"/>
      <c r="R10" s="46"/>
      <c r="S10" s="46"/>
      <c r="T10" s="46"/>
      <c r="U10" s="46"/>
      <c r="V10" s="46"/>
      <c r="W10" s="46"/>
      <c r="X10" s="46"/>
      <c r="Y10" s="46"/>
      <c r="Z10" s="46"/>
    </row>
    <row r="11" spans="1:26" x14ac:dyDescent="0.25">
      <c r="A11" s="46"/>
      <c r="B11" s="336" t="s">
        <v>416</v>
      </c>
      <c r="C11" s="330" t="str">
        <f>'Workload Planner'!C101</f>
        <v>Dual Parity</v>
      </c>
      <c r="D11" s="331">
        <f>'Workload Planner'!C102</f>
        <v>0</v>
      </c>
      <c r="E11" s="332">
        <f t="shared" si="0"/>
        <v>0</v>
      </c>
      <c r="F11" s="333">
        <f>'Workload Planner'!C103</f>
        <v>0</v>
      </c>
      <c r="G11" s="330" t="str">
        <f t="shared" si="1"/>
        <v>parity</v>
      </c>
      <c r="H11" s="334">
        <f>IF(C11="Three-Way Mirror",1/3,IF(C11="Two-Way Mirror",0.5,IF(C11="Dual Parity",IF('Hardware Inputs'!C8&gt;=16,0.8,IF('Hardware Inputs'!C8&gt;=9,0.75,IF('Hardware Inputs'!C8&gt;=7,2/3,0.5))),IF(C11="Nested Two-Way Mirror",0.25,1/3))))</f>
        <v>0.5</v>
      </c>
      <c r="I11" s="335" t="str">
        <f t="shared" si="2"/>
        <v>— Disabled</v>
      </c>
      <c r="J11" s="46"/>
      <c r="K11" s="46"/>
      <c r="L11" s="46"/>
      <c r="M11" s="46"/>
      <c r="N11" s="46"/>
      <c r="O11" s="46"/>
      <c r="P11" s="46"/>
      <c r="Q11" s="46"/>
      <c r="R11" s="46"/>
      <c r="S11" s="46"/>
      <c r="T11" s="46"/>
      <c r="U11" s="46"/>
      <c r="V11" s="46"/>
      <c r="W11" s="46"/>
      <c r="X11" s="46"/>
      <c r="Y11" s="46"/>
      <c r="Z11" s="46"/>
    </row>
    <row r="12" spans="1:26" x14ac:dyDescent="0.25">
      <c r="A12" s="46"/>
      <c r="B12" s="329" t="s">
        <v>274</v>
      </c>
      <c r="C12" s="330" t="str">
        <f>'Workload Planner'!C108</f>
        <v>Three-Way Mirror</v>
      </c>
      <c r="D12" s="331">
        <f>'Workload Planner'!C109</f>
        <v>0</v>
      </c>
      <c r="E12" s="332">
        <f t="shared" si="0"/>
        <v>0</v>
      </c>
      <c r="F12" s="333">
        <f>'Workload Planner'!C110</f>
        <v>0</v>
      </c>
      <c r="G12" s="330" t="str">
        <f t="shared" si="1"/>
        <v>3x</v>
      </c>
      <c r="H12" s="334">
        <f>IF(C12="Three-Way Mirror",1/3,IF(C12="Two-Way Mirror",0.5,IF(C12="Dual Parity",IF('Hardware Inputs'!C8&gt;=16,0.8,IF('Hardware Inputs'!C8&gt;=9,0.75,IF('Hardware Inputs'!C8&gt;=7,2/3,0.5))),IF(C12="Nested Two-Way Mirror",0.25,1/3))))</f>
        <v>0.33333333333333331</v>
      </c>
      <c r="I12" s="335" t="str">
        <f t="shared" si="2"/>
        <v>— Disabled</v>
      </c>
      <c r="J12" s="46"/>
      <c r="K12" s="46"/>
      <c r="L12" s="46"/>
      <c r="M12" s="46"/>
      <c r="N12" s="46"/>
      <c r="O12" s="46"/>
      <c r="P12" s="46"/>
      <c r="Q12" s="46"/>
      <c r="R12" s="46"/>
      <c r="S12" s="46"/>
      <c r="T12" s="46"/>
      <c r="U12" s="46"/>
      <c r="V12" s="46"/>
      <c r="W12" s="46"/>
      <c r="X12" s="46"/>
      <c r="Y12" s="46"/>
      <c r="Z12" s="46"/>
    </row>
    <row r="13" spans="1:26" x14ac:dyDescent="0.25">
      <c r="A13" s="46"/>
      <c r="B13" s="337" t="s">
        <v>849</v>
      </c>
      <c r="C13" s="338" t="str">
        <f>'SOFS Planner'!C13</f>
        <v>Two-Way Mirror</v>
      </c>
      <c r="D13" s="339">
        <f>IF('SOFS Planner'!C6&gt;=1,ROUND('SOFS Planner'!C27/'SOFS Planner'!C6,2),0)</f>
        <v>8.25</v>
      </c>
      <c r="E13" s="340">
        <f>IF(D13=0,0,ROUND(D13*(1000/1024)^3,2))</f>
        <v>7.68</v>
      </c>
      <c r="F13" s="340">
        <f>IF(D13=0,0,ROUND(D13/IF(C13="Three-Way Mirror",1/3,IF(C13="Two-Way Mirror",0.5,IF(C13="Dual Parity",IF('Hardware Inputs'!C8&gt;=16,0.8,IF('Hardware Inputs'!C8&gt;=9,0.75,IF('Hardware Inputs'!C8&gt;=7,2/3,0.5))),IF(C13="Nested Two-Way Mirror",0.25,1/3)))),2))</f>
        <v>16.5</v>
      </c>
      <c r="G13" s="338" t="str">
        <f>IF(D13=0,"",IF(C13="Two-Way Mirror","2x",IF(C13="Three-Way Mirror","3x","parity")))</f>
        <v>2x</v>
      </c>
      <c r="H13" s="334"/>
      <c r="I13" s="335" t="str">
        <f>IF(D13=0,"— Disabled",IF(D13&gt;64,"FAIL: &gt;64 TB","PASS"))</f>
        <v>PASS</v>
      </c>
      <c r="J13" s="46"/>
      <c r="K13" s="46"/>
      <c r="L13" s="46"/>
      <c r="M13" s="46"/>
      <c r="N13" s="46"/>
      <c r="O13" s="46"/>
      <c r="P13" s="46"/>
      <c r="Q13" s="46"/>
      <c r="R13" s="46"/>
      <c r="S13" s="46"/>
      <c r="T13" s="46"/>
      <c r="U13" s="46"/>
      <c r="V13" s="46"/>
      <c r="W13" s="46"/>
      <c r="X13" s="46"/>
      <c r="Y13" s="46"/>
      <c r="Z13" s="46"/>
    </row>
    <row r="14" spans="1:26" x14ac:dyDescent="0.25">
      <c r="A14" s="46"/>
      <c r="B14" s="337" t="str">
        <f>IF('SOFS Planner'!C6&gt;=2,"SOFS-Node2-Vol","")</f>
        <v>SOFS-Node2-Vol</v>
      </c>
      <c r="C14" s="338" t="str">
        <f>IF(B14&lt;&gt;"",C13,"")</f>
        <v>Two-Way Mirror</v>
      </c>
      <c r="D14" s="339">
        <f>IF(B14&lt;&gt;"",D13,0)</f>
        <v>8.25</v>
      </c>
      <c r="E14" s="340">
        <f>IF(D14=0,0,ROUND(D14*(1000/1024)^3,2))</f>
        <v>7.68</v>
      </c>
      <c r="F14" s="340">
        <f>IF(D14=0,0,F13)</f>
        <v>16.5</v>
      </c>
      <c r="G14" s="338" t="str">
        <f>IF(D14=0,"",G13)</f>
        <v>2x</v>
      </c>
      <c r="H14" s="334"/>
      <c r="I14" s="335" t="str">
        <f>IF(D14=0,"— Disabled",IF(D14&gt;64,"FAIL: &gt;64 TB","PASS"))</f>
        <v>PASS</v>
      </c>
      <c r="J14" s="46"/>
      <c r="K14" s="46"/>
      <c r="L14" s="46"/>
      <c r="M14" s="46"/>
      <c r="N14" s="46"/>
      <c r="O14" s="46"/>
      <c r="P14" s="46"/>
      <c r="Q14" s="46"/>
      <c r="R14" s="46"/>
      <c r="S14" s="46"/>
      <c r="T14" s="46"/>
      <c r="U14" s="46"/>
      <c r="V14" s="46"/>
      <c r="W14" s="46"/>
      <c r="X14" s="46"/>
      <c r="Y14" s="46"/>
      <c r="Z14" s="46"/>
    </row>
    <row r="15" spans="1:26" x14ac:dyDescent="0.25">
      <c r="A15" s="46"/>
      <c r="B15" s="337" t="str">
        <f>IF('SOFS Planner'!C6&gt;=3,"SOFS-Node3-Vol","")</f>
        <v>SOFS-Node3-Vol</v>
      </c>
      <c r="C15" s="338" t="str">
        <f>IF(B15&lt;&gt;"",C13,"")</f>
        <v>Two-Way Mirror</v>
      </c>
      <c r="D15" s="339">
        <f>IF(B15&lt;&gt;"",D13,0)</f>
        <v>8.25</v>
      </c>
      <c r="E15" s="340">
        <f>IF(D15=0,0,ROUND(D15*(1000/1024)^3,2))</f>
        <v>7.68</v>
      </c>
      <c r="F15" s="340">
        <f>IF(D15=0,0,F13)</f>
        <v>16.5</v>
      </c>
      <c r="G15" s="338" t="str">
        <f>IF(D15=0,"",G13)</f>
        <v>2x</v>
      </c>
      <c r="H15" s="334"/>
      <c r="I15" s="335" t="str">
        <f>IF(D15=0,"— Disabled",IF(D15&gt;64,"FAIL: &gt;64 TB","PASS"))</f>
        <v>PASS</v>
      </c>
      <c r="J15" s="46"/>
      <c r="K15" s="46"/>
      <c r="L15" s="46"/>
      <c r="M15" s="46"/>
      <c r="N15" s="46"/>
      <c r="O15" s="46"/>
      <c r="P15" s="46"/>
      <c r="Q15" s="46"/>
      <c r="R15" s="46"/>
      <c r="S15" s="46"/>
      <c r="T15" s="46"/>
      <c r="U15" s="46"/>
      <c r="V15" s="46"/>
      <c r="W15" s="46"/>
      <c r="X15" s="46"/>
      <c r="Y15" s="46"/>
      <c r="Z15" s="46"/>
    </row>
    <row r="16" spans="1:26" x14ac:dyDescent="0.25">
      <c r="A16" s="46"/>
      <c r="B16" s="337" t="str">
        <f>IF('SOFS Planner'!C6&gt;=4,"SOFS-Node4-Vol","")</f>
        <v/>
      </c>
      <c r="C16" s="338" t="str">
        <f>IF(B16&lt;&gt;"",C13,"")</f>
        <v/>
      </c>
      <c r="D16" s="339">
        <f>IF(B16&lt;&gt;"",D13,0)</f>
        <v>0</v>
      </c>
      <c r="E16" s="340">
        <f>IF(D16=0,0,ROUND(D16*(1000/1024)^3,2))</f>
        <v>0</v>
      </c>
      <c r="F16" s="340">
        <f>IF(D16=0,0,F13)</f>
        <v>0</v>
      </c>
      <c r="G16" s="338" t="str">
        <f>IF(D16=0,"",G13)</f>
        <v/>
      </c>
      <c r="H16" s="334"/>
      <c r="I16" s="335" t="str">
        <f>IF(D16=0,"— Disabled",IF(D16&gt;64,"FAIL: &gt;64 TB","PASS"))</f>
        <v>— Disabled</v>
      </c>
      <c r="J16" s="46"/>
      <c r="K16" s="46"/>
      <c r="L16" s="46"/>
      <c r="M16" s="46"/>
      <c r="N16" s="46"/>
      <c r="O16" s="46"/>
      <c r="P16" s="46"/>
      <c r="Q16" s="46"/>
      <c r="R16" s="46"/>
      <c r="S16" s="46"/>
      <c r="T16" s="46"/>
      <c r="U16" s="46"/>
      <c r="V16" s="46"/>
      <c r="W16" s="46"/>
      <c r="X16" s="46"/>
      <c r="Y16" s="46"/>
      <c r="Z16" s="46"/>
    </row>
    <row r="17" spans="1:26" x14ac:dyDescent="0.25">
      <c r="A17" s="46"/>
      <c r="B17" s="329"/>
      <c r="C17" s="330"/>
      <c r="D17" s="331"/>
      <c r="E17" s="332"/>
      <c r="F17" s="333"/>
      <c r="G17" s="330"/>
      <c r="H17" s="334"/>
      <c r="I17" s="335"/>
      <c r="J17" s="46"/>
      <c r="K17" s="46"/>
      <c r="L17" s="46"/>
      <c r="M17" s="46"/>
      <c r="N17" s="46"/>
      <c r="O17" s="46"/>
      <c r="P17" s="46"/>
      <c r="Q17" s="46"/>
      <c r="R17" s="46"/>
      <c r="S17" s="46"/>
      <c r="T17" s="46"/>
      <c r="U17" s="46"/>
      <c r="V17" s="46"/>
      <c r="W17" s="46"/>
      <c r="X17" s="46"/>
      <c r="Y17" s="46"/>
      <c r="Z17" s="46"/>
    </row>
    <row r="18" spans="1:26" x14ac:dyDescent="0.25">
      <c r="A18" s="46"/>
      <c r="B18" s="329"/>
      <c r="C18" s="330"/>
      <c r="D18" s="331"/>
      <c r="E18" s="332"/>
      <c r="F18" s="333"/>
      <c r="G18" s="330"/>
      <c r="H18" s="334"/>
      <c r="I18" s="335"/>
      <c r="J18" s="46"/>
      <c r="K18" s="46"/>
      <c r="L18" s="46"/>
      <c r="M18" s="46"/>
      <c r="N18" s="46"/>
      <c r="O18" s="46"/>
      <c r="P18" s="46"/>
      <c r="Q18" s="46"/>
      <c r="R18" s="46"/>
      <c r="S18" s="46"/>
      <c r="T18" s="46"/>
      <c r="U18" s="46"/>
      <c r="V18" s="46"/>
      <c r="W18" s="46"/>
      <c r="X18" s="46"/>
      <c r="Y18" s="46"/>
      <c r="Z18" s="46"/>
    </row>
    <row r="19" spans="1:26" x14ac:dyDescent="0.25">
      <c r="A19" s="46"/>
      <c r="B19" s="329"/>
      <c r="C19" s="330"/>
      <c r="D19" s="331"/>
      <c r="E19" s="332"/>
      <c r="F19" s="333"/>
      <c r="G19" s="330"/>
      <c r="H19" s="334"/>
      <c r="I19" s="335"/>
      <c r="J19" s="46"/>
      <c r="K19" s="46"/>
      <c r="L19" s="46"/>
      <c r="M19" s="46"/>
      <c r="N19" s="46"/>
      <c r="O19" s="46"/>
      <c r="P19" s="46"/>
      <c r="Q19" s="46"/>
      <c r="R19" s="46"/>
      <c r="S19" s="46"/>
      <c r="T19" s="46"/>
      <c r="U19" s="46"/>
      <c r="V19" s="46"/>
      <c r="W19" s="46"/>
      <c r="X19" s="46"/>
      <c r="Y19" s="46"/>
      <c r="Z19" s="46"/>
    </row>
    <row r="20" spans="1:26" x14ac:dyDescent="0.25">
      <c r="A20" s="46"/>
      <c r="B20" s="329"/>
      <c r="C20" s="330"/>
      <c r="D20" s="331"/>
      <c r="E20" s="332"/>
      <c r="F20" s="333"/>
      <c r="G20" s="330"/>
      <c r="H20" s="334"/>
      <c r="I20" s="335"/>
      <c r="J20" s="46"/>
      <c r="K20" s="46"/>
      <c r="L20" s="46"/>
      <c r="M20" s="46"/>
      <c r="N20" s="46"/>
      <c r="O20" s="46"/>
      <c r="P20" s="46"/>
      <c r="Q20" s="46"/>
      <c r="R20" s="46"/>
      <c r="S20" s="46"/>
      <c r="T20" s="46"/>
      <c r="U20" s="46"/>
      <c r="V20" s="46"/>
      <c r="W20" s="46"/>
      <c r="X20" s="46"/>
      <c r="Y20" s="46"/>
      <c r="Z20" s="46"/>
    </row>
    <row r="21" spans="1:26" x14ac:dyDescent="0.25">
      <c r="A21" s="46"/>
      <c r="B21" s="329"/>
      <c r="C21" s="330"/>
      <c r="D21" s="331"/>
      <c r="E21" s="332"/>
      <c r="F21" s="333"/>
      <c r="G21" s="330"/>
      <c r="H21" s="334"/>
      <c r="I21" s="335"/>
      <c r="J21" s="46"/>
      <c r="K21" s="46"/>
      <c r="L21" s="46"/>
      <c r="M21" s="46"/>
      <c r="N21" s="46"/>
      <c r="O21" s="46"/>
      <c r="P21" s="46"/>
      <c r="Q21" s="46"/>
      <c r="R21" s="46"/>
      <c r="S21" s="46"/>
      <c r="T21" s="46"/>
      <c r="U21" s="46"/>
      <c r="V21" s="46"/>
      <c r="W21" s="46"/>
      <c r="X21" s="46"/>
      <c r="Y21" s="46"/>
      <c r="Z21" s="46"/>
    </row>
    <row r="22" spans="1:26" x14ac:dyDescent="0.25">
      <c r="A22" s="46"/>
      <c r="B22" s="204"/>
      <c r="C22" s="204"/>
      <c r="D22" s="204"/>
      <c r="E22" s="204"/>
      <c r="F22" s="204"/>
      <c r="G22" s="204"/>
      <c r="H22" s="204"/>
      <c r="I22" s="204"/>
      <c r="J22" s="46"/>
      <c r="K22" s="46"/>
      <c r="L22" s="46"/>
      <c r="M22" s="46"/>
      <c r="N22" s="46"/>
      <c r="O22" s="46"/>
      <c r="P22" s="46"/>
      <c r="Q22" s="46"/>
      <c r="R22" s="46"/>
      <c r="S22" s="46"/>
      <c r="T22" s="46"/>
      <c r="U22" s="46"/>
      <c r="V22" s="46"/>
      <c r="W22" s="46"/>
      <c r="X22" s="46"/>
      <c r="Y22" s="46"/>
      <c r="Z22" s="46"/>
    </row>
    <row r="23" spans="1:26" ht="30" customHeight="1" x14ac:dyDescent="0.25">
      <c r="A23" s="46"/>
      <c r="B23" s="341" t="s">
        <v>275</v>
      </c>
      <c r="C23" s="206"/>
      <c r="D23" s="342">
        <f>SUM(D6:D16)</f>
        <v>38.53</v>
      </c>
      <c r="E23" s="342">
        <f>SUM(E6:E16)</f>
        <v>35.869999999999997</v>
      </c>
      <c r="F23" s="342">
        <f>SUM(F6:F16)</f>
        <v>85.31</v>
      </c>
      <c r="G23" s="206"/>
      <c r="H23" s="206"/>
      <c r="I23" s="343" t="str">
        <f>COUNTIF(I6:I16,"PASS")&amp;" of "&amp;COUNTIF(I6:I16,"&lt;&gt;"&amp;"— Disabled")&amp;" PASS"</f>
        <v>5 of 5 PASS</v>
      </c>
      <c r="J23" s="46"/>
      <c r="K23" s="46"/>
      <c r="L23" s="46"/>
      <c r="M23" s="46"/>
      <c r="N23" s="46"/>
      <c r="O23" s="46"/>
      <c r="P23" s="46"/>
      <c r="Q23" s="46"/>
      <c r="R23" s="46"/>
      <c r="S23" s="46"/>
      <c r="T23" s="46"/>
      <c r="U23" s="46"/>
      <c r="V23" s="46"/>
      <c r="W23" s="46"/>
      <c r="X23" s="46"/>
      <c r="Y23" s="46"/>
      <c r="Z23" s="46"/>
    </row>
    <row r="24" spans="1:26" x14ac:dyDescent="0.25">
      <c r="A24" s="46"/>
      <c r="B24" s="46"/>
      <c r="C24" s="46"/>
      <c r="D24" s="46"/>
      <c r="E24" s="46"/>
      <c r="F24" s="46"/>
      <c r="G24" s="46"/>
      <c r="H24" s="46"/>
      <c r="I24" s="46"/>
      <c r="J24" s="46"/>
      <c r="K24" s="46"/>
      <c r="L24" s="46"/>
      <c r="M24" s="46"/>
      <c r="N24" s="46"/>
      <c r="O24" s="46"/>
      <c r="P24" s="46"/>
      <c r="Q24" s="46"/>
      <c r="R24" s="46"/>
      <c r="S24" s="46"/>
      <c r="T24" s="46"/>
      <c r="U24" s="46"/>
      <c r="V24" s="46"/>
      <c r="W24" s="46"/>
      <c r="X24" s="46"/>
      <c r="Y24" s="46"/>
      <c r="Z24" s="46"/>
    </row>
    <row r="25" spans="1:26" x14ac:dyDescent="0.25">
      <c r="A25" s="46"/>
      <c r="B25" s="344" t="s">
        <v>276</v>
      </c>
      <c r="C25" s="127"/>
      <c r="D25" s="127"/>
      <c r="E25" s="127"/>
      <c r="F25" s="127"/>
      <c r="G25" s="127"/>
      <c r="H25" s="127"/>
      <c r="I25" s="127"/>
      <c r="J25" s="46"/>
      <c r="K25" s="46"/>
      <c r="L25" s="46"/>
      <c r="M25" s="46"/>
      <c r="N25" s="46"/>
      <c r="O25" s="46"/>
      <c r="P25" s="46"/>
      <c r="Q25" s="46"/>
      <c r="R25" s="46"/>
      <c r="S25" s="46"/>
      <c r="T25" s="46"/>
      <c r="U25" s="46"/>
      <c r="V25" s="46"/>
      <c r="W25" s="46"/>
      <c r="X25" s="46"/>
      <c r="Y25" s="46"/>
      <c r="Z25" s="46"/>
    </row>
    <row r="26" spans="1:26" ht="15.75" x14ac:dyDescent="0.25">
      <c r="A26" s="46"/>
      <c r="B26" s="345" t="str">
        <f>IF('Workload Planner'!C128&lt;0,"FAIL: Exceeds pool by "&amp;TEXT(ABS('Workload Planner'!C128),"0.00")&amp;" TB. Remove workloads or add drives.",IF('Workload Planner'!C129&gt;0.7,"WARNING: "&amp;TEXT('Workload Planner'!C129,"0.0%")&amp;" utilized. Above 70% = limited rebuild headroom.","PASS: "&amp;TEXT('Workload Planner'!C129,"0.0%")&amp;" utilized. Healthy headroom for drive failure repair."))</f>
        <v>FAIL: Exceeds pool by 54.26 TB. Remove workloads or add drives.</v>
      </c>
      <c r="C26" s="345"/>
      <c r="D26" s="345"/>
      <c r="E26" s="345"/>
      <c r="F26" s="345"/>
      <c r="G26" s="345"/>
      <c r="H26" s="345"/>
      <c r="I26" s="345"/>
      <c r="J26" s="46"/>
      <c r="K26" s="46"/>
      <c r="L26" s="46"/>
      <c r="M26" s="46"/>
      <c r="N26" s="46"/>
      <c r="O26" s="46"/>
      <c r="P26" s="46"/>
      <c r="Q26" s="46"/>
      <c r="R26" s="46"/>
      <c r="S26" s="46"/>
      <c r="T26" s="46"/>
      <c r="U26" s="46"/>
      <c r="V26" s="46"/>
      <c r="W26" s="46"/>
      <c r="X26" s="46"/>
      <c r="Y26" s="46"/>
      <c r="Z26" s="46"/>
    </row>
    <row r="27" spans="1:26" x14ac:dyDescent="0.25">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row>
    <row r="28" spans="1:26" x14ac:dyDescent="0.25">
      <c r="A28" s="46"/>
      <c r="B28" s="346" t="s">
        <v>417</v>
      </c>
      <c r="C28" s="346"/>
      <c r="D28" s="346"/>
      <c r="E28" s="346"/>
      <c r="F28" s="346"/>
      <c r="G28" s="346"/>
      <c r="H28" s="346"/>
      <c r="I28" s="346"/>
      <c r="J28" s="46"/>
      <c r="K28" s="46"/>
      <c r="L28" s="46"/>
      <c r="M28" s="46"/>
      <c r="N28" s="46"/>
      <c r="O28" s="46"/>
      <c r="P28" s="46"/>
      <c r="Q28" s="46"/>
      <c r="R28" s="46"/>
      <c r="S28" s="46"/>
      <c r="T28" s="46"/>
      <c r="U28" s="46"/>
      <c r="V28" s="46"/>
      <c r="W28" s="46"/>
      <c r="X28" s="46"/>
      <c r="Y28" s="46"/>
      <c r="Z28" s="46"/>
    </row>
    <row r="29" spans="1:26" x14ac:dyDescent="0.25">
      <c r="A29" s="46"/>
      <c r="B29" s="346" t="str">
        <f>"Microsoft recommends volume count as a multiple of your node count ("&amp;'Hardware Inputs'!C8&amp;") for balanced data distribution. Consider splitting large Infrastructure or Dev/Test volumes across "&amp;'Hardware Inputs'!C8&amp;" equal volumes where practical. AVD profiles and AKS PVs typically require a single volume."</f>
        <v>Microsoft recommends volume count as a multiple of your node count (3) for balanced data distribution. Consider splitting large Infrastructure or Dev/Test volumes across 3 equal volumes where practical. AVD profiles and AKS PVs typically require a single volume.</v>
      </c>
      <c r="C29" s="346"/>
      <c r="D29" s="346"/>
      <c r="E29" s="346"/>
      <c r="F29" s="346"/>
      <c r="G29" s="346"/>
      <c r="H29" s="346"/>
      <c r="I29" s="346"/>
      <c r="J29" s="46"/>
      <c r="K29" s="46"/>
      <c r="L29" s="46"/>
      <c r="M29" s="46"/>
      <c r="N29" s="46"/>
      <c r="O29" s="46"/>
      <c r="P29" s="46"/>
      <c r="Q29" s="46"/>
      <c r="R29" s="46"/>
      <c r="S29" s="46"/>
      <c r="T29" s="46"/>
      <c r="U29" s="46"/>
      <c r="V29" s="46"/>
      <c r="W29" s="46"/>
      <c r="X29" s="46"/>
      <c r="Y29" s="46"/>
      <c r="Z29" s="46"/>
    </row>
    <row r="30" spans="1:26" x14ac:dyDescent="0.25">
      <c r="A30" s="46"/>
      <c r="B30" s="46"/>
      <c r="C30" s="46"/>
      <c r="D30" s="46"/>
      <c r="E30" s="46"/>
      <c r="F30" s="46"/>
      <c r="G30" s="46"/>
      <c r="H30" s="46"/>
      <c r="I30" s="46"/>
      <c r="J30" s="46"/>
      <c r="K30" s="46"/>
      <c r="L30" s="46"/>
      <c r="M30" s="46"/>
      <c r="N30" s="46"/>
      <c r="O30" s="46"/>
      <c r="P30" s="46"/>
      <c r="Q30" s="46"/>
      <c r="R30" s="46"/>
      <c r="S30" s="46"/>
      <c r="T30" s="46"/>
      <c r="U30" s="46"/>
      <c r="V30" s="46"/>
      <c r="W30" s="46"/>
      <c r="X30" s="46"/>
      <c r="Y30" s="46"/>
      <c r="Z30" s="46"/>
    </row>
    <row r="31" spans="1:26" x14ac:dyDescent="0.25">
      <c r="A31" s="46"/>
      <c r="B31" s="46"/>
      <c r="C31" s="46"/>
      <c r="D31" s="46"/>
      <c r="E31" s="46"/>
      <c r="F31" s="46"/>
      <c r="G31" s="46"/>
      <c r="H31" s="46"/>
      <c r="I31" s="46"/>
      <c r="J31" s="46"/>
      <c r="K31" s="46"/>
      <c r="L31" s="46"/>
      <c r="M31" s="46"/>
      <c r="N31" s="46"/>
      <c r="O31" s="46"/>
      <c r="P31" s="46"/>
      <c r="Q31" s="46"/>
      <c r="R31" s="46"/>
      <c r="S31" s="46"/>
      <c r="T31" s="46"/>
      <c r="U31" s="46"/>
      <c r="V31" s="46"/>
      <c r="W31" s="46"/>
      <c r="X31" s="46"/>
      <c r="Y31" s="46"/>
      <c r="Z31" s="46"/>
    </row>
    <row r="32" spans="1:26" x14ac:dyDescent="0.25">
      <c r="A32" s="46"/>
      <c r="B32" s="46"/>
      <c r="C32" s="46"/>
      <c r="D32" s="46"/>
      <c r="E32" s="46"/>
      <c r="F32" s="46"/>
      <c r="G32" s="46"/>
      <c r="H32" s="46"/>
      <c r="I32" s="46"/>
      <c r="J32" s="46"/>
      <c r="K32" s="46"/>
      <c r="L32" s="46"/>
      <c r="M32" s="46"/>
      <c r="N32" s="46"/>
      <c r="O32" s="46"/>
      <c r="P32" s="46"/>
      <c r="Q32" s="46"/>
      <c r="R32" s="46"/>
      <c r="S32" s="46"/>
      <c r="T32" s="46"/>
      <c r="U32" s="46"/>
      <c r="V32" s="46"/>
      <c r="W32" s="46"/>
      <c r="X32" s="46"/>
      <c r="Y32" s="46"/>
      <c r="Z32" s="46"/>
    </row>
    <row r="33" spans="1:26" x14ac:dyDescent="0.25">
      <c r="A33" s="46"/>
      <c r="B33" s="46"/>
      <c r="C33" s="46"/>
      <c r="D33" s="46"/>
      <c r="E33" s="46"/>
      <c r="F33" s="46"/>
      <c r="G33" s="46"/>
      <c r="H33" s="46"/>
      <c r="I33" s="46"/>
      <c r="J33" s="46"/>
      <c r="K33" s="46"/>
      <c r="L33" s="46"/>
      <c r="M33" s="46"/>
      <c r="N33" s="46"/>
      <c r="O33" s="46"/>
      <c r="P33" s="46"/>
      <c r="Q33" s="46"/>
      <c r="R33" s="46"/>
      <c r="S33" s="46"/>
      <c r="T33" s="46"/>
      <c r="U33" s="46"/>
      <c r="V33" s="46"/>
      <c r="W33" s="46"/>
      <c r="X33" s="46"/>
      <c r="Y33" s="46"/>
      <c r="Z33" s="46"/>
    </row>
    <row r="34" spans="1:26" x14ac:dyDescent="0.25">
      <c r="A34" s="46"/>
      <c r="B34" s="46"/>
      <c r="C34" s="46"/>
      <c r="D34" s="46"/>
      <c r="E34" s="46"/>
      <c r="F34" s="46"/>
      <c r="G34" s="46"/>
      <c r="H34" s="46"/>
      <c r="I34" s="46"/>
      <c r="J34" s="46"/>
      <c r="K34" s="46"/>
      <c r="L34" s="46"/>
      <c r="M34" s="46"/>
      <c r="N34" s="46"/>
      <c r="O34" s="46"/>
      <c r="P34" s="46"/>
      <c r="Q34" s="46"/>
      <c r="R34" s="46"/>
      <c r="S34" s="46"/>
      <c r="T34" s="46"/>
      <c r="U34" s="46"/>
      <c r="V34" s="46"/>
      <c r="W34" s="46"/>
      <c r="X34" s="46"/>
      <c r="Y34" s="46"/>
      <c r="Z34" s="46"/>
    </row>
    <row r="35" spans="1:26" x14ac:dyDescent="0.25">
      <c r="A35" s="46"/>
      <c r="B35" s="46"/>
      <c r="C35" s="46"/>
      <c r="D35" s="46"/>
      <c r="E35" s="46"/>
      <c r="F35" s="46"/>
      <c r="G35" s="46"/>
      <c r="H35" s="46"/>
      <c r="I35" s="46"/>
      <c r="J35" s="46"/>
      <c r="K35" s="46"/>
      <c r="L35" s="46"/>
      <c r="M35" s="46"/>
      <c r="N35" s="46"/>
      <c r="O35" s="46"/>
      <c r="P35" s="46"/>
      <c r="Q35" s="46"/>
      <c r="R35" s="46"/>
      <c r="S35" s="46"/>
      <c r="T35" s="46"/>
      <c r="U35" s="46"/>
      <c r="V35" s="46"/>
      <c r="W35" s="46"/>
      <c r="X35" s="46"/>
      <c r="Y35" s="46"/>
      <c r="Z35" s="46"/>
    </row>
    <row r="36" spans="1:26" x14ac:dyDescent="0.25">
      <c r="A36" s="46"/>
      <c r="B36" s="46"/>
      <c r="C36" s="46"/>
      <c r="D36" s="46"/>
      <c r="E36" s="46"/>
      <c r="F36" s="46"/>
      <c r="G36" s="46"/>
      <c r="H36" s="46"/>
      <c r="I36" s="46"/>
      <c r="J36" s="46"/>
      <c r="K36" s="46"/>
      <c r="L36" s="46"/>
      <c r="M36" s="46"/>
      <c r="N36" s="46"/>
      <c r="O36" s="46"/>
      <c r="P36" s="46"/>
      <c r="Q36" s="46"/>
      <c r="R36" s="46"/>
      <c r="S36" s="46"/>
      <c r="T36" s="46"/>
      <c r="U36" s="46"/>
      <c r="V36" s="46"/>
      <c r="W36" s="46"/>
      <c r="X36" s="46"/>
      <c r="Y36" s="46"/>
      <c r="Z36" s="46"/>
    </row>
    <row r="37" spans="1:26" x14ac:dyDescent="0.25">
      <c r="A37" s="46"/>
      <c r="B37" s="46"/>
      <c r="C37" s="46"/>
      <c r="D37" s="46"/>
      <c r="E37" s="46"/>
      <c r="F37" s="46"/>
      <c r="G37" s="46"/>
      <c r="H37" s="46"/>
      <c r="I37" s="46"/>
      <c r="J37" s="46"/>
      <c r="K37" s="46"/>
      <c r="L37" s="46"/>
      <c r="M37" s="46"/>
      <c r="N37" s="46"/>
      <c r="O37" s="46"/>
      <c r="P37" s="46"/>
      <c r="Q37" s="46"/>
      <c r="R37" s="46"/>
      <c r="S37" s="46"/>
      <c r="T37" s="46"/>
      <c r="U37" s="46"/>
      <c r="V37" s="46"/>
      <c r="W37" s="46"/>
      <c r="X37" s="46"/>
      <c r="Y37" s="46"/>
      <c r="Z37" s="46"/>
    </row>
    <row r="38" spans="1:26" x14ac:dyDescent="0.25">
      <c r="A38" s="46"/>
      <c r="B38" s="46"/>
      <c r="C38" s="46"/>
      <c r="D38" s="46"/>
      <c r="E38" s="46"/>
      <c r="F38" s="46"/>
      <c r="G38" s="46"/>
      <c r="H38" s="46"/>
      <c r="I38" s="46"/>
      <c r="J38" s="46"/>
      <c r="K38" s="46"/>
      <c r="L38" s="46"/>
      <c r="M38" s="46"/>
      <c r="N38" s="46"/>
      <c r="O38" s="46"/>
      <c r="P38" s="46"/>
      <c r="Q38" s="46"/>
      <c r="R38" s="46"/>
      <c r="S38" s="46"/>
      <c r="T38" s="46"/>
      <c r="U38" s="46"/>
      <c r="V38" s="46"/>
      <c r="W38" s="46"/>
      <c r="X38" s="46"/>
      <c r="Y38" s="46"/>
      <c r="Z38" s="46"/>
    </row>
    <row r="39" spans="1:26" x14ac:dyDescent="0.25">
      <c r="A39" s="46"/>
      <c r="B39" s="46"/>
      <c r="C39" s="46"/>
      <c r="D39" s="46"/>
      <c r="E39" s="46"/>
      <c r="F39" s="46"/>
      <c r="G39" s="46"/>
      <c r="H39" s="46"/>
      <c r="I39" s="46"/>
      <c r="J39" s="46"/>
      <c r="K39" s="46"/>
      <c r="L39" s="46"/>
      <c r="M39" s="46"/>
      <c r="N39" s="46"/>
      <c r="O39" s="46"/>
      <c r="P39" s="46"/>
      <c r="Q39" s="46"/>
      <c r="R39" s="46"/>
      <c r="S39" s="46"/>
      <c r="T39" s="46"/>
      <c r="U39" s="46"/>
      <c r="V39" s="46"/>
      <c r="W39" s="46"/>
      <c r="X39" s="46"/>
      <c r="Y39" s="46"/>
      <c r="Z39" s="46"/>
    </row>
    <row r="40" spans="1:26" x14ac:dyDescent="0.25">
      <c r="A40" s="46"/>
      <c r="B40" s="46"/>
      <c r="C40" s="46"/>
      <c r="D40" s="46"/>
      <c r="E40" s="46"/>
      <c r="F40" s="46"/>
      <c r="G40" s="46"/>
      <c r="H40" s="46"/>
      <c r="I40" s="46"/>
      <c r="J40" s="46"/>
      <c r="K40" s="46"/>
      <c r="L40" s="46"/>
      <c r="M40" s="46"/>
      <c r="N40" s="46"/>
      <c r="O40" s="46"/>
      <c r="P40" s="46"/>
      <c r="Q40" s="46"/>
      <c r="R40" s="46"/>
      <c r="S40" s="46"/>
      <c r="T40" s="46"/>
      <c r="U40" s="46"/>
      <c r="V40" s="46"/>
      <c r="W40" s="46"/>
      <c r="X40" s="46"/>
      <c r="Y40" s="46"/>
      <c r="Z40" s="46"/>
    </row>
    <row r="41" spans="1:26" x14ac:dyDescent="0.25">
      <c r="A41" s="46"/>
      <c r="B41" s="46"/>
      <c r="C41" s="46"/>
      <c r="D41" s="46"/>
      <c r="E41" s="46"/>
      <c r="F41" s="46"/>
      <c r="G41" s="46"/>
      <c r="H41" s="46"/>
      <c r="I41" s="46"/>
      <c r="J41" s="46"/>
      <c r="K41" s="46"/>
      <c r="L41" s="46"/>
      <c r="M41" s="46"/>
      <c r="N41" s="46"/>
      <c r="O41" s="46"/>
      <c r="P41" s="46"/>
      <c r="Q41" s="46"/>
      <c r="R41" s="46"/>
      <c r="S41" s="46"/>
      <c r="T41" s="46"/>
      <c r="U41" s="46"/>
      <c r="V41" s="46"/>
      <c r="W41" s="46"/>
      <c r="X41" s="46"/>
      <c r="Y41" s="46"/>
      <c r="Z41" s="46"/>
    </row>
    <row r="42" spans="1:26" x14ac:dyDescent="0.25">
      <c r="A42" s="46"/>
      <c r="B42" s="46"/>
      <c r="C42" s="46"/>
      <c r="D42" s="46"/>
      <c r="E42" s="46"/>
      <c r="F42" s="46"/>
      <c r="G42" s="46"/>
      <c r="H42" s="46"/>
      <c r="I42" s="46"/>
      <c r="J42" s="46"/>
      <c r="K42" s="46"/>
      <c r="L42" s="46"/>
      <c r="M42" s="46"/>
      <c r="N42" s="46"/>
      <c r="O42" s="46"/>
      <c r="P42" s="46"/>
      <c r="Q42" s="46"/>
      <c r="R42" s="46"/>
      <c r="S42" s="46"/>
      <c r="T42" s="46"/>
      <c r="U42" s="46"/>
      <c r="V42" s="46"/>
      <c r="W42" s="46"/>
      <c r="X42" s="46"/>
      <c r="Y42" s="46"/>
      <c r="Z42" s="46"/>
    </row>
    <row r="43" spans="1:26" x14ac:dyDescent="0.25">
      <c r="A43" s="46"/>
      <c r="B43" s="46"/>
      <c r="C43" s="46"/>
      <c r="D43" s="46"/>
      <c r="E43" s="46"/>
      <c r="F43" s="46"/>
      <c r="G43" s="46"/>
      <c r="H43" s="46"/>
      <c r="I43" s="46"/>
      <c r="J43" s="46"/>
      <c r="K43" s="46"/>
      <c r="L43" s="46"/>
      <c r="M43" s="46"/>
      <c r="N43" s="46"/>
      <c r="O43" s="46"/>
      <c r="P43" s="46"/>
      <c r="Q43" s="46"/>
      <c r="R43" s="46"/>
      <c r="S43" s="46"/>
      <c r="T43" s="46"/>
      <c r="U43" s="46"/>
      <c r="V43" s="46"/>
      <c r="W43" s="46"/>
      <c r="X43" s="46"/>
      <c r="Y43" s="46"/>
      <c r="Z43" s="46"/>
    </row>
    <row r="44" spans="1:26" x14ac:dyDescent="0.25">
      <c r="A44" s="46"/>
      <c r="B44" s="46"/>
      <c r="C44" s="46"/>
      <c r="D44" s="46"/>
      <c r="E44" s="46"/>
      <c r="F44" s="46"/>
      <c r="G44" s="46"/>
      <c r="H44" s="46"/>
      <c r="I44" s="46"/>
      <c r="J44" s="46"/>
      <c r="K44" s="46"/>
      <c r="L44" s="46"/>
      <c r="M44" s="46"/>
      <c r="N44" s="46"/>
      <c r="O44" s="46"/>
      <c r="P44" s="46"/>
      <c r="Q44" s="46"/>
      <c r="R44" s="46"/>
      <c r="S44" s="46"/>
      <c r="T44" s="46"/>
      <c r="U44" s="46"/>
      <c r="V44" s="46"/>
      <c r="W44" s="46"/>
      <c r="X44" s="46"/>
      <c r="Y44" s="46"/>
      <c r="Z44" s="46"/>
    </row>
    <row r="45" spans="1:26" x14ac:dyDescent="0.25">
      <c r="A45" s="46"/>
      <c r="B45" s="46"/>
      <c r="C45" s="46"/>
      <c r="D45" s="46"/>
      <c r="E45" s="46"/>
      <c r="F45" s="46"/>
      <c r="G45" s="46"/>
      <c r="H45" s="46"/>
      <c r="I45" s="46"/>
      <c r="J45" s="46"/>
      <c r="K45" s="46"/>
      <c r="L45" s="46"/>
      <c r="M45" s="46"/>
      <c r="N45" s="46"/>
      <c r="O45" s="46"/>
      <c r="P45" s="46"/>
      <c r="Q45" s="46"/>
      <c r="R45" s="46"/>
      <c r="S45" s="46"/>
      <c r="T45" s="46"/>
      <c r="U45" s="46"/>
      <c r="V45" s="46"/>
      <c r="W45" s="46"/>
      <c r="X45" s="46"/>
      <c r="Y45" s="46"/>
      <c r="Z45" s="46"/>
    </row>
    <row r="46" spans="1:26" x14ac:dyDescent="0.25">
      <c r="A46" s="46"/>
      <c r="B46" s="46"/>
      <c r="C46" s="46"/>
      <c r="D46" s="46"/>
      <c r="E46" s="46"/>
      <c r="F46" s="46"/>
      <c r="G46" s="46"/>
      <c r="H46" s="46"/>
      <c r="I46" s="46"/>
      <c r="J46" s="46"/>
      <c r="K46" s="46"/>
      <c r="L46" s="46"/>
      <c r="M46" s="46"/>
      <c r="N46" s="46"/>
      <c r="O46" s="46"/>
      <c r="P46" s="46"/>
      <c r="Q46" s="46"/>
      <c r="R46" s="46"/>
      <c r="S46" s="46"/>
      <c r="T46" s="46"/>
      <c r="U46" s="46"/>
      <c r="V46" s="46"/>
      <c r="W46" s="46"/>
      <c r="X46" s="46"/>
      <c r="Y46" s="46"/>
      <c r="Z46" s="46"/>
    </row>
    <row r="47" spans="1:26" x14ac:dyDescent="0.25">
      <c r="A47" s="46"/>
      <c r="B47" s="46"/>
      <c r="C47" s="46"/>
      <c r="D47" s="46"/>
      <c r="E47" s="46"/>
      <c r="F47" s="46"/>
      <c r="G47" s="46"/>
      <c r="H47" s="46"/>
      <c r="I47" s="46"/>
      <c r="J47" s="46"/>
      <c r="K47" s="46"/>
      <c r="L47" s="46"/>
      <c r="M47" s="46"/>
      <c r="N47" s="46"/>
      <c r="O47" s="46"/>
      <c r="P47" s="46"/>
      <c r="Q47" s="46"/>
      <c r="R47" s="46"/>
      <c r="S47" s="46"/>
      <c r="T47" s="46"/>
      <c r="U47" s="46"/>
      <c r="V47" s="46"/>
      <c r="W47" s="46"/>
      <c r="X47" s="46"/>
      <c r="Y47" s="46"/>
      <c r="Z47" s="46"/>
    </row>
    <row r="48" spans="1:26" x14ac:dyDescent="0.25">
      <c r="A48" s="46"/>
      <c r="B48" s="46"/>
      <c r="C48" s="46"/>
      <c r="D48" s="46"/>
      <c r="E48" s="46"/>
      <c r="F48" s="46"/>
      <c r="G48" s="46"/>
      <c r="H48" s="46"/>
      <c r="I48" s="46"/>
      <c r="J48" s="46"/>
      <c r="K48" s="46"/>
      <c r="L48" s="46"/>
      <c r="M48" s="46"/>
      <c r="N48" s="46"/>
      <c r="O48" s="46"/>
      <c r="P48" s="46"/>
      <c r="Q48" s="46"/>
      <c r="R48" s="46"/>
      <c r="S48" s="46"/>
      <c r="T48" s="46"/>
      <c r="U48" s="46"/>
      <c r="V48" s="46"/>
      <c r="W48" s="46"/>
      <c r="X48" s="46"/>
      <c r="Y48" s="46"/>
      <c r="Z48" s="46"/>
    </row>
    <row r="49" spans="1:26" x14ac:dyDescent="0.25">
      <c r="A49" s="46"/>
      <c r="B49" s="46"/>
      <c r="C49" s="46"/>
      <c r="D49" s="46"/>
      <c r="E49" s="46"/>
      <c r="F49" s="46"/>
      <c r="G49" s="46"/>
      <c r="H49" s="46"/>
      <c r="I49" s="46"/>
      <c r="J49" s="46"/>
      <c r="K49" s="46"/>
      <c r="L49" s="46"/>
      <c r="M49" s="46"/>
      <c r="N49" s="46"/>
      <c r="O49" s="46"/>
      <c r="P49" s="46"/>
      <c r="Q49" s="46"/>
      <c r="R49" s="46"/>
      <c r="S49" s="46"/>
      <c r="T49" s="46"/>
      <c r="U49" s="46"/>
      <c r="V49" s="46"/>
      <c r="W49" s="46"/>
      <c r="X49" s="46"/>
      <c r="Y49" s="46"/>
      <c r="Z49" s="46"/>
    </row>
    <row r="50" spans="1:26" x14ac:dyDescent="0.25">
      <c r="A50" s="46"/>
      <c r="B50" s="46"/>
      <c r="C50" s="46"/>
      <c r="D50" s="46"/>
      <c r="E50" s="46"/>
      <c r="F50" s="46"/>
      <c r="G50" s="46"/>
      <c r="H50" s="46"/>
      <c r="I50" s="46"/>
      <c r="J50" s="46"/>
      <c r="K50" s="46"/>
      <c r="L50" s="46"/>
      <c r="M50" s="46"/>
      <c r="N50" s="46"/>
      <c r="O50" s="46"/>
      <c r="P50" s="46"/>
      <c r="Q50" s="46"/>
      <c r="R50" s="46"/>
      <c r="S50" s="46"/>
      <c r="T50" s="46"/>
      <c r="U50" s="46"/>
      <c r="V50" s="46"/>
      <c r="W50" s="46"/>
      <c r="X50" s="46"/>
      <c r="Y50" s="46"/>
      <c r="Z50" s="46"/>
    </row>
    <row r="51" spans="1:26" x14ac:dyDescent="0.25">
      <c r="A51" s="46"/>
      <c r="B51" s="46"/>
      <c r="C51" s="46"/>
      <c r="D51" s="46"/>
      <c r="E51" s="46"/>
      <c r="F51" s="46"/>
      <c r="G51" s="46"/>
      <c r="H51" s="46"/>
      <c r="I51" s="46"/>
      <c r="J51" s="46"/>
      <c r="K51" s="46"/>
      <c r="L51" s="46"/>
      <c r="M51" s="46"/>
      <c r="N51" s="46"/>
      <c r="O51" s="46"/>
      <c r="P51" s="46"/>
      <c r="Q51" s="46"/>
      <c r="R51" s="46"/>
      <c r="S51" s="46"/>
      <c r="T51" s="46"/>
      <c r="U51" s="46"/>
      <c r="V51" s="46"/>
      <c r="W51" s="46"/>
      <c r="X51" s="46"/>
      <c r="Y51" s="46"/>
      <c r="Z51" s="46"/>
    </row>
    <row r="52" spans="1:26" x14ac:dyDescent="0.25">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row>
    <row r="53" spans="1:26" x14ac:dyDescent="0.25">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row>
    <row r="54" spans="1:26" x14ac:dyDescent="0.25">
      <c r="A54" s="46"/>
      <c r="B54" s="46"/>
      <c r="C54" s="46"/>
      <c r="D54" s="46"/>
      <c r="E54" s="46"/>
      <c r="F54" s="46"/>
      <c r="G54" s="46"/>
      <c r="H54" s="46"/>
      <c r="I54" s="46"/>
      <c r="J54" s="46"/>
      <c r="K54" s="46"/>
      <c r="L54" s="46"/>
      <c r="M54" s="46"/>
      <c r="N54" s="46"/>
      <c r="O54" s="46"/>
      <c r="P54" s="46"/>
      <c r="Q54" s="46"/>
      <c r="R54" s="46"/>
      <c r="S54" s="46"/>
      <c r="T54" s="46"/>
      <c r="U54" s="46"/>
      <c r="V54" s="46"/>
      <c r="W54" s="46"/>
      <c r="X54" s="46"/>
      <c r="Y54" s="46"/>
      <c r="Z54" s="46"/>
    </row>
    <row r="55" spans="1:26" x14ac:dyDescent="0.25">
      <c r="A55" s="46"/>
      <c r="B55" s="46"/>
      <c r="C55" s="46"/>
      <c r="D55" s="46"/>
      <c r="E55" s="46"/>
      <c r="F55" s="46"/>
      <c r="G55" s="46"/>
      <c r="H55" s="46"/>
      <c r="I55" s="46"/>
      <c r="J55" s="46"/>
      <c r="K55" s="46"/>
      <c r="L55" s="46"/>
      <c r="M55" s="46"/>
      <c r="N55" s="46"/>
      <c r="O55" s="46"/>
      <c r="P55" s="46"/>
      <c r="Q55" s="46"/>
      <c r="R55" s="46"/>
      <c r="S55" s="46"/>
      <c r="T55" s="46"/>
      <c r="U55" s="46"/>
      <c r="V55" s="46"/>
      <c r="W55" s="46"/>
      <c r="X55" s="46"/>
      <c r="Y55" s="46"/>
      <c r="Z55" s="46"/>
    </row>
    <row r="56" spans="1:26" x14ac:dyDescent="0.25">
      <c r="A56" s="46"/>
      <c r="B56" s="46"/>
      <c r="C56" s="46"/>
      <c r="D56" s="46"/>
      <c r="E56" s="46"/>
      <c r="F56" s="46"/>
      <c r="G56" s="46"/>
      <c r="H56" s="46"/>
      <c r="I56" s="46"/>
      <c r="J56" s="46"/>
      <c r="K56" s="46"/>
      <c r="L56" s="46"/>
      <c r="M56" s="46"/>
      <c r="N56" s="46"/>
      <c r="O56" s="46"/>
      <c r="P56" s="46"/>
      <c r="Q56" s="46"/>
      <c r="R56" s="46"/>
      <c r="S56" s="46"/>
      <c r="T56" s="46"/>
      <c r="U56" s="46"/>
      <c r="V56" s="46"/>
      <c r="W56" s="46"/>
      <c r="X56" s="46"/>
      <c r="Y56" s="46"/>
      <c r="Z56" s="46"/>
    </row>
    <row r="57" spans="1:26" x14ac:dyDescent="0.25">
      <c r="A57" s="46"/>
      <c r="B57" s="46"/>
      <c r="C57" s="46"/>
      <c r="D57" s="46"/>
      <c r="E57" s="46"/>
      <c r="F57" s="46"/>
      <c r="G57" s="46"/>
      <c r="H57" s="46"/>
      <c r="I57" s="46"/>
      <c r="J57" s="46"/>
      <c r="K57" s="46"/>
      <c r="L57" s="46"/>
      <c r="M57" s="46"/>
      <c r="N57" s="46"/>
      <c r="O57" s="46"/>
      <c r="P57" s="46"/>
      <c r="Q57" s="46"/>
      <c r="R57" s="46"/>
      <c r="S57" s="46"/>
      <c r="T57" s="46"/>
      <c r="U57" s="46"/>
      <c r="V57" s="46"/>
      <c r="W57" s="46"/>
      <c r="X57" s="46"/>
      <c r="Y57" s="46"/>
      <c r="Z57" s="46"/>
    </row>
    <row r="58" spans="1:26" x14ac:dyDescent="0.25">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row>
    <row r="59" spans="1:26" x14ac:dyDescent="0.25">
      <c r="A59" s="46"/>
      <c r="B59" s="46"/>
      <c r="C59" s="46"/>
      <c r="D59" s="46"/>
      <c r="E59" s="46"/>
      <c r="F59" s="46"/>
      <c r="G59" s="46"/>
      <c r="H59" s="46"/>
      <c r="I59" s="46"/>
      <c r="J59" s="46"/>
      <c r="K59" s="46"/>
      <c r="L59" s="46"/>
      <c r="M59" s="46"/>
      <c r="N59" s="46"/>
      <c r="O59" s="46"/>
      <c r="P59" s="46"/>
      <c r="Q59" s="46"/>
      <c r="R59" s="46"/>
      <c r="S59" s="46"/>
      <c r="T59" s="46"/>
      <c r="U59" s="46"/>
      <c r="V59" s="46"/>
      <c r="W59" s="46"/>
      <c r="X59" s="46"/>
      <c r="Y59" s="46"/>
      <c r="Z59" s="46"/>
    </row>
    <row r="60" spans="1:26" x14ac:dyDescent="0.25">
      <c r="A60" s="46"/>
      <c r="B60" s="46"/>
      <c r="C60" s="46"/>
      <c r="D60" s="46"/>
      <c r="E60" s="46"/>
      <c r="F60" s="46"/>
      <c r="G60" s="46"/>
      <c r="H60" s="46"/>
      <c r="I60" s="46"/>
      <c r="J60" s="46"/>
      <c r="K60" s="46"/>
      <c r="L60" s="46"/>
      <c r="M60" s="46"/>
      <c r="N60" s="46"/>
      <c r="O60" s="46"/>
      <c r="P60" s="46"/>
      <c r="Q60" s="46"/>
      <c r="R60" s="46"/>
      <c r="S60" s="46"/>
      <c r="T60" s="46"/>
      <c r="U60" s="46"/>
      <c r="V60" s="46"/>
      <c r="W60" s="46"/>
      <c r="X60" s="46"/>
      <c r="Y60" s="46"/>
      <c r="Z60" s="46"/>
    </row>
    <row r="61" spans="1:26" x14ac:dyDescent="0.25">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row>
    <row r="62" spans="1:26" x14ac:dyDescent="0.25">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row>
    <row r="63" spans="1:26" x14ac:dyDescent="0.25">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row>
    <row r="64" spans="1:26" x14ac:dyDescent="0.25">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spans="1:26" x14ac:dyDescent="0.25">
      <c r="A65" s="46"/>
      <c r="B65" s="46"/>
      <c r="C65" s="46"/>
      <c r="D65" s="46"/>
      <c r="E65" s="46"/>
      <c r="F65" s="46"/>
      <c r="G65" s="46"/>
      <c r="H65" s="46"/>
      <c r="I65" s="46"/>
      <c r="J65" s="46"/>
      <c r="K65" s="46"/>
      <c r="L65" s="46"/>
      <c r="M65" s="46"/>
      <c r="N65" s="46"/>
      <c r="O65" s="46"/>
      <c r="P65" s="46"/>
      <c r="Q65" s="46"/>
      <c r="R65" s="46"/>
      <c r="S65" s="46"/>
      <c r="T65" s="46"/>
      <c r="U65" s="46"/>
      <c r="V65" s="46"/>
      <c r="W65" s="46"/>
      <c r="X65" s="46"/>
      <c r="Y65" s="46"/>
      <c r="Z65" s="46"/>
    </row>
    <row r="66" spans="1:26" x14ac:dyDescent="0.25">
      <c r="A66" s="46"/>
      <c r="B66" s="46"/>
      <c r="C66" s="46"/>
      <c r="D66" s="46"/>
      <c r="E66" s="46"/>
      <c r="F66" s="46"/>
      <c r="G66" s="46"/>
      <c r="H66" s="46"/>
      <c r="I66" s="46"/>
      <c r="J66" s="46"/>
      <c r="K66" s="46"/>
      <c r="L66" s="46"/>
      <c r="M66" s="46"/>
      <c r="N66" s="46"/>
      <c r="O66" s="46"/>
      <c r="P66" s="46"/>
      <c r="Q66" s="46"/>
      <c r="R66" s="46"/>
      <c r="S66" s="46"/>
      <c r="T66" s="46"/>
      <c r="U66" s="46"/>
      <c r="V66" s="46"/>
      <c r="W66" s="46"/>
      <c r="X66" s="46"/>
      <c r="Y66" s="46"/>
      <c r="Z66" s="46"/>
    </row>
    <row r="67" spans="1:26" x14ac:dyDescent="0.25">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row>
    <row r="68" spans="1:26" x14ac:dyDescent="0.25">
      <c r="A68" s="46"/>
      <c r="B68" s="46"/>
      <c r="C68" s="46"/>
      <c r="D68" s="46"/>
      <c r="E68" s="46"/>
      <c r="F68" s="46"/>
      <c r="G68" s="46"/>
      <c r="H68" s="46"/>
      <c r="I68" s="46"/>
      <c r="J68" s="46"/>
      <c r="K68" s="46"/>
      <c r="L68" s="46"/>
      <c r="M68" s="46"/>
      <c r="N68" s="46"/>
      <c r="O68" s="46"/>
      <c r="P68" s="46"/>
      <c r="Q68" s="46"/>
      <c r="R68" s="46"/>
      <c r="S68" s="46"/>
      <c r="T68" s="46"/>
      <c r="U68" s="46"/>
      <c r="V68" s="46"/>
      <c r="W68" s="46"/>
      <c r="X68" s="46"/>
      <c r="Y68" s="46"/>
      <c r="Z68" s="46"/>
    </row>
    <row r="69" spans="1:26" x14ac:dyDescent="0.25">
      <c r="A69" s="46"/>
      <c r="B69" s="46"/>
      <c r="C69" s="46"/>
      <c r="D69" s="46"/>
      <c r="E69" s="46"/>
      <c r="F69" s="46"/>
      <c r="G69" s="46"/>
      <c r="H69" s="46"/>
      <c r="I69" s="46"/>
      <c r="J69" s="46"/>
      <c r="K69" s="46"/>
      <c r="L69" s="46"/>
      <c r="M69" s="46"/>
      <c r="N69" s="46"/>
      <c r="O69" s="46"/>
      <c r="P69" s="46"/>
      <c r="Q69" s="46"/>
      <c r="R69" s="46"/>
      <c r="S69" s="46"/>
      <c r="T69" s="46"/>
      <c r="U69" s="46"/>
      <c r="V69" s="46"/>
      <c r="W69" s="46"/>
      <c r="X69" s="46"/>
      <c r="Y69" s="46"/>
      <c r="Z69" s="46"/>
    </row>
    <row r="70" spans="1:26" x14ac:dyDescent="0.25">
      <c r="A70" s="46"/>
      <c r="B70" s="46"/>
      <c r="C70" s="46"/>
      <c r="D70" s="46"/>
      <c r="E70" s="46"/>
      <c r="F70" s="46"/>
      <c r="G70" s="46"/>
      <c r="H70" s="46"/>
      <c r="I70" s="46"/>
      <c r="J70" s="46"/>
      <c r="K70" s="46"/>
      <c r="L70" s="46"/>
      <c r="M70" s="46"/>
      <c r="N70" s="46"/>
      <c r="O70" s="46"/>
      <c r="P70" s="46"/>
      <c r="Q70" s="46"/>
      <c r="R70" s="46"/>
      <c r="S70" s="46"/>
      <c r="T70" s="46"/>
      <c r="U70" s="46"/>
      <c r="V70" s="46"/>
      <c r="W70" s="46"/>
      <c r="X70" s="46"/>
      <c r="Y70" s="46"/>
      <c r="Z70" s="46"/>
    </row>
    <row r="71" spans="1:26" x14ac:dyDescent="0.25">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row>
    <row r="72" spans="1:26" x14ac:dyDescent="0.25">
      <c r="A72" s="46"/>
      <c r="B72" s="46"/>
      <c r="C72" s="46"/>
      <c r="D72" s="46"/>
      <c r="E72" s="46"/>
      <c r="F72" s="46"/>
      <c r="G72" s="46"/>
      <c r="H72" s="46"/>
      <c r="I72" s="46"/>
      <c r="J72" s="46"/>
      <c r="K72" s="46"/>
      <c r="L72" s="46"/>
      <c r="M72" s="46"/>
      <c r="N72" s="46"/>
      <c r="O72" s="46"/>
      <c r="P72" s="46"/>
      <c r="Q72" s="46"/>
      <c r="R72" s="46"/>
      <c r="S72" s="46"/>
      <c r="T72" s="46"/>
      <c r="U72" s="46"/>
      <c r="V72" s="46"/>
      <c r="W72" s="46"/>
      <c r="X72" s="46"/>
      <c r="Y72" s="46"/>
      <c r="Z72" s="46"/>
    </row>
    <row r="73" spans="1:26" x14ac:dyDescent="0.25">
      <c r="A73" s="46"/>
      <c r="B73" s="46"/>
      <c r="C73" s="46"/>
      <c r="D73" s="46"/>
      <c r="E73" s="46"/>
      <c r="F73" s="46"/>
      <c r="G73" s="46"/>
      <c r="H73" s="46"/>
      <c r="I73" s="46"/>
      <c r="J73" s="46"/>
      <c r="K73" s="46"/>
      <c r="L73" s="46"/>
      <c r="M73" s="46"/>
      <c r="N73" s="46"/>
      <c r="O73" s="46"/>
      <c r="P73" s="46"/>
      <c r="Q73" s="46"/>
      <c r="R73" s="46"/>
      <c r="S73" s="46"/>
      <c r="T73" s="46"/>
      <c r="U73" s="46"/>
      <c r="V73" s="46"/>
      <c r="W73" s="46"/>
      <c r="X73" s="46"/>
      <c r="Y73" s="46"/>
      <c r="Z73" s="46"/>
    </row>
    <row r="74" spans="1:26" x14ac:dyDescent="0.25">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spans="1:26" x14ac:dyDescent="0.25">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row>
    <row r="76" spans="1:26" x14ac:dyDescent="0.25">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row>
    <row r="77" spans="1:26" x14ac:dyDescent="0.25">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row>
    <row r="78" spans="1:26" x14ac:dyDescent="0.25">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row>
    <row r="79" spans="1:26" x14ac:dyDescent="0.25">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row>
    <row r="80" spans="1:26" x14ac:dyDescent="0.25">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x14ac:dyDescent="0.25">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row>
    <row r="83" spans="1:26" x14ac:dyDescent="0.25">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row>
    <row r="84" spans="1:26" x14ac:dyDescent="0.25">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spans="1:26" x14ac:dyDescent="0.25">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row>
    <row r="86" spans="1:26" x14ac:dyDescent="0.25">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row>
    <row r="87" spans="1:26" x14ac:dyDescent="0.25">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spans="1:26" x14ac:dyDescent="0.25">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row>
    <row r="89" spans="1:26" x14ac:dyDescent="0.25">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row>
    <row r="90" spans="1:26" x14ac:dyDescent="0.25">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row>
    <row r="91" spans="1:26"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spans="1:26"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spans="1:26" x14ac:dyDescent="0.25">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x14ac:dyDescent="0.25">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x14ac:dyDescent="0.25">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x14ac:dyDescent="0.25">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spans="1:26" x14ac:dyDescent="0.25">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0" spans="1:26" x14ac:dyDescent="0.25">
      <c r="A100" s="46"/>
      <c r="B100" s="46"/>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row>
    <row r="101" spans="1:26" x14ac:dyDescent="0.25">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row>
    <row r="102" spans="1:26" x14ac:dyDescent="0.25">
      <c r="A102" s="46"/>
      <c r="B102" s="46"/>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row>
    <row r="103" spans="1:26" x14ac:dyDescent="0.25">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row>
    <row r="104" spans="1:26" x14ac:dyDescent="0.2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row>
    <row r="105" spans="1:26" x14ac:dyDescent="0.25">
      <c r="A105" s="46"/>
      <c r="B105" s="46"/>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row>
    <row r="106" spans="1:26" x14ac:dyDescent="0.25">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row>
    <row r="107" spans="1:26" x14ac:dyDescent="0.25">
      <c r="A107" s="46"/>
      <c r="B107" s="46"/>
      <c r="C107" s="46"/>
      <c r="D107" s="46"/>
      <c r="E107" s="46"/>
      <c r="F107" s="46"/>
      <c r="G107" s="46"/>
      <c r="H107" s="46"/>
      <c r="I107" s="46"/>
      <c r="J107" s="46"/>
      <c r="K107" s="46"/>
      <c r="L107" s="46"/>
      <c r="M107" s="46"/>
      <c r="N107" s="46"/>
      <c r="O107" s="46"/>
      <c r="P107" s="46"/>
      <c r="Q107" s="46"/>
      <c r="R107" s="46"/>
      <c r="S107" s="46"/>
      <c r="T107" s="46"/>
      <c r="U107" s="46"/>
      <c r="V107" s="46"/>
      <c r="W107" s="46"/>
      <c r="X107" s="46"/>
      <c r="Y107" s="46"/>
      <c r="Z107" s="46"/>
    </row>
    <row r="108" spans="1:26" x14ac:dyDescent="0.25">
      <c r="A108" s="46"/>
      <c r="B108" s="46"/>
      <c r="C108" s="46"/>
      <c r="D108" s="46"/>
      <c r="E108" s="46"/>
      <c r="F108" s="46"/>
      <c r="G108" s="46"/>
      <c r="H108" s="46"/>
      <c r="I108" s="46"/>
      <c r="J108" s="46"/>
      <c r="K108" s="46"/>
      <c r="L108" s="46"/>
      <c r="M108" s="46"/>
      <c r="N108" s="46"/>
      <c r="O108" s="46"/>
      <c r="P108" s="46"/>
      <c r="Q108" s="46"/>
      <c r="R108" s="46"/>
      <c r="S108" s="46"/>
      <c r="T108" s="46"/>
      <c r="U108" s="46"/>
      <c r="V108" s="46"/>
      <c r="W108" s="46"/>
      <c r="X108" s="46"/>
      <c r="Y108" s="46"/>
      <c r="Z108" s="46"/>
    </row>
    <row r="109" spans="1:26" x14ac:dyDescent="0.25">
      <c r="A109" s="46"/>
      <c r="B109" s="46"/>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row>
    <row r="110" spans="1:26" x14ac:dyDescent="0.25">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row>
    <row r="111" spans="1:26" x14ac:dyDescent="0.25">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spans="1:26" x14ac:dyDescent="0.25">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spans="1:26" x14ac:dyDescent="0.25">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row>
    <row r="114" spans="1:26" x14ac:dyDescent="0.25">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row>
    <row r="115" spans="1:26" x14ac:dyDescent="0.2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spans="1:26" x14ac:dyDescent="0.25">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spans="1:26" x14ac:dyDescent="0.25">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spans="1:26" x14ac:dyDescent="0.25">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spans="1:26" x14ac:dyDescent="0.25">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spans="1:26" x14ac:dyDescent="0.25">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spans="1:26" x14ac:dyDescent="0.25">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spans="1:26" x14ac:dyDescent="0.25">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spans="1:26" x14ac:dyDescent="0.25">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spans="1:26" x14ac:dyDescent="0.25">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spans="1:26" x14ac:dyDescent="0.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spans="1:26" x14ac:dyDescent="0.25">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spans="1:26" x14ac:dyDescent="0.25">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spans="1:26" x14ac:dyDescent="0.25">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spans="1:26" x14ac:dyDescent="0.25">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spans="1:26" x14ac:dyDescent="0.25">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spans="1:26" x14ac:dyDescent="0.25">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spans="1:26" x14ac:dyDescent="0.25">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spans="1:26" x14ac:dyDescent="0.25">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spans="1:26" x14ac:dyDescent="0.25">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spans="1:26" x14ac:dyDescent="0.2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spans="1:26" x14ac:dyDescent="0.25">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spans="1:26" x14ac:dyDescent="0.25">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spans="1:26" x14ac:dyDescent="0.25">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spans="1:26" x14ac:dyDescent="0.25">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spans="1:26" x14ac:dyDescent="0.25">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spans="1:26" x14ac:dyDescent="0.25">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spans="1:26" x14ac:dyDescent="0.25">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spans="1:26" x14ac:dyDescent="0.25">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spans="1:26" x14ac:dyDescent="0.25">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spans="1:26" x14ac:dyDescent="0.2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spans="1:26" x14ac:dyDescent="0.25">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spans="1:26" x14ac:dyDescent="0.25">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spans="1:26" x14ac:dyDescent="0.25">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spans="1:26" x14ac:dyDescent="0.25">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spans="1:26" x14ac:dyDescent="0.25">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spans="1:26" x14ac:dyDescent="0.25">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spans="1:26" x14ac:dyDescent="0.25">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spans="1:26" x14ac:dyDescent="0.25">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spans="1:26" x14ac:dyDescent="0.25">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spans="1:26" x14ac:dyDescent="0.2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spans="1:26" x14ac:dyDescent="0.25">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spans="1:26" x14ac:dyDescent="0.25">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spans="1:26" x14ac:dyDescent="0.25">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spans="1:26" x14ac:dyDescent="0.25">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spans="1:26" x14ac:dyDescent="0.25">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spans="1:26" x14ac:dyDescent="0.25">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spans="1:26" x14ac:dyDescent="0.25">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spans="1:26" x14ac:dyDescent="0.25">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spans="1:26" x14ac:dyDescent="0.25">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spans="1:26" x14ac:dyDescent="0.2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spans="1:26" x14ac:dyDescent="0.25">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spans="1:26" x14ac:dyDescent="0.25">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spans="1:26" x14ac:dyDescent="0.25">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spans="1:26" x14ac:dyDescent="0.25">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spans="1:26" x14ac:dyDescent="0.25">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spans="1:26" x14ac:dyDescent="0.25">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spans="1:26" x14ac:dyDescent="0.25">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spans="1:26" x14ac:dyDescent="0.25">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spans="1:26" x14ac:dyDescent="0.25">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spans="1:26" x14ac:dyDescent="0.2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spans="1:26" x14ac:dyDescent="0.25">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spans="1:26" x14ac:dyDescent="0.25">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spans="1:26" x14ac:dyDescent="0.25">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spans="1:26" x14ac:dyDescent="0.25">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spans="1:26" x14ac:dyDescent="0.25">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spans="1:26" x14ac:dyDescent="0.25">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spans="1:26" x14ac:dyDescent="0.25">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spans="1:26" x14ac:dyDescent="0.25">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spans="1:26" x14ac:dyDescent="0.25">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spans="1:26" x14ac:dyDescent="0.2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spans="1:26" x14ac:dyDescent="0.25">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spans="1:26" x14ac:dyDescent="0.25">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spans="1:26" x14ac:dyDescent="0.25">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spans="1:26" x14ac:dyDescent="0.25">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spans="1:26" x14ac:dyDescent="0.25">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spans="1:26" x14ac:dyDescent="0.25">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spans="1:26" x14ac:dyDescent="0.25">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spans="1:26" x14ac:dyDescent="0.25">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spans="1:26" x14ac:dyDescent="0.25">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spans="1:26" x14ac:dyDescent="0.2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spans="1:26" x14ac:dyDescent="0.25">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spans="1:26" x14ac:dyDescent="0.25">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spans="1:26" x14ac:dyDescent="0.25">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spans="1:26" x14ac:dyDescent="0.25">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spans="1:26" x14ac:dyDescent="0.25">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spans="1:26" x14ac:dyDescent="0.25">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spans="1:26" x14ac:dyDescent="0.25">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spans="1:26" x14ac:dyDescent="0.25">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spans="1:26" x14ac:dyDescent="0.25">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spans="1:26" x14ac:dyDescent="0.2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spans="1:26" x14ac:dyDescent="0.25">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spans="1:26" x14ac:dyDescent="0.25">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spans="1:26" x14ac:dyDescent="0.25">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spans="1:26" x14ac:dyDescent="0.25">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spans="1:26" x14ac:dyDescent="0.25">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spans="1:26" x14ac:dyDescent="0.25">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spans="1:26" x14ac:dyDescent="0.25">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spans="1:26" x14ac:dyDescent="0.25">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spans="1:26" x14ac:dyDescent="0.25">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spans="1:26" x14ac:dyDescent="0.2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spans="1:26" x14ac:dyDescent="0.25">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spans="1:26" x14ac:dyDescent="0.25">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spans="1:26" x14ac:dyDescent="0.25">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spans="1:26" x14ac:dyDescent="0.25">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spans="1:26" x14ac:dyDescent="0.25">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spans="1:26" x14ac:dyDescent="0.25">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spans="1:26" x14ac:dyDescent="0.25">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spans="1:26" x14ac:dyDescent="0.25">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spans="1:26" x14ac:dyDescent="0.25">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spans="1:26" x14ac:dyDescent="0.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spans="1:26" x14ac:dyDescent="0.25">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spans="1:26" x14ac:dyDescent="0.25">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spans="1:26" x14ac:dyDescent="0.25">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spans="1:26" x14ac:dyDescent="0.25">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spans="1:26" x14ac:dyDescent="0.25">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spans="1:26" x14ac:dyDescent="0.25">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spans="1:26" x14ac:dyDescent="0.25">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spans="1:26" x14ac:dyDescent="0.25">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spans="1:26" x14ac:dyDescent="0.25">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spans="1:26" x14ac:dyDescent="0.2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spans="1:26" x14ac:dyDescent="0.25">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spans="1:26" x14ac:dyDescent="0.25">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spans="1:26" x14ac:dyDescent="0.25">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spans="1:26" x14ac:dyDescent="0.25">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spans="1:26" x14ac:dyDescent="0.25">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spans="1:26" x14ac:dyDescent="0.25">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spans="1:26" x14ac:dyDescent="0.25">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spans="1:26" x14ac:dyDescent="0.25">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spans="1:26" x14ac:dyDescent="0.25">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spans="1:26" x14ac:dyDescent="0.2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spans="1:26" x14ac:dyDescent="0.25">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spans="1:26" x14ac:dyDescent="0.25">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spans="1:26" x14ac:dyDescent="0.25">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spans="1:26" x14ac:dyDescent="0.25">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spans="1:26" x14ac:dyDescent="0.25">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spans="1:26" x14ac:dyDescent="0.25">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spans="1:26" x14ac:dyDescent="0.25">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spans="1:26" x14ac:dyDescent="0.25">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spans="1:26" x14ac:dyDescent="0.25">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spans="1:26" x14ac:dyDescent="0.2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spans="1:26" x14ac:dyDescent="0.25">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spans="1:26" x14ac:dyDescent="0.25">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spans="1:26" x14ac:dyDescent="0.25">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spans="1:26" x14ac:dyDescent="0.25">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spans="1:26" x14ac:dyDescent="0.25">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spans="1:26" x14ac:dyDescent="0.25">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spans="1:26" x14ac:dyDescent="0.25">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spans="1:26" x14ac:dyDescent="0.25">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spans="1:26" x14ac:dyDescent="0.25">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spans="1:26" x14ac:dyDescent="0.2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spans="1:26" x14ac:dyDescent="0.25">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spans="1:26" x14ac:dyDescent="0.25">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spans="1:26" x14ac:dyDescent="0.25">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spans="1:26" x14ac:dyDescent="0.25">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spans="1:26" x14ac:dyDescent="0.25">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spans="1:26" x14ac:dyDescent="0.25">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spans="1:26" x14ac:dyDescent="0.25">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spans="1:26" x14ac:dyDescent="0.25">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spans="1:26" x14ac:dyDescent="0.25">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spans="1:26" x14ac:dyDescent="0.2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spans="1:26" x14ac:dyDescent="0.25">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spans="1:26" x14ac:dyDescent="0.25">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spans="1:26" x14ac:dyDescent="0.25">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spans="1:26" x14ac:dyDescent="0.25">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spans="1:26" x14ac:dyDescent="0.25">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spans="1:26" x14ac:dyDescent="0.25">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spans="1:26" x14ac:dyDescent="0.25">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spans="1:26" x14ac:dyDescent="0.25">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spans="1:26" x14ac:dyDescent="0.25">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spans="1:26" x14ac:dyDescent="0.2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spans="1:26" x14ac:dyDescent="0.25">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spans="1:26" x14ac:dyDescent="0.25">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spans="1:26" x14ac:dyDescent="0.25">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spans="1:26" x14ac:dyDescent="0.25">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spans="1:26" x14ac:dyDescent="0.25">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spans="1:26" x14ac:dyDescent="0.25">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spans="1:26" x14ac:dyDescent="0.25">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spans="1:26" x14ac:dyDescent="0.25">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spans="1:26" x14ac:dyDescent="0.25">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spans="1:26" x14ac:dyDescent="0.2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spans="1:26" x14ac:dyDescent="0.25">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spans="1:26" x14ac:dyDescent="0.25">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spans="1:26" x14ac:dyDescent="0.25">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spans="1:26" x14ac:dyDescent="0.25">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spans="1:26" x14ac:dyDescent="0.25">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spans="1:26" x14ac:dyDescent="0.25">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spans="1:26" x14ac:dyDescent="0.25">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spans="1:26" x14ac:dyDescent="0.25">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spans="1:26" x14ac:dyDescent="0.25">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spans="1:26" x14ac:dyDescent="0.2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spans="1:26" x14ac:dyDescent="0.25">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spans="1:26" x14ac:dyDescent="0.25">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spans="1:26" x14ac:dyDescent="0.25">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spans="1:26" x14ac:dyDescent="0.25">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spans="1:26" x14ac:dyDescent="0.25">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spans="1:26" x14ac:dyDescent="0.25">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spans="1:26" x14ac:dyDescent="0.25">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spans="1:26" x14ac:dyDescent="0.25">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spans="1:26" x14ac:dyDescent="0.25">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spans="1:26" x14ac:dyDescent="0.2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spans="1:26" x14ac:dyDescent="0.25">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spans="1:26" x14ac:dyDescent="0.25">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spans="1:26" x14ac:dyDescent="0.25">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spans="1:26" x14ac:dyDescent="0.25">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spans="1:26" x14ac:dyDescent="0.25">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spans="1:26" x14ac:dyDescent="0.25">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spans="1:26" x14ac:dyDescent="0.25">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spans="1:26" x14ac:dyDescent="0.25">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spans="1:26" x14ac:dyDescent="0.25">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spans="1:26" x14ac:dyDescent="0.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spans="1:26" x14ac:dyDescent="0.25">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spans="1:26" x14ac:dyDescent="0.25">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spans="1:26" x14ac:dyDescent="0.25">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spans="1:26" x14ac:dyDescent="0.25">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spans="1:26" x14ac:dyDescent="0.25">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spans="1:26" x14ac:dyDescent="0.25">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spans="1:26" x14ac:dyDescent="0.25">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spans="1:26" x14ac:dyDescent="0.25">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spans="1:26" x14ac:dyDescent="0.25">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spans="1:26" x14ac:dyDescent="0.2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spans="1:26" x14ac:dyDescent="0.25">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spans="1:26" x14ac:dyDescent="0.25">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spans="1:26" x14ac:dyDescent="0.25">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spans="1:26" x14ac:dyDescent="0.25">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spans="1:26" x14ac:dyDescent="0.25">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spans="1:26" x14ac:dyDescent="0.25">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spans="1:26" x14ac:dyDescent="0.25">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spans="1:26" x14ac:dyDescent="0.25">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spans="1:26" x14ac:dyDescent="0.25">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spans="1:26" x14ac:dyDescent="0.2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spans="1:26" x14ac:dyDescent="0.25">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spans="1:26" x14ac:dyDescent="0.25">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spans="1:26" x14ac:dyDescent="0.25">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spans="1:26" x14ac:dyDescent="0.25">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spans="1:26" x14ac:dyDescent="0.25">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spans="1:26" x14ac:dyDescent="0.25">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spans="1:26" x14ac:dyDescent="0.25">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spans="1:26" x14ac:dyDescent="0.25">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spans="1:26" x14ac:dyDescent="0.25">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spans="1:26" x14ac:dyDescent="0.2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spans="1:26" x14ac:dyDescent="0.25">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spans="1:26" x14ac:dyDescent="0.25">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spans="1:26" x14ac:dyDescent="0.25">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spans="1:26" x14ac:dyDescent="0.25">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spans="1:26" x14ac:dyDescent="0.25">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spans="1:26" x14ac:dyDescent="0.25">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spans="1:26" x14ac:dyDescent="0.25">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spans="1:26" x14ac:dyDescent="0.25">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spans="1:26" x14ac:dyDescent="0.25">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spans="1:26" x14ac:dyDescent="0.2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spans="1:26" x14ac:dyDescent="0.25">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spans="1:26" x14ac:dyDescent="0.25">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spans="1:26" x14ac:dyDescent="0.25">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spans="1:26" x14ac:dyDescent="0.25">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spans="1:26" x14ac:dyDescent="0.25">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spans="1:26" x14ac:dyDescent="0.25">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spans="1:26" x14ac:dyDescent="0.25">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spans="1:26" x14ac:dyDescent="0.25">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spans="1:26" x14ac:dyDescent="0.25">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spans="1:26" x14ac:dyDescent="0.2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spans="1:26" x14ac:dyDescent="0.25">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spans="1:26" x14ac:dyDescent="0.25">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spans="1:26" x14ac:dyDescent="0.25">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spans="1:26" x14ac:dyDescent="0.25">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spans="1:26" x14ac:dyDescent="0.25">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spans="1:26" x14ac:dyDescent="0.25">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spans="1:26" x14ac:dyDescent="0.25">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spans="1:26" x14ac:dyDescent="0.25">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spans="1:26" x14ac:dyDescent="0.25">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spans="1:26" x14ac:dyDescent="0.2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spans="1:26" x14ac:dyDescent="0.25">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spans="1:26" x14ac:dyDescent="0.25">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spans="1:26" x14ac:dyDescent="0.25">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spans="1:26" x14ac:dyDescent="0.25">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spans="1:26" x14ac:dyDescent="0.25">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spans="1:26" x14ac:dyDescent="0.25">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spans="1:26" x14ac:dyDescent="0.25">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spans="1:26" x14ac:dyDescent="0.25">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spans="1:26" x14ac:dyDescent="0.25">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spans="1:26" x14ac:dyDescent="0.2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spans="1:26" x14ac:dyDescent="0.25">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spans="1:26" x14ac:dyDescent="0.25">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spans="1:26" x14ac:dyDescent="0.25">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spans="1:26" x14ac:dyDescent="0.25">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spans="1:26" x14ac:dyDescent="0.25">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spans="1:26" x14ac:dyDescent="0.25">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spans="1:26" x14ac:dyDescent="0.25">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spans="1:26" x14ac:dyDescent="0.25">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spans="1:26" x14ac:dyDescent="0.25">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spans="1:26" x14ac:dyDescent="0.2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spans="1:26" x14ac:dyDescent="0.25">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spans="1:26" x14ac:dyDescent="0.25">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spans="1:26" x14ac:dyDescent="0.25">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spans="1:26" x14ac:dyDescent="0.25">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spans="1:26" x14ac:dyDescent="0.25">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spans="1:26" x14ac:dyDescent="0.25">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spans="1:26" x14ac:dyDescent="0.25">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spans="1:26" x14ac:dyDescent="0.25">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spans="1:26" x14ac:dyDescent="0.25">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spans="1:26" x14ac:dyDescent="0.2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spans="1:26" x14ac:dyDescent="0.25">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spans="1:26" x14ac:dyDescent="0.25">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spans="1:26" x14ac:dyDescent="0.25">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spans="1:26" x14ac:dyDescent="0.25">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spans="1:26" x14ac:dyDescent="0.25">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spans="1:26" x14ac:dyDescent="0.25">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spans="1:26" x14ac:dyDescent="0.25">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spans="1:26" x14ac:dyDescent="0.25">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spans="1:26" x14ac:dyDescent="0.25">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spans="1:26" x14ac:dyDescent="0.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spans="1:26" x14ac:dyDescent="0.25">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spans="1:26" x14ac:dyDescent="0.25">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spans="1:26" x14ac:dyDescent="0.25">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spans="1:26" x14ac:dyDescent="0.25">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spans="1:26" x14ac:dyDescent="0.25">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spans="1:26" x14ac:dyDescent="0.25">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spans="1:26" x14ac:dyDescent="0.25">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spans="1:26" x14ac:dyDescent="0.25">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spans="1:26" x14ac:dyDescent="0.25">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spans="1:26" x14ac:dyDescent="0.2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spans="1:26" x14ac:dyDescent="0.25">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spans="1:26" x14ac:dyDescent="0.25">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spans="1:26" x14ac:dyDescent="0.25">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spans="1:26" x14ac:dyDescent="0.25">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spans="1:26" x14ac:dyDescent="0.25">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spans="1:26" x14ac:dyDescent="0.25">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spans="1:26" x14ac:dyDescent="0.25">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spans="1:26" x14ac:dyDescent="0.25">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spans="1:26" x14ac:dyDescent="0.25">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spans="1:26" x14ac:dyDescent="0.2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spans="1:26" x14ac:dyDescent="0.25">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spans="1:26" x14ac:dyDescent="0.25">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spans="1:26" x14ac:dyDescent="0.25">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spans="1:26" x14ac:dyDescent="0.25">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spans="1:26" x14ac:dyDescent="0.25">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spans="1:26" x14ac:dyDescent="0.25">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spans="1:26" x14ac:dyDescent="0.25">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spans="1:26" x14ac:dyDescent="0.25">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spans="1:26" x14ac:dyDescent="0.25">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spans="1:26" x14ac:dyDescent="0.2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spans="1:26" x14ac:dyDescent="0.25">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spans="1:26" x14ac:dyDescent="0.25">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spans="1:26" x14ac:dyDescent="0.25">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spans="1:26" x14ac:dyDescent="0.25">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spans="1:26" x14ac:dyDescent="0.25">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spans="1:26" x14ac:dyDescent="0.25">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spans="1:26" x14ac:dyDescent="0.25">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spans="1:26" x14ac:dyDescent="0.25">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spans="1:26" x14ac:dyDescent="0.25">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spans="1:26" x14ac:dyDescent="0.2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spans="1:26" x14ac:dyDescent="0.25">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spans="1:26" x14ac:dyDescent="0.25">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spans="1:26" x14ac:dyDescent="0.25">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spans="1:26" x14ac:dyDescent="0.25">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spans="1:26" x14ac:dyDescent="0.25">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spans="1:26" x14ac:dyDescent="0.25">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spans="1:26" x14ac:dyDescent="0.25">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spans="1:26" x14ac:dyDescent="0.25">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spans="1:26" x14ac:dyDescent="0.25">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spans="1:26" x14ac:dyDescent="0.2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spans="1:26" x14ac:dyDescent="0.25">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spans="1:26" x14ac:dyDescent="0.25">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spans="1:26" x14ac:dyDescent="0.25">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spans="1:26" x14ac:dyDescent="0.25">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spans="1:26" x14ac:dyDescent="0.25">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spans="1:26" x14ac:dyDescent="0.25">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spans="1:26" x14ac:dyDescent="0.25">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spans="1:26" x14ac:dyDescent="0.25">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spans="1:26" x14ac:dyDescent="0.25">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spans="1:26" x14ac:dyDescent="0.2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spans="1:26" x14ac:dyDescent="0.25">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spans="1:26" x14ac:dyDescent="0.25">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spans="1:26" x14ac:dyDescent="0.25">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spans="1:26" x14ac:dyDescent="0.25">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spans="1:26" x14ac:dyDescent="0.25">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spans="1:26" x14ac:dyDescent="0.25">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spans="1:26" x14ac:dyDescent="0.25">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spans="1:26" x14ac:dyDescent="0.25">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spans="1:26" x14ac:dyDescent="0.25">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spans="1:26" x14ac:dyDescent="0.2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spans="1:26" x14ac:dyDescent="0.25">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spans="1:26" x14ac:dyDescent="0.25">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spans="1:26" x14ac:dyDescent="0.25">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spans="1:26" x14ac:dyDescent="0.25">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spans="1:26" x14ac:dyDescent="0.25">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sheetData>
  <sheetProtection sheet="1" objects="1" scenarios="1"/>
  <mergeCells count="3">
    <mergeCell ref="B29:I29"/>
    <mergeCell ref="B26:I26"/>
    <mergeCell ref="B28:I28"/>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9800"/>
  </sheetPr>
  <dimension ref="A1:Z500"/>
  <sheetViews>
    <sheetView zoomScaleNormal="100" workbookViewId="0"/>
  </sheetViews>
  <sheetFormatPr defaultColWidth="8.7109375" defaultRowHeight="15" x14ac:dyDescent="0.25"/>
  <cols>
    <col min="1" max="1" width="3" customWidth="1"/>
    <col min="2" max="2" width="48" customWidth="1"/>
    <col min="3" max="3" width="22.42578125" bestFit="1" customWidth="1"/>
    <col min="4" max="4" width="14" customWidth="1"/>
    <col min="5" max="5" width="60" customWidth="1"/>
  </cols>
  <sheetData>
    <row r="1" spans="1:26" x14ac:dyDescent="0.25">
      <c r="A1" s="46"/>
      <c r="B1" s="46"/>
      <c r="C1" s="46"/>
      <c r="D1" s="46"/>
      <c r="E1" s="46"/>
      <c r="F1" s="46"/>
      <c r="G1" s="46"/>
      <c r="H1" s="46"/>
      <c r="I1" s="46"/>
      <c r="J1" s="46"/>
      <c r="K1" s="46"/>
      <c r="L1" s="46"/>
      <c r="M1" s="46"/>
      <c r="N1" s="46"/>
      <c r="O1" s="46"/>
      <c r="P1" s="46"/>
      <c r="Q1" s="46"/>
      <c r="R1" s="46"/>
      <c r="S1" s="46"/>
      <c r="T1" s="46"/>
      <c r="U1" s="46"/>
      <c r="V1" s="46"/>
      <c r="W1" s="46"/>
      <c r="X1" s="46"/>
      <c r="Y1" s="46"/>
      <c r="Z1" s="46"/>
    </row>
    <row r="2" spans="1:26" ht="18" x14ac:dyDescent="0.25">
      <c r="A2" s="46"/>
      <c r="B2" s="44" t="s">
        <v>171</v>
      </c>
      <c r="C2" s="44"/>
      <c r="D2" s="44"/>
      <c r="E2" s="44"/>
      <c r="F2" s="46"/>
      <c r="G2" s="46"/>
      <c r="H2" s="46"/>
      <c r="I2" s="46"/>
      <c r="J2" s="46"/>
      <c r="K2" s="46"/>
      <c r="L2" s="46"/>
      <c r="M2" s="46"/>
      <c r="N2" s="46"/>
      <c r="O2" s="46"/>
      <c r="P2" s="46"/>
      <c r="Q2" s="46"/>
      <c r="R2" s="46"/>
      <c r="S2" s="46"/>
      <c r="T2" s="46"/>
      <c r="U2" s="46"/>
      <c r="V2" s="46"/>
      <c r="W2" s="46"/>
      <c r="X2" s="46"/>
      <c r="Y2" s="46"/>
      <c r="Z2" s="46"/>
    </row>
    <row r="3" spans="1:26" x14ac:dyDescent="0.25">
      <c r="A3" s="46"/>
      <c r="B3" s="46"/>
      <c r="C3" s="46"/>
      <c r="D3" s="46"/>
      <c r="E3" s="46"/>
      <c r="F3" s="46"/>
      <c r="G3" s="46"/>
      <c r="H3" s="46"/>
      <c r="I3" s="46"/>
      <c r="J3" s="46"/>
      <c r="K3" s="46"/>
      <c r="L3" s="46"/>
      <c r="M3" s="46"/>
      <c r="N3" s="46"/>
      <c r="O3" s="46"/>
      <c r="P3" s="46"/>
      <c r="Q3" s="46"/>
      <c r="R3" s="46"/>
      <c r="S3" s="46"/>
      <c r="T3" s="46"/>
      <c r="U3" s="46"/>
      <c r="V3" s="46"/>
      <c r="W3" s="46"/>
      <c r="X3" s="46"/>
      <c r="Y3" s="46"/>
      <c r="Z3" s="46"/>
    </row>
    <row r="4" spans="1:26" x14ac:dyDescent="0.25">
      <c r="A4" s="46"/>
      <c r="B4" s="45" t="s">
        <v>172</v>
      </c>
      <c r="C4" s="45"/>
      <c r="D4" s="45"/>
      <c r="E4" s="45"/>
      <c r="F4" s="46"/>
      <c r="G4" s="46"/>
      <c r="H4" s="46"/>
      <c r="I4" s="46"/>
      <c r="J4" s="46"/>
      <c r="K4" s="46"/>
      <c r="L4" s="46"/>
      <c r="M4" s="46"/>
      <c r="N4" s="46"/>
      <c r="O4" s="46"/>
      <c r="P4" s="46"/>
      <c r="Q4" s="46"/>
      <c r="R4" s="46"/>
      <c r="S4" s="46"/>
      <c r="T4" s="46"/>
      <c r="U4" s="46"/>
      <c r="V4" s="46"/>
      <c r="W4" s="46"/>
      <c r="X4" s="46"/>
      <c r="Y4" s="46"/>
      <c r="Z4" s="46"/>
    </row>
    <row r="5" spans="1:26" x14ac:dyDescent="0.25">
      <c r="A5" s="46"/>
      <c r="B5" s="48" t="s">
        <v>173</v>
      </c>
      <c r="C5" s="50">
        <f>'Hardware Inputs'!C8</f>
        <v>3</v>
      </c>
      <c r="D5" s="51" t="s">
        <v>174</v>
      </c>
      <c r="E5" s="47"/>
      <c r="F5" s="46"/>
      <c r="G5" s="46"/>
      <c r="H5" s="46"/>
      <c r="I5" s="46"/>
      <c r="J5" s="46"/>
      <c r="K5" s="46"/>
      <c r="L5" s="46"/>
      <c r="M5" s="46"/>
      <c r="N5" s="46"/>
      <c r="O5" s="46"/>
      <c r="P5" s="46"/>
      <c r="Q5" s="46"/>
      <c r="R5" s="46"/>
      <c r="S5" s="46"/>
      <c r="T5" s="46"/>
      <c r="U5" s="46"/>
      <c r="V5" s="46"/>
      <c r="W5" s="46"/>
      <c r="X5" s="46"/>
      <c r="Y5" s="46"/>
      <c r="Z5" s="46"/>
    </row>
    <row r="6" spans="1:26" x14ac:dyDescent="0.25">
      <c r="A6" s="46"/>
      <c r="B6" s="48" t="s">
        <v>175</v>
      </c>
      <c r="C6" s="102" t="str">
        <f>'Hardware Inputs'!C9</f>
        <v>All-NVMe (No Cache)</v>
      </c>
      <c r="D6" s="51"/>
      <c r="E6" s="47"/>
      <c r="F6" s="46"/>
      <c r="G6" s="46"/>
      <c r="H6" s="46"/>
      <c r="I6" s="46"/>
      <c r="J6" s="46"/>
      <c r="K6" s="46"/>
      <c r="L6" s="46"/>
      <c r="M6" s="46"/>
      <c r="N6" s="46"/>
      <c r="O6" s="46"/>
      <c r="P6" s="46"/>
      <c r="Q6" s="46"/>
      <c r="R6" s="46"/>
      <c r="S6" s="46"/>
      <c r="T6" s="46"/>
      <c r="U6" s="46"/>
      <c r="V6" s="46"/>
      <c r="W6" s="46"/>
      <c r="X6" s="46"/>
      <c r="Y6" s="46"/>
      <c r="Z6" s="46"/>
    </row>
    <row r="7" spans="1:26" x14ac:dyDescent="0.25">
      <c r="A7" s="46"/>
      <c r="B7" s="48" t="s">
        <v>176</v>
      </c>
      <c r="C7" s="50">
        <f>'Hardware Inputs'!C16</f>
        <v>12</v>
      </c>
      <c r="D7" s="51" t="s">
        <v>82</v>
      </c>
      <c r="E7" s="47"/>
      <c r="F7" s="46"/>
      <c r="G7" s="46"/>
      <c r="H7" s="46"/>
      <c r="I7" s="46"/>
      <c r="J7" s="46"/>
      <c r="K7" s="46"/>
      <c r="L7" s="46"/>
      <c r="M7" s="46"/>
      <c r="N7" s="46"/>
      <c r="O7" s="46"/>
      <c r="P7" s="46"/>
      <c r="Q7" s="46"/>
      <c r="R7" s="46"/>
      <c r="S7" s="46"/>
      <c r="T7" s="46"/>
      <c r="U7" s="46"/>
      <c r="V7" s="46"/>
      <c r="W7" s="46"/>
      <c r="X7" s="46"/>
      <c r="Y7" s="46"/>
      <c r="Z7" s="46"/>
    </row>
    <row r="8" spans="1:26" x14ac:dyDescent="0.25">
      <c r="A8" s="46"/>
      <c r="B8" s="48" t="s">
        <v>177</v>
      </c>
      <c r="C8" s="52">
        <f>'Hardware Inputs'!C11</f>
        <v>3.84</v>
      </c>
      <c r="D8" s="51" t="s">
        <v>178</v>
      </c>
      <c r="E8" s="47"/>
      <c r="F8" s="46"/>
      <c r="G8" s="46"/>
      <c r="H8" s="46"/>
      <c r="I8" s="46"/>
      <c r="J8" s="46"/>
      <c r="K8" s="46"/>
      <c r="L8" s="46"/>
      <c r="M8" s="46"/>
      <c r="N8" s="46"/>
      <c r="O8" s="46"/>
      <c r="P8" s="46"/>
      <c r="Q8" s="46"/>
      <c r="R8" s="46"/>
      <c r="S8" s="46"/>
      <c r="T8" s="46"/>
      <c r="U8" s="46"/>
      <c r="V8" s="46"/>
      <c r="W8" s="46"/>
      <c r="X8" s="46"/>
      <c r="Y8" s="46"/>
      <c r="Z8" s="46"/>
    </row>
    <row r="9" spans="1:26" x14ac:dyDescent="0.25">
      <c r="A9" s="46"/>
      <c r="B9" s="48" t="s">
        <v>179</v>
      </c>
      <c r="C9" s="52">
        <f>'Hardware Inputs'!C18</f>
        <v>46.08</v>
      </c>
      <c r="D9" s="51" t="s">
        <v>87</v>
      </c>
      <c r="E9" s="47"/>
      <c r="F9" s="46"/>
      <c r="G9" s="46"/>
      <c r="H9" s="46"/>
      <c r="I9" s="46"/>
      <c r="J9" s="46"/>
      <c r="K9" s="46"/>
      <c r="L9" s="46"/>
      <c r="M9" s="46"/>
      <c r="N9" s="46"/>
      <c r="O9" s="46"/>
      <c r="P9" s="46"/>
      <c r="Q9" s="46"/>
      <c r="R9" s="46"/>
      <c r="S9" s="46"/>
      <c r="T9" s="46"/>
      <c r="U9" s="46"/>
      <c r="V9" s="46"/>
      <c r="W9" s="46"/>
      <c r="X9" s="46"/>
      <c r="Y9" s="46"/>
      <c r="Z9" s="46"/>
    </row>
    <row r="10" spans="1:26" x14ac:dyDescent="0.25">
      <c r="A10" s="46"/>
      <c r="B10" s="48" t="s">
        <v>180</v>
      </c>
      <c r="C10" s="52">
        <f>'Hardware Inputs'!C20</f>
        <v>42.393599999999999</v>
      </c>
      <c r="D10" s="51" t="s">
        <v>87</v>
      </c>
      <c r="E10" s="47"/>
      <c r="F10" s="46"/>
      <c r="G10" s="46"/>
      <c r="H10" s="46"/>
      <c r="I10" s="46"/>
      <c r="J10" s="46"/>
      <c r="K10" s="46"/>
      <c r="L10" s="46"/>
      <c r="M10" s="46"/>
      <c r="N10" s="46"/>
      <c r="O10" s="46"/>
      <c r="P10" s="46"/>
      <c r="Q10" s="46"/>
      <c r="R10" s="46"/>
      <c r="S10" s="46"/>
      <c r="T10" s="46"/>
      <c r="U10" s="46"/>
      <c r="V10" s="46"/>
      <c r="W10" s="46"/>
      <c r="X10" s="46"/>
      <c r="Y10" s="46"/>
      <c r="Z10" s="46"/>
    </row>
    <row r="11" spans="1:26" x14ac:dyDescent="0.25">
      <c r="A11" s="46"/>
      <c r="B11" s="48" t="s">
        <v>181</v>
      </c>
      <c r="C11" s="52">
        <f>'Hardware Inputs'!C21</f>
        <v>10.5984</v>
      </c>
      <c r="D11" s="51" t="s">
        <v>87</v>
      </c>
      <c r="E11" s="47"/>
      <c r="F11" s="46"/>
      <c r="G11" s="46"/>
      <c r="H11" s="46"/>
      <c r="I11" s="46"/>
      <c r="J11" s="46"/>
      <c r="K11" s="46"/>
      <c r="L11" s="46"/>
      <c r="M11" s="46"/>
      <c r="N11" s="46"/>
      <c r="O11" s="46"/>
      <c r="P11" s="46"/>
      <c r="Q11" s="46"/>
      <c r="R11" s="46"/>
      <c r="S11" s="46"/>
      <c r="T11" s="46"/>
      <c r="U11" s="46"/>
      <c r="V11" s="46"/>
      <c r="W11" s="46"/>
      <c r="X11" s="46"/>
      <c r="Y11" s="46"/>
      <c r="Z11" s="46"/>
    </row>
    <row r="12" spans="1:26" x14ac:dyDescent="0.25">
      <c r="A12" s="46"/>
      <c r="B12" s="48" t="s">
        <v>182</v>
      </c>
      <c r="C12" s="52">
        <f>'Hardware Inputs'!C22</f>
        <v>0.75</v>
      </c>
      <c r="D12" s="51" t="s">
        <v>87</v>
      </c>
      <c r="E12" s="47"/>
      <c r="F12" s="46"/>
      <c r="G12" s="46"/>
      <c r="H12" s="46"/>
      <c r="I12" s="46"/>
      <c r="J12" s="46"/>
      <c r="K12" s="46"/>
      <c r="L12" s="46"/>
      <c r="M12" s="46"/>
      <c r="N12" s="46"/>
      <c r="O12" s="46"/>
      <c r="P12" s="46"/>
      <c r="Q12" s="46"/>
      <c r="R12" s="46"/>
      <c r="S12" s="46"/>
      <c r="T12" s="46"/>
      <c r="U12" s="46"/>
      <c r="V12" s="46"/>
      <c r="W12" s="46"/>
      <c r="X12" s="46"/>
      <c r="Y12" s="46"/>
      <c r="Z12" s="46"/>
    </row>
    <row r="13" spans="1:26" ht="15.75" x14ac:dyDescent="0.25">
      <c r="A13" s="46"/>
      <c r="B13" s="57" t="s">
        <v>183</v>
      </c>
      <c r="C13" s="348">
        <f>'Hardware Inputs'!C24</f>
        <v>31.045200000000001</v>
      </c>
      <c r="D13" s="51" t="s">
        <v>87</v>
      </c>
      <c r="E13" s="47"/>
      <c r="F13" s="46"/>
      <c r="G13" s="46"/>
      <c r="H13" s="46"/>
      <c r="I13" s="46"/>
      <c r="J13" s="46"/>
      <c r="K13" s="46"/>
      <c r="L13" s="46"/>
      <c r="M13" s="46"/>
      <c r="N13" s="46"/>
      <c r="O13" s="46"/>
      <c r="P13" s="46"/>
      <c r="Q13" s="46"/>
      <c r="R13" s="46"/>
      <c r="S13" s="46"/>
      <c r="T13" s="46"/>
      <c r="U13" s="46"/>
      <c r="V13" s="46"/>
      <c r="W13" s="46"/>
      <c r="X13" s="46"/>
      <c r="Y13" s="46"/>
      <c r="Z13" s="46"/>
    </row>
    <row r="14" spans="1:26" x14ac:dyDescent="0.25">
      <c r="A14" s="46"/>
      <c r="B14" s="48" t="s">
        <v>184</v>
      </c>
      <c r="C14" s="52">
        <f>'Hardware Inputs'!C26</f>
        <v>30.32</v>
      </c>
      <c r="D14" s="51" t="s">
        <v>185</v>
      </c>
      <c r="E14" s="47"/>
      <c r="F14" s="46"/>
      <c r="G14" s="46"/>
      <c r="H14" s="46"/>
      <c r="I14" s="46"/>
      <c r="J14" s="46"/>
      <c r="K14" s="46"/>
      <c r="L14" s="46"/>
      <c r="M14" s="46"/>
      <c r="N14" s="46"/>
      <c r="O14" s="46"/>
      <c r="P14" s="46"/>
      <c r="Q14" s="46"/>
      <c r="R14" s="46"/>
      <c r="S14" s="46"/>
      <c r="T14" s="46"/>
      <c r="U14" s="46"/>
      <c r="V14" s="46"/>
      <c r="W14" s="46"/>
      <c r="X14" s="46"/>
      <c r="Y14" s="46"/>
      <c r="Z14" s="46"/>
    </row>
    <row r="15" spans="1:26" x14ac:dyDescent="0.25">
      <c r="A15" s="46"/>
      <c r="B15" s="48" t="s">
        <v>186</v>
      </c>
      <c r="C15" s="52">
        <f>'Workload Planner'!C124</f>
        <v>85.31</v>
      </c>
      <c r="D15" s="51" t="s">
        <v>87</v>
      </c>
      <c r="E15" s="47"/>
      <c r="F15" s="46"/>
      <c r="G15" s="46"/>
      <c r="H15" s="46"/>
      <c r="I15" s="46"/>
      <c r="J15" s="46"/>
      <c r="K15" s="46"/>
      <c r="L15" s="46"/>
      <c r="M15" s="46"/>
      <c r="N15" s="46"/>
      <c r="O15" s="46"/>
      <c r="P15" s="46"/>
      <c r="Q15" s="46"/>
      <c r="R15" s="46"/>
      <c r="S15" s="46"/>
      <c r="T15" s="46"/>
      <c r="U15" s="46"/>
      <c r="V15" s="46"/>
      <c r="W15" s="46"/>
      <c r="X15" s="46"/>
      <c r="Y15" s="46"/>
      <c r="Z15" s="46"/>
    </row>
    <row r="16" spans="1:26" x14ac:dyDescent="0.25">
      <c r="A16" s="46"/>
      <c r="B16" s="48" t="s">
        <v>187</v>
      </c>
      <c r="C16" s="52">
        <f>'Workload Planner'!C125</f>
        <v>38.53</v>
      </c>
      <c r="D16" s="51" t="s">
        <v>87</v>
      </c>
      <c r="E16" s="47"/>
      <c r="F16" s="46"/>
      <c r="G16" s="46"/>
      <c r="H16" s="46"/>
      <c r="I16" s="46"/>
      <c r="J16" s="46"/>
      <c r="K16" s="46"/>
      <c r="L16" s="46"/>
      <c r="M16" s="46"/>
      <c r="N16" s="46"/>
      <c r="O16" s="46"/>
      <c r="P16" s="46"/>
      <c r="Q16" s="46"/>
      <c r="R16" s="46"/>
      <c r="S16" s="46"/>
      <c r="T16" s="46"/>
      <c r="U16" s="46"/>
      <c r="V16" s="46"/>
      <c r="W16" s="46"/>
      <c r="X16" s="46"/>
      <c r="Y16" s="46"/>
      <c r="Z16" s="46"/>
    </row>
    <row r="17" spans="1:26" ht="15.75" x14ac:dyDescent="0.25">
      <c r="A17" s="46"/>
      <c r="B17" s="57" t="s">
        <v>188</v>
      </c>
      <c r="C17" s="348">
        <f>'Workload Planner'!C128</f>
        <v>-54.264800000000001</v>
      </c>
      <c r="D17" s="51" t="s">
        <v>87</v>
      </c>
      <c r="E17" s="47"/>
      <c r="F17" s="46"/>
      <c r="G17" s="46"/>
      <c r="H17" s="46"/>
      <c r="I17" s="46"/>
      <c r="J17" s="46"/>
      <c r="K17" s="46"/>
      <c r="L17" s="46"/>
      <c r="M17" s="46"/>
      <c r="N17" s="46"/>
      <c r="O17" s="46"/>
      <c r="P17" s="46"/>
      <c r="Q17" s="46"/>
      <c r="R17" s="46"/>
      <c r="S17" s="46"/>
      <c r="T17" s="46"/>
      <c r="U17" s="46"/>
      <c r="V17" s="46"/>
      <c r="W17" s="46"/>
      <c r="X17" s="46"/>
      <c r="Y17" s="46"/>
      <c r="Z17" s="46"/>
    </row>
    <row r="18" spans="1:26" x14ac:dyDescent="0.25">
      <c r="A18" s="46"/>
      <c r="B18" s="48" t="s">
        <v>143</v>
      </c>
      <c r="C18" s="349">
        <f>'Workload Planner'!C129</f>
        <v>2.7479288263564094</v>
      </c>
      <c r="D18" s="51"/>
      <c r="E18" s="47"/>
      <c r="F18" s="46"/>
      <c r="G18" s="46"/>
      <c r="H18" s="46"/>
      <c r="I18" s="46"/>
      <c r="J18" s="46"/>
      <c r="K18" s="46"/>
      <c r="L18" s="46"/>
      <c r="M18" s="46"/>
      <c r="N18" s="46"/>
      <c r="O18" s="46"/>
      <c r="P18" s="46"/>
      <c r="Q18" s="46"/>
      <c r="R18" s="46"/>
      <c r="S18" s="46"/>
      <c r="T18" s="46"/>
      <c r="U18" s="46"/>
      <c r="V18" s="46"/>
      <c r="W18" s="46"/>
      <c r="X18" s="46"/>
      <c r="Y18" s="46"/>
      <c r="Z18" s="46"/>
    </row>
    <row r="19" spans="1:26" x14ac:dyDescent="0.25">
      <c r="A19" s="46"/>
      <c r="B19" s="46"/>
      <c r="C19" s="46"/>
      <c r="D19" s="46"/>
      <c r="E19" s="46"/>
      <c r="F19" s="46"/>
      <c r="G19" s="46"/>
      <c r="H19" s="46"/>
      <c r="I19" s="46"/>
      <c r="J19" s="46"/>
      <c r="K19" s="46"/>
      <c r="L19" s="46"/>
      <c r="M19" s="46"/>
      <c r="N19" s="46"/>
      <c r="O19" s="46"/>
      <c r="P19" s="46"/>
      <c r="Q19" s="46"/>
      <c r="R19" s="46"/>
      <c r="S19" s="46"/>
      <c r="T19" s="46"/>
      <c r="U19" s="46"/>
      <c r="V19" s="46"/>
      <c r="W19" s="46"/>
      <c r="X19" s="46"/>
      <c r="Y19" s="46"/>
      <c r="Z19" s="46"/>
    </row>
    <row r="20" spans="1:26" x14ac:dyDescent="0.25">
      <c r="A20" s="46"/>
      <c r="B20" s="45" t="s">
        <v>189</v>
      </c>
      <c r="C20" s="45"/>
      <c r="D20" s="45"/>
      <c r="E20" s="45"/>
      <c r="F20" s="46"/>
      <c r="G20" s="46"/>
      <c r="H20" s="46"/>
      <c r="I20" s="46"/>
      <c r="J20" s="46"/>
      <c r="K20" s="46"/>
      <c r="L20" s="46"/>
      <c r="M20" s="46"/>
      <c r="N20" s="46"/>
      <c r="O20" s="46"/>
      <c r="P20" s="46"/>
      <c r="Q20" s="46"/>
      <c r="R20" s="46"/>
      <c r="S20" s="46"/>
      <c r="T20" s="46"/>
      <c r="U20" s="46"/>
      <c r="V20" s="46"/>
      <c r="W20" s="46"/>
      <c r="X20" s="46"/>
      <c r="Y20" s="46"/>
      <c r="Z20" s="46"/>
    </row>
    <row r="21" spans="1:26" ht="27.75" customHeight="1" x14ac:dyDescent="0.25">
      <c r="A21" s="46"/>
      <c r="B21" s="121" t="s">
        <v>179</v>
      </c>
      <c r="C21" s="123" t="s">
        <v>190</v>
      </c>
      <c r="D21" s="123"/>
      <c r="E21" s="123"/>
      <c r="F21" s="46"/>
      <c r="G21" s="46"/>
      <c r="H21" s="46"/>
      <c r="I21" s="46"/>
      <c r="J21" s="46"/>
      <c r="K21" s="46"/>
      <c r="L21" s="46"/>
      <c r="M21" s="46"/>
      <c r="N21" s="46"/>
      <c r="O21" s="46"/>
      <c r="P21" s="46"/>
      <c r="Q21" s="46"/>
      <c r="R21" s="46"/>
      <c r="S21" s="46"/>
      <c r="T21" s="46"/>
      <c r="U21" s="46"/>
      <c r="V21" s="46"/>
      <c r="W21" s="46"/>
      <c r="X21" s="46"/>
      <c r="Y21" s="46"/>
      <c r="Z21" s="46"/>
    </row>
    <row r="22" spans="1:26" ht="27.75" customHeight="1" x14ac:dyDescent="0.25">
      <c r="A22" s="46"/>
      <c r="B22" s="121" t="s">
        <v>191</v>
      </c>
      <c r="C22" s="123" t="s">
        <v>192</v>
      </c>
      <c r="D22" s="123"/>
      <c r="E22" s="123"/>
      <c r="F22" s="46"/>
      <c r="G22" s="46"/>
      <c r="H22" s="46"/>
      <c r="I22" s="46"/>
      <c r="J22" s="46"/>
      <c r="K22" s="46"/>
      <c r="L22" s="46"/>
      <c r="M22" s="46"/>
      <c r="N22" s="46"/>
      <c r="O22" s="46"/>
      <c r="P22" s="46"/>
      <c r="Q22" s="46"/>
      <c r="R22" s="46"/>
      <c r="S22" s="46"/>
      <c r="T22" s="46"/>
      <c r="U22" s="46"/>
      <c r="V22" s="46"/>
      <c r="W22" s="46"/>
      <c r="X22" s="46"/>
      <c r="Y22" s="46"/>
      <c r="Z22" s="46"/>
    </row>
    <row r="23" spans="1:26" ht="27.75" customHeight="1" x14ac:dyDescent="0.25">
      <c r="A23" s="46"/>
      <c r="B23" s="121" t="s">
        <v>193</v>
      </c>
      <c r="C23" s="123" t="s">
        <v>194</v>
      </c>
      <c r="D23" s="123"/>
      <c r="E23" s="123"/>
      <c r="F23" s="46"/>
      <c r="G23" s="46"/>
      <c r="H23" s="46"/>
      <c r="I23" s="46"/>
      <c r="J23" s="46"/>
      <c r="K23" s="46"/>
      <c r="L23" s="46"/>
      <c r="M23" s="46"/>
      <c r="N23" s="46"/>
      <c r="O23" s="46"/>
      <c r="P23" s="46"/>
      <c r="Q23" s="46"/>
      <c r="R23" s="46"/>
      <c r="S23" s="46"/>
      <c r="T23" s="46"/>
      <c r="U23" s="46"/>
      <c r="V23" s="46"/>
      <c r="W23" s="46"/>
      <c r="X23" s="46"/>
      <c r="Y23" s="46"/>
      <c r="Z23" s="46"/>
    </row>
    <row r="24" spans="1:26" ht="27.75" customHeight="1" x14ac:dyDescent="0.25">
      <c r="A24" s="46"/>
      <c r="B24" s="121" t="s">
        <v>195</v>
      </c>
      <c r="C24" s="123" t="s">
        <v>196</v>
      </c>
      <c r="D24" s="123"/>
      <c r="E24" s="123"/>
      <c r="F24" s="46"/>
      <c r="G24" s="46"/>
      <c r="H24" s="46"/>
      <c r="I24" s="46"/>
      <c r="J24" s="46"/>
      <c r="K24" s="46"/>
      <c r="L24" s="46"/>
      <c r="M24" s="46"/>
      <c r="N24" s="46"/>
      <c r="O24" s="46"/>
      <c r="P24" s="46"/>
      <c r="Q24" s="46"/>
      <c r="R24" s="46"/>
      <c r="S24" s="46"/>
      <c r="T24" s="46"/>
      <c r="U24" s="46"/>
      <c r="V24" s="46"/>
      <c r="W24" s="46"/>
      <c r="X24" s="46"/>
      <c r="Y24" s="46"/>
      <c r="Z24" s="46"/>
    </row>
    <row r="25" spans="1:26" ht="27.75" customHeight="1" x14ac:dyDescent="0.25">
      <c r="A25" s="46"/>
      <c r="B25" s="121" t="s">
        <v>182</v>
      </c>
      <c r="C25" s="123" t="s">
        <v>197</v>
      </c>
      <c r="D25" s="123"/>
      <c r="E25" s="123"/>
      <c r="F25" s="46"/>
      <c r="G25" s="46"/>
      <c r="H25" s="46"/>
      <c r="I25" s="46"/>
      <c r="J25" s="46"/>
      <c r="K25" s="46"/>
      <c r="L25" s="46"/>
      <c r="M25" s="46"/>
      <c r="N25" s="46"/>
      <c r="O25" s="46"/>
      <c r="P25" s="46"/>
      <c r="Q25" s="46"/>
      <c r="R25" s="46"/>
      <c r="S25" s="46"/>
      <c r="T25" s="46"/>
      <c r="U25" s="46"/>
      <c r="V25" s="46"/>
      <c r="W25" s="46"/>
      <c r="X25" s="46"/>
      <c r="Y25" s="46"/>
      <c r="Z25" s="46"/>
    </row>
    <row r="26" spans="1:26" ht="27.75" customHeight="1" x14ac:dyDescent="0.25">
      <c r="A26" s="46"/>
      <c r="B26" s="121" t="s">
        <v>198</v>
      </c>
      <c r="C26" s="123" t="s">
        <v>199</v>
      </c>
      <c r="D26" s="123"/>
      <c r="E26" s="123"/>
      <c r="F26" s="46"/>
      <c r="G26" s="46"/>
      <c r="H26" s="46"/>
      <c r="I26" s="46"/>
      <c r="J26" s="46"/>
      <c r="K26" s="46"/>
      <c r="L26" s="46"/>
      <c r="M26" s="46"/>
      <c r="N26" s="46"/>
      <c r="O26" s="46"/>
      <c r="P26" s="46"/>
      <c r="Q26" s="46"/>
      <c r="R26" s="46"/>
      <c r="S26" s="46"/>
      <c r="T26" s="46"/>
      <c r="U26" s="46"/>
      <c r="V26" s="46"/>
      <c r="W26" s="46"/>
      <c r="X26" s="46"/>
      <c r="Y26" s="46"/>
      <c r="Z26" s="46"/>
    </row>
    <row r="27" spans="1:26" ht="27.75" customHeight="1" x14ac:dyDescent="0.25">
      <c r="A27" s="46"/>
      <c r="B27" s="121" t="s">
        <v>200</v>
      </c>
      <c r="C27" s="123" t="s">
        <v>201</v>
      </c>
      <c r="D27" s="123"/>
      <c r="E27" s="123"/>
      <c r="F27" s="46"/>
      <c r="G27" s="46"/>
      <c r="H27" s="46"/>
      <c r="I27" s="46"/>
      <c r="J27" s="46"/>
      <c r="K27" s="46"/>
      <c r="L27" s="46"/>
      <c r="M27" s="46"/>
      <c r="N27" s="46"/>
      <c r="O27" s="46"/>
      <c r="P27" s="46"/>
      <c r="Q27" s="46"/>
      <c r="R27" s="46"/>
      <c r="S27" s="46"/>
      <c r="T27" s="46"/>
      <c r="U27" s="46"/>
      <c r="V27" s="46"/>
      <c r="W27" s="46"/>
      <c r="X27" s="46"/>
      <c r="Y27" s="46"/>
      <c r="Z27" s="46"/>
    </row>
    <row r="28" spans="1:26" ht="27.75" customHeight="1" x14ac:dyDescent="0.25">
      <c r="A28" s="46"/>
      <c r="B28" s="121" t="s">
        <v>202</v>
      </c>
      <c r="C28" s="123" t="s">
        <v>203</v>
      </c>
      <c r="D28" s="123"/>
      <c r="E28" s="123"/>
      <c r="F28" s="46"/>
      <c r="G28" s="46"/>
      <c r="H28" s="46"/>
      <c r="I28" s="46"/>
      <c r="J28" s="46"/>
      <c r="K28" s="46"/>
      <c r="L28" s="46"/>
      <c r="M28" s="46"/>
      <c r="N28" s="46"/>
      <c r="O28" s="46"/>
      <c r="P28" s="46"/>
      <c r="Q28" s="46"/>
      <c r="R28" s="46"/>
      <c r="S28" s="46"/>
      <c r="T28" s="46"/>
      <c r="U28" s="46"/>
      <c r="V28" s="46"/>
      <c r="W28" s="46"/>
      <c r="X28" s="46"/>
      <c r="Y28" s="46"/>
      <c r="Z28" s="46"/>
    </row>
    <row r="29" spans="1:26" ht="27.75" customHeight="1" x14ac:dyDescent="0.25">
      <c r="A29" s="46"/>
      <c r="B29" s="121" t="s">
        <v>105</v>
      </c>
      <c r="C29" s="123" t="s">
        <v>204</v>
      </c>
      <c r="D29" s="123"/>
      <c r="E29" s="123"/>
      <c r="F29" s="46"/>
      <c r="G29" s="46"/>
      <c r="H29" s="46"/>
      <c r="I29" s="46"/>
      <c r="J29" s="46"/>
      <c r="K29" s="46"/>
      <c r="L29" s="46"/>
      <c r="M29" s="46"/>
      <c r="N29" s="46"/>
      <c r="O29" s="46"/>
      <c r="P29" s="46"/>
      <c r="Q29" s="46"/>
      <c r="R29" s="46"/>
      <c r="S29" s="46"/>
      <c r="T29" s="46"/>
      <c r="U29" s="46"/>
      <c r="V29" s="46"/>
      <c r="W29" s="46"/>
      <c r="X29" s="46"/>
      <c r="Y29" s="46"/>
      <c r="Z29" s="46"/>
    </row>
    <row r="30" spans="1:26" ht="27.75" customHeight="1" x14ac:dyDescent="0.25">
      <c r="A30" s="46"/>
      <c r="B30" s="121" t="s">
        <v>205</v>
      </c>
      <c r="C30" s="123" t="s">
        <v>206</v>
      </c>
      <c r="D30" s="123"/>
      <c r="E30" s="123"/>
      <c r="F30" s="46"/>
      <c r="G30" s="46"/>
      <c r="H30" s="46"/>
      <c r="I30" s="46"/>
      <c r="J30" s="46"/>
      <c r="K30" s="46"/>
      <c r="L30" s="46"/>
      <c r="M30" s="46"/>
      <c r="N30" s="46"/>
      <c r="O30" s="46"/>
      <c r="P30" s="46"/>
      <c r="Q30" s="46"/>
      <c r="R30" s="46"/>
      <c r="S30" s="46"/>
      <c r="T30" s="46"/>
      <c r="U30" s="46"/>
      <c r="V30" s="46"/>
      <c r="W30" s="46"/>
      <c r="X30" s="46"/>
      <c r="Y30" s="46"/>
      <c r="Z30" s="46"/>
    </row>
    <row r="31" spans="1:26" x14ac:dyDescent="0.25">
      <c r="A31" s="46"/>
      <c r="B31" s="46"/>
      <c r="C31" s="46"/>
      <c r="D31" s="46"/>
      <c r="E31" s="46"/>
      <c r="F31" s="46"/>
      <c r="G31" s="46"/>
      <c r="H31" s="46"/>
      <c r="I31" s="46"/>
      <c r="J31" s="46"/>
      <c r="K31" s="46"/>
      <c r="L31" s="46"/>
      <c r="M31" s="46"/>
      <c r="N31" s="46"/>
      <c r="O31" s="46"/>
      <c r="P31" s="46"/>
      <c r="Q31" s="46"/>
      <c r="R31" s="46"/>
      <c r="S31" s="46"/>
      <c r="T31" s="46"/>
      <c r="U31" s="46"/>
      <c r="V31" s="46"/>
      <c r="W31" s="46"/>
      <c r="X31" s="46"/>
      <c r="Y31" s="46"/>
      <c r="Z31" s="46"/>
    </row>
    <row r="32" spans="1:26" x14ac:dyDescent="0.25">
      <c r="A32" s="46"/>
      <c r="B32" s="45" t="s">
        <v>207</v>
      </c>
      <c r="C32" s="45"/>
      <c r="D32" s="45"/>
      <c r="E32" s="45"/>
      <c r="F32" s="46"/>
      <c r="G32" s="46"/>
      <c r="H32" s="46"/>
      <c r="I32" s="46"/>
      <c r="J32" s="46"/>
      <c r="K32" s="46"/>
      <c r="L32" s="46"/>
      <c r="M32" s="46"/>
      <c r="N32" s="46"/>
      <c r="O32" s="46"/>
      <c r="P32" s="46"/>
      <c r="Q32" s="46"/>
      <c r="R32" s="46"/>
      <c r="S32" s="46"/>
      <c r="T32" s="46"/>
      <c r="U32" s="46"/>
      <c r="V32" s="46"/>
      <c r="W32" s="46"/>
      <c r="X32" s="46"/>
      <c r="Y32" s="46"/>
      <c r="Z32" s="46"/>
    </row>
    <row r="33" spans="1:26" ht="27.75" customHeight="1" x14ac:dyDescent="0.25">
      <c r="A33" s="46"/>
      <c r="B33" s="350" t="s">
        <v>208</v>
      </c>
      <c r="C33" s="123" t="s">
        <v>209</v>
      </c>
      <c r="D33" s="123"/>
      <c r="E33" s="123"/>
      <c r="F33" s="46"/>
      <c r="G33" s="46"/>
      <c r="H33" s="46"/>
      <c r="I33" s="46"/>
      <c r="J33" s="46"/>
      <c r="K33" s="46"/>
      <c r="L33" s="46"/>
      <c r="M33" s="46"/>
      <c r="N33" s="46"/>
      <c r="O33" s="46"/>
      <c r="P33" s="46"/>
      <c r="Q33" s="46"/>
      <c r="R33" s="46"/>
      <c r="S33" s="46"/>
      <c r="T33" s="46"/>
      <c r="U33" s="46"/>
      <c r="V33" s="46"/>
      <c r="W33" s="46"/>
      <c r="X33" s="46"/>
      <c r="Y33" s="46"/>
      <c r="Z33" s="46"/>
    </row>
    <row r="34" spans="1:26" ht="27.75" customHeight="1" x14ac:dyDescent="0.25">
      <c r="A34" s="46"/>
      <c r="B34" s="350" t="s">
        <v>210</v>
      </c>
      <c r="C34" s="123" t="s">
        <v>211</v>
      </c>
      <c r="D34" s="123"/>
      <c r="E34" s="123"/>
      <c r="F34" s="46"/>
      <c r="G34" s="46"/>
      <c r="H34" s="46"/>
      <c r="I34" s="46"/>
      <c r="J34" s="46"/>
      <c r="K34" s="46"/>
      <c r="L34" s="46"/>
      <c r="M34" s="46"/>
      <c r="N34" s="46"/>
      <c r="O34" s="46"/>
      <c r="P34" s="46"/>
      <c r="Q34" s="46"/>
      <c r="R34" s="46"/>
      <c r="S34" s="46"/>
      <c r="T34" s="46"/>
      <c r="U34" s="46"/>
      <c r="V34" s="46"/>
      <c r="W34" s="46"/>
      <c r="X34" s="46"/>
      <c r="Y34" s="46"/>
      <c r="Z34" s="46"/>
    </row>
    <row r="35" spans="1:26" ht="27.75" customHeight="1" x14ac:dyDescent="0.25">
      <c r="A35" s="46"/>
      <c r="B35" s="350" t="s">
        <v>212</v>
      </c>
      <c r="C35" s="123" t="s">
        <v>213</v>
      </c>
      <c r="D35" s="123"/>
      <c r="E35" s="123"/>
      <c r="F35" s="46"/>
      <c r="G35" s="46"/>
      <c r="H35" s="46"/>
      <c r="I35" s="46"/>
      <c r="J35" s="46"/>
      <c r="K35" s="46"/>
      <c r="L35" s="46"/>
      <c r="M35" s="46"/>
      <c r="N35" s="46"/>
      <c r="O35" s="46"/>
      <c r="P35" s="46"/>
      <c r="Q35" s="46"/>
      <c r="R35" s="46"/>
      <c r="S35" s="46"/>
      <c r="T35" s="46"/>
      <c r="U35" s="46"/>
      <c r="V35" s="46"/>
      <c r="W35" s="46"/>
      <c r="X35" s="46"/>
      <c r="Y35" s="46"/>
      <c r="Z35" s="46"/>
    </row>
    <row r="36" spans="1:26" x14ac:dyDescent="0.25">
      <c r="A36" s="46"/>
      <c r="B36" s="46"/>
      <c r="C36" s="46"/>
      <c r="D36" s="46"/>
      <c r="E36" s="46"/>
      <c r="F36" s="46"/>
      <c r="G36" s="46"/>
      <c r="H36" s="46"/>
      <c r="I36" s="46"/>
      <c r="J36" s="46"/>
      <c r="K36" s="46"/>
      <c r="L36" s="46"/>
      <c r="M36" s="46"/>
      <c r="N36" s="46"/>
      <c r="O36" s="46"/>
      <c r="P36" s="46"/>
      <c r="Q36" s="46"/>
      <c r="R36" s="46"/>
      <c r="S36" s="46"/>
      <c r="T36" s="46"/>
      <c r="U36" s="46"/>
      <c r="V36" s="46"/>
      <c r="W36" s="46"/>
      <c r="X36" s="46"/>
      <c r="Y36" s="46"/>
      <c r="Z36" s="46"/>
    </row>
    <row r="37" spans="1:26" x14ac:dyDescent="0.25">
      <c r="A37" s="46"/>
      <c r="B37" s="45" t="s">
        <v>214</v>
      </c>
      <c r="C37" s="45"/>
      <c r="D37" s="45"/>
      <c r="E37" s="45"/>
      <c r="F37" s="46"/>
      <c r="G37" s="46"/>
      <c r="H37" s="46"/>
      <c r="I37" s="46"/>
      <c r="J37" s="46"/>
      <c r="K37" s="46"/>
      <c r="L37" s="46"/>
      <c r="M37" s="46"/>
      <c r="N37" s="46"/>
      <c r="O37" s="46"/>
      <c r="P37" s="46"/>
      <c r="Q37" s="46"/>
      <c r="R37" s="46"/>
      <c r="S37" s="46"/>
      <c r="T37" s="46"/>
      <c r="U37" s="46"/>
      <c r="V37" s="46"/>
      <c r="W37" s="46"/>
      <c r="X37" s="46"/>
      <c r="Y37" s="46"/>
      <c r="Z37" s="46"/>
    </row>
    <row r="38" spans="1:26" ht="24.75" customHeight="1" x14ac:dyDescent="0.25">
      <c r="A38" s="46"/>
      <c r="B38" s="121" t="s">
        <v>215</v>
      </c>
      <c r="C38" s="123" t="s">
        <v>216</v>
      </c>
      <c r="D38" s="123"/>
      <c r="E38" s="123"/>
      <c r="F38" s="46"/>
      <c r="G38" s="46"/>
      <c r="H38" s="46"/>
      <c r="I38" s="46"/>
      <c r="J38" s="46"/>
      <c r="K38" s="46"/>
      <c r="L38" s="46"/>
      <c r="M38" s="46"/>
      <c r="N38" s="46"/>
      <c r="O38" s="46"/>
      <c r="P38" s="46"/>
      <c r="Q38" s="46"/>
      <c r="R38" s="46"/>
      <c r="S38" s="46"/>
      <c r="T38" s="46"/>
      <c r="U38" s="46"/>
      <c r="V38" s="46"/>
      <c r="W38" s="46"/>
      <c r="X38" s="46"/>
      <c r="Y38" s="46"/>
      <c r="Z38" s="46"/>
    </row>
    <row r="39" spans="1:26" ht="24.75" customHeight="1" x14ac:dyDescent="0.25">
      <c r="A39" s="46"/>
      <c r="B39" s="121" t="s">
        <v>217</v>
      </c>
      <c r="C39" s="123" t="s">
        <v>218</v>
      </c>
      <c r="D39" s="123"/>
      <c r="E39" s="123"/>
      <c r="F39" s="46"/>
      <c r="G39" s="46"/>
      <c r="H39" s="46"/>
      <c r="I39" s="46"/>
      <c r="J39" s="46"/>
      <c r="K39" s="46"/>
      <c r="L39" s="46"/>
      <c r="M39" s="46"/>
      <c r="N39" s="46"/>
      <c r="O39" s="46"/>
      <c r="P39" s="46"/>
      <c r="Q39" s="46"/>
      <c r="R39" s="46"/>
      <c r="S39" s="46"/>
      <c r="T39" s="46"/>
      <c r="U39" s="46"/>
      <c r="V39" s="46"/>
      <c r="W39" s="46"/>
      <c r="X39" s="46"/>
      <c r="Y39" s="46"/>
      <c r="Z39" s="46"/>
    </row>
    <row r="40" spans="1:26" ht="24.75" customHeight="1" x14ac:dyDescent="0.25">
      <c r="A40" s="46"/>
      <c r="B40" s="121" t="s">
        <v>219</v>
      </c>
      <c r="C40" s="123" t="s">
        <v>220</v>
      </c>
      <c r="D40" s="123"/>
      <c r="E40" s="123"/>
      <c r="F40" s="46"/>
      <c r="G40" s="46"/>
      <c r="H40" s="46"/>
      <c r="I40" s="46"/>
      <c r="J40" s="46"/>
      <c r="K40" s="46"/>
      <c r="L40" s="46"/>
      <c r="M40" s="46"/>
      <c r="N40" s="46"/>
      <c r="O40" s="46"/>
      <c r="P40" s="46"/>
      <c r="Q40" s="46"/>
      <c r="R40" s="46"/>
      <c r="S40" s="46"/>
      <c r="T40" s="46"/>
      <c r="U40" s="46"/>
      <c r="V40" s="46"/>
      <c r="W40" s="46"/>
      <c r="X40" s="46"/>
      <c r="Y40" s="46"/>
      <c r="Z40" s="46"/>
    </row>
    <row r="41" spans="1:26" ht="24.75" customHeight="1" x14ac:dyDescent="0.25">
      <c r="A41" s="46"/>
      <c r="B41" s="121" t="s">
        <v>221</v>
      </c>
      <c r="C41" s="123" t="s">
        <v>222</v>
      </c>
      <c r="D41" s="123"/>
      <c r="E41" s="123"/>
      <c r="F41" s="46"/>
      <c r="G41" s="46"/>
      <c r="H41" s="46"/>
      <c r="I41" s="46"/>
      <c r="J41" s="46"/>
      <c r="K41" s="46"/>
      <c r="L41" s="46"/>
      <c r="M41" s="46"/>
      <c r="N41" s="46"/>
      <c r="O41" s="46"/>
      <c r="P41" s="46"/>
      <c r="Q41" s="46"/>
      <c r="R41" s="46"/>
      <c r="S41" s="46"/>
      <c r="T41" s="46"/>
      <c r="U41" s="46"/>
      <c r="V41" s="46"/>
      <c r="W41" s="46"/>
      <c r="X41" s="46"/>
      <c r="Y41" s="46"/>
      <c r="Z41" s="46"/>
    </row>
    <row r="42" spans="1:26" ht="24.75" customHeight="1" x14ac:dyDescent="0.25">
      <c r="A42" s="46"/>
      <c r="B42" s="121" t="s">
        <v>223</v>
      </c>
      <c r="C42" s="123" t="s">
        <v>224</v>
      </c>
      <c r="D42" s="123"/>
      <c r="E42" s="123"/>
      <c r="F42" s="46"/>
      <c r="G42" s="46"/>
      <c r="H42" s="46"/>
      <c r="I42" s="46"/>
      <c r="J42" s="46"/>
      <c r="K42" s="46"/>
      <c r="L42" s="46"/>
      <c r="M42" s="46"/>
      <c r="N42" s="46"/>
      <c r="O42" s="46"/>
      <c r="P42" s="46"/>
      <c r="Q42" s="46"/>
      <c r="R42" s="46"/>
      <c r="S42" s="46"/>
      <c r="T42" s="46"/>
      <c r="U42" s="46"/>
      <c r="V42" s="46"/>
      <c r="W42" s="46"/>
      <c r="X42" s="46"/>
      <c r="Y42" s="46"/>
      <c r="Z42" s="46"/>
    </row>
    <row r="43" spans="1:26" x14ac:dyDescent="0.25">
      <c r="A43" s="46"/>
      <c r="B43" s="46"/>
      <c r="C43" s="46"/>
      <c r="D43" s="46"/>
      <c r="E43" s="46"/>
      <c r="F43" s="46"/>
      <c r="G43" s="46"/>
      <c r="H43" s="46"/>
      <c r="I43" s="46"/>
      <c r="J43" s="46"/>
      <c r="K43" s="46"/>
      <c r="L43" s="46"/>
      <c r="M43" s="46"/>
      <c r="N43" s="46"/>
      <c r="O43" s="46"/>
      <c r="P43" s="46"/>
      <c r="Q43" s="46"/>
      <c r="R43" s="46"/>
      <c r="S43" s="46"/>
      <c r="T43" s="46"/>
      <c r="U43" s="46"/>
      <c r="V43" s="46"/>
      <c r="W43" s="46"/>
      <c r="X43" s="46"/>
      <c r="Y43" s="46"/>
      <c r="Z43" s="46"/>
    </row>
    <row r="44" spans="1:26" x14ac:dyDescent="0.25">
      <c r="A44" s="46"/>
      <c r="B44" s="46"/>
      <c r="C44" s="46"/>
      <c r="D44" s="46"/>
      <c r="E44" s="46"/>
      <c r="F44" s="46"/>
      <c r="G44" s="46"/>
      <c r="H44" s="46"/>
      <c r="I44" s="46"/>
      <c r="J44" s="46"/>
      <c r="K44" s="46"/>
      <c r="L44" s="46"/>
      <c r="M44" s="46"/>
      <c r="N44" s="46"/>
      <c r="O44" s="46"/>
      <c r="P44" s="46"/>
      <c r="Q44" s="46"/>
      <c r="R44" s="46"/>
      <c r="S44" s="46"/>
      <c r="T44" s="46"/>
      <c r="U44" s="46"/>
      <c r="V44" s="46"/>
      <c r="W44" s="46"/>
      <c r="X44" s="46"/>
      <c r="Y44" s="46"/>
      <c r="Z44" s="46"/>
    </row>
    <row r="45" spans="1:26" x14ac:dyDescent="0.25">
      <c r="A45" s="46"/>
      <c r="B45" s="46"/>
      <c r="C45" s="46"/>
      <c r="D45" s="46"/>
      <c r="E45" s="46"/>
      <c r="F45" s="46"/>
      <c r="G45" s="46"/>
      <c r="H45" s="46"/>
      <c r="I45" s="46"/>
      <c r="J45" s="46"/>
      <c r="K45" s="46"/>
      <c r="L45" s="46"/>
      <c r="M45" s="46"/>
      <c r="N45" s="46"/>
      <c r="O45" s="46"/>
      <c r="P45" s="46"/>
      <c r="Q45" s="46"/>
      <c r="R45" s="46"/>
      <c r="S45" s="46"/>
      <c r="T45" s="46"/>
      <c r="U45" s="46"/>
      <c r="V45" s="46"/>
      <c r="W45" s="46"/>
      <c r="X45" s="46"/>
      <c r="Y45" s="46"/>
      <c r="Z45" s="46"/>
    </row>
    <row r="46" spans="1:26" x14ac:dyDescent="0.25">
      <c r="A46" s="46"/>
      <c r="B46" s="46"/>
      <c r="C46" s="46"/>
      <c r="D46" s="46"/>
      <c r="E46" s="46"/>
      <c r="F46" s="46"/>
      <c r="G46" s="46"/>
      <c r="H46" s="46"/>
      <c r="I46" s="46"/>
      <c r="J46" s="46"/>
      <c r="K46" s="46"/>
      <c r="L46" s="46"/>
      <c r="M46" s="46"/>
      <c r="N46" s="46"/>
      <c r="O46" s="46"/>
      <c r="P46" s="46"/>
      <c r="Q46" s="46"/>
      <c r="R46" s="46"/>
      <c r="S46" s="46"/>
      <c r="T46" s="46"/>
      <c r="U46" s="46"/>
      <c r="V46" s="46"/>
      <c r="W46" s="46"/>
      <c r="X46" s="46"/>
      <c r="Y46" s="46"/>
      <c r="Z46" s="46"/>
    </row>
    <row r="47" spans="1:26" x14ac:dyDescent="0.25">
      <c r="A47" s="46"/>
      <c r="B47" s="46"/>
      <c r="C47" s="46"/>
      <c r="D47" s="46"/>
      <c r="E47" s="46"/>
      <c r="F47" s="46"/>
      <c r="G47" s="46"/>
      <c r="H47" s="46"/>
      <c r="I47" s="46"/>
      <c r="J47" s="46"/>
      <c r="K47" s="46"/>
      <c r="L47" s="46"/>
      <c r="M47" s="46"/>
      <c r="N47" s="46"/>
      <c r="O47" s="46"/>
      <c r="P47" s="46"/>
      <c r="Q47" s="46"/>
      <c r="R47" s="46"/>
      <c r="S47" s="46"/>
      <c r="T47" s="46"/>
      <c r="U47" s="46"/>
      <c r="V47" s="46"/>
      <c r="W47" s="46"/>
      <c r="X47" s="46"/>
      <c r="Y47" s="46"/>
      <c r="Z47" s="46"/>
    </row>
    <row r="48" spans="1:26" x14ac:dyDescent="0.25">
      <c r="A48" s="46"/>
      <c r="B48" s="46"/>
      <c r="C48" s="46"/>
      <c r="D48" s="46"/>
      <c r="E48" s="46"/>
      <c r="F48" s="46"/>
      <c r="G48" s="46"/>
      <c r="H48" s="46"/>
      <c r="I48" s="46"/>
      <c r="J48" s="46"/>
      <c r="K48" s="46"/>
      <c r="L48" s="46"/>
      <c r="M48" s="46"/>
      <c r="N48" s="46"/>
      <c r="O48" s="46"/>
      <c r="P48" s="46"/>
      <c r="Q48" s="46"/>
      <c r="R48" s="46"/>
      <c r="S48" s="46"/>
      <c r="T48" s="46"/>
      <c r="U48" s="46"/>
      <c r="V48" s="46"/>
      <c r="W48" s="46"/>
      <c r="X48" s="46"/>
      <c r="Y48" s="46"/>
      <c r="Z48" s="46"/>
    </row>
    <row r="49" spans="1:26" x14ac:dyDescent="0.25">
      <c r="A49" s="46"/>
      <c r="B49" s="46"/>
      <c r="C49" s="46"/>
      <c r="D49" s="46"/>
      <c r="E49" s="46"/>
      <c r="F49" s="46"/>
      <c r="G49" s="46"/>
      <c r="H49" s="46"/>
      <c r="I49" s="46"/>
      <c r="J49" s="46"/>
      <c r="K49" s="46"/>
      <c r="L49" s="46"/>
      <c r="M49" s="46"/>
      <c r="N49" s="46"/>
      <c r="O49" s="46"/>
      <c r="P49" s="46"/>
      <c r="Q49" s="46"/>
      <c r="R49" s="46"/>
      <c r="S49" s="46"/>
      <c r="T49" s="46"/>
      <c r="U49" s="46"/>
      <c r="V49" s="46"/>
      <c r="W49" s="46"/>
      <c r="X49" s="46"/>
      <c r="Y49" s="46"/>
      <c r="Z49" s="46"/>
    </row>
    <row r="50" spans="1:26" x14ac:dyDescent="0.25">
      <c r="A50" s="46"/>
      <c r="B50" s="46"/>
      <c r="C50" s="46"/>
      <c r="D50" s="46"/>
      <c r="E50" s="46"/>
      <c r="F50" s="46"/>
      <c r="G50" s="46"/>
      <c r="H50" s="46"/>
      <c r="I50" s="46"/>
      <c r="J50" s="46"/>
      <c r="K50" s="46"/>
      <c r="L50" s="46"/>
      <c r="M50" s="46"/>
      <c r="N50" s="46"/>
      <c r="O50" s="46"/>
      <c r="P50" s="46"/>
      <c r="Q50" s="46"/>
      <c r="R50" s="46"/>
      <c r="S50" s="46"/>
      <c r="T50" s="46"/>
      <c r="U50" s="46"/>
      <c r="V50" s="46"/>
      <c r="W50" s="46"/>
      <c r="X50" s="46"/>
      <c r="Y50" s="46"/>
      <c r="Z50" s="46"/>
    </row>
    <row r="51" spans="1:26" x14ac:dyDescent="0.25">
      <c r="A51" s="46"/>
      <c r="B51" s="46"/>
      <c r="C51" s="46"/>
      <c r="D51" s="46"/>
      <c r="E51" s="46"/>
      <c r="F51" s="46"/>
      <c r="G51" s="46"/>
      <c r="H51" s="46"/>
      <c r="I51" s="46"/>
      <c r="J51" s="46"/>
      <c r="K51" s="46"/>
      <c r="L51" s="46"/>
      <c r="M51" s="46"/>
      <c r="N51" s="46"/>
      <c r="O51" s="46"/>
      <c r="P51" s="46"/>
      <c r="Q51" s="46"/>
      <c r="R51" s="46"/>
      <c r="S51" s="46"/>
      <c r="T51" s="46"/>
      <c r="U51" s="46"/>
      <c r="V51" s="46"/>
      <c r="W51" s="46"/>
      <c r="X51" s="46"/>
      <c r="Y51" s="46"/>
      <c r="Z51" s="46"/>
    </row>
    <row r="52" spans="1:26" x14ac:dyDescent="0.25">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row>
    <row r="53" spans="1:26" x14ac:dyDescent="0.25">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row>
    <row r="54" spans="1:26" x14ac:dyDescent="0.25">
      <c r="A54" s="46"/>
      <c r="B54" s="46"/>
      <c r="C54" s="46"/>
      <c r="D54" s="46"/>
      <c r="E54" s="46"/>
      <c r="F54" s="46"/>
      <c r="G54" s="46"/>
      <c r="H54" s="46"/>
      <c r="I54" s="46"/>
      <c r="J54" s="46"/>
      <c r="K54" s="46"/>
      <c r="L54" s="46"/>
      <c r="M54" s="46"/>
      <c r="N54" s="46"/>
      <c r="O54" s="46"/>
      <c r="P54" s="46"/>
      <c r="Q54" s="46"/>
      <c r="R54" s="46"/>
      <c r="S54" s="46"/>
      <c r="T54" s="46"/>
      <c r="U54" s="46"/>
      <c r="V54" s="46"/>
      <c r="W54" s="46"/>
      <c r="X54" s="46"/>
      <c r="Y54" s="46"/>
      <c r="Z54" s="46"/>
    </row>
    <row r="55" spans="1:26" x14ac:dyDescent="0.25">
      <c r="A55" s="46"/>
      <c r="B55" s="46"/>
      <c r="C55" s="46"/>
      <c r="D55" s="46"/>
      <c r="E55" s="46"/>
      <c r="F55" s="46"/>
      <c r="G55" s="46"/>
      <c r="H55" s="46"/>
      <c r="I55" s="46"/>
      <c r="J55" s="46"/>
      <c r="K55" s="46"/>
      <c r="L55" s="46"/>
      <c r="M55" s="46"/>
      <c r="N55" s="46"/>
      <c r="O55" s="46"/>
      <c r="P55" s="46"/>
      <c r="Q55" s="46"/>
      <c r="R55" s="46"/>
      <c r="S55" s="46"/>
      <c r="T55" s="46"/>
      <c r="U55" s="46"/>
      <c r="V55" s="46"/>
      <c r="W55" s="46"/>
      <c r="X55" s="46"/>
      <c r="Y55" s="46"/>
      <c r="Z55" s="46"/>
    </row>
    <row r="56" spans="1:26" x14ac:dyDescent="0.25">
      <c r="A56" s="46"/>
      <c r="B56" s="46"/>
      <c r="C56" s="46"/>
      <c r="D56" s="46"/>
      <c r="E56" s="46"/>
      <c r="F56" s="46"/>
      <c r="G56" s="46"/>
      <c r="H56" s="46"/>
      <c r="I56" s="46"/>
      <c r="J56" s="46"/>
      <c r="K56" s="46"/>
      <c r="L56" s="46"/>
      <c r="M56" s="46"/>
      <c r="N56" s="46"/>
      <c r="O56" s="46"/>
      <c r="P56" s="46"/>
      <c r="Q56" s="46"/>
      <c r="R56" s="46"/>
      <c r="S56" s="46"/>
      <c r="T56" s="46"/>
      <c r="U56" s="46"/>
      <c r="V56" s="46"/>
      <c r="W56" s="46"/>
      <c r="X56" s="46"/>
      <c r="Y56" s="46"/>
      <c r="Z56" s="46"/>
    </row>
    <row r="57" spans="1:26" x14ac:dyDescent="0.25">
      <c r="A57" s="46"/>
      <c r="B57" s="46"/>
      <c r="C57" s="46"/>
      <c r="D57" s="46"/>
      <c r="E57" s="46"/>
      <c r="F57" s="46"/>
      <c r="G57" s="46"/>
      <c r="H57" s="46"/>
      <c r="I57" s="46"/>
      <c r="J57" s="46"/>
      <c r="K57" s="46"/>
      <c r="L57" s="46"/>
      <c r="M57" s="46"/>
      <c r="N57" s="46"/>
      <c r="O57" s="46"/>
      <c r="P57" s="46"/>
      <c r="Q57" s="46"/>
      <c r="R57" s="46"/>
      <c r="S57" s="46"/>
      <c r="T57" s="46"/>
      <c r="U57" s="46"/>
      <c r="V57" s="46"/>
      <c r="W57" s="46"/>
      <c r="X57" s="46"/>
      <c r="Y57" s="46"/>
      <c r="Z57" s="46"/>
    </row>
    <row r="58" spans="1:26" x14ac:dyDescent="0.25">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row>
    <row r="59" spans="1:26" x14ac:dyDescent="0.25">
      <c r="A59" s="46"/>
      <c r="B59" s="46"/>
      <c r="C59" s="46"/>
      <c r="D59" s="46"/>
      <c r="E59" s="46"/>
      <c r="F59" s="46"/>
      <c r="G59" s="46"/>
      <c r="H59" s="46"/>
      <c r="I59" s="46"/>
      <c r="J59" s="46"/>
      <c r="K59" s="46"/>
      <c r="L59" s="46"/>
      <c r="M59" s="46"/>
      <c r="N59" s="46"/>
      <c r="O59" s="46"/>
      <c r="P59" s="46"/>
      <c r="Q59" s="46"/>
      <c r="R59" s="46"/>
      <c r="S59" s="46"/>
      <c r="T59" s="46"/>
      <c r="U59" s="46"/>
      <c r="V59" s="46"/>
      <c r="W59" s="46"/>
      <c r="X59" s="46"/>
      <c r="Y59" s="46"/>
      <c r="Z59" s="46"/>
    </row>
    <row r="60" spans="1:26" x14ac:dyDescent="0.25">
      <c r="A60" s="46"/>
      <c r="B60" s="46"/>
      <c r="C60" s="46"/>
      <c r="D60" s="46"/>
      <c r="E60" s="46"/>
      <c r="F60" s="46"/>
      <c r="G60" s="46"/>
      <c r="H60" s="46"/>
      <c r="I60" s="46"/>
      <c r="J60" s="46"/>
      <c r="K60" s="46"/>
      <c r="L60" s="46"/>
      <c r="M60" s="46"/>
      <c r="N60" s="46"/>
      <c r="O60" s="46"/>
      <c r="P60" s="46"/>
      <c r="Q60" s="46"/>
      <c r="R60" s="46"/>
      <c r="S60" s="46"/>
      <c r="T60" s="46"/>
      <c r="U60" s="46"/>
      <c r="V60" s="46"/>
      <c r="W60" s="46"/>
      <c r="X60" s="46"/>
      <c r="Y60" s="46"/>
      <c r="Z60" s="46"/>
    </row>
    <row r="61" spans="1:26" x14ac:dyDescent="0.25">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row>
    <row r="62" spans="1:26" x14ac:dyDescent="0.25">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row>
    <row r="63" spans="1:26" x14ac:dyDescent="0.25">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row>
    <row r="64" spans="1:26" x14ac:dyDescent="0.25">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spans="1:26" x14ac:dyDescent="0.25">
      <c r="A65" s="46"/>
      <c r="B65" s="46"/>
      <c r="C65" s="46"/>
      <c r="D65" s="46"/>
      <c r="E65" s="46"/>
      <c r="F65" s="46"/>
      <c r="G65" s="46"/>
      <c r="H65" s="46"/>
      <c r="I65" s="46"/>
      <c r="J65" s="46"/>
      <c r="K65" s="46"/>
      <c r="L65" s="46"/>
      <c r="M65" s="46"/>
      <c r="N65" s="46"/>
      <c r="O65" s="46"/>
      <c r="P65" s="46"/>
      <c r="Q65" s="46"/>
      <c r="R65" s="46"/>
      <c r="S65" s="46"/>
      <c r="T65" s="46"/>
      <c r="U65" s="46"/>
      <c r="V65" s="46"/>
      <c r="W65" s="46"/>
      <c r="X65" s="46"/>
      <c r="Y65" s="46"/>
      <c r="Z65" s="46"/>
    </row>
    <row r="66" spans="1:26" x14ac:dyDescent="0.25">
      <c r="A66" s="46"/>
      <c r="B66" s="46"/>
      <c r="C66" s="46"/>
      <c r="D66" s="46"/>
      <c r="E66" s="46"/>
      <c r="F66" s="46"/>
      <c r="G66" s="46"/>
      <c r="H66" s="46"/>
      <c r="I66" s="46"/>
      <c r="J66" s="46"/>
      <c r="K66" s="46"/>
      <c r="L66" s="46"/>
      <c r="M66" s="46"/>
      <c r="N66" s="46"/>
      <c r="O66" s="46"/>
      <c r="P66" s="46"/>
      <c r="Q66" s="46"/>
      <c r="R66" s="46"/>
      <c r="S66" s="46"/>
      <c r="T66" s="46"/>
      <c r="U66" s="46"/>
      <c r="V66" s="46"/>
      <c r="W66" s="46"/>
      <c r="X66" s="46"/>
      <c r="Y66" s="46"/>
      <c r="Z66" s="46"/>
    </row>
    <row r="67" spans="1:26" x14ac:dyDescent="0.25">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row>
    <row r="68" spans="1:26" x14ac:dyDescent="0.25">
      <c r="A68" s="46"/>
      <c r="B68" s="46"/>
      <c r="C68" s="46"/>
      <c r="D68" s="46"/>
      <c r="E68" s="46"/>
      <c r="F68" s="46"/>
      <c r="G68" s="46"/>
      <c r="H68" s="46"/>
      <c r="I68" s="46"/>
      <c r="J68" s="46"/>
      <c r="K68" s="46"/>
      <c r="L68" s="46"/>
      <c r="M68" s="46"/>
      <c r="N68" s="46"/>
      <c r="O68" s="46"/>
      <c r="P68" s="46"/>
      <c r="Q68" s="46"/>
      <c r="R68" s="46"/>
      <c r="S68" s="46"/>
      <c r="T68" s="46"/>
      <c r="U68" s="46"/>
      <c r="V68" s="46"/>
      <c r="W68" s="46"/>
      <c r="X68" s="46"/>
      <c r="Y68" s="46"/>
      <c r="Z68" s="46"/>
    </row>
    <row r="69" spans="1:26" x14ac:dyDescent="0.25">
      <c r="A69" s="46"/>
      <c r="B69" s="46"/>
      <c r="C69" s="46"/>
      <c r="D69" s="46"/>
      <c r="E69" s="46"/>
      <c r="F69" s="46"/>
      <c r="G69" s="46"/>
      <c r="H69" s="46"/>
      <c r="I69" s="46"/>
      <c r="J69" s="46"/>
      <c r="K69" s="46"/>
      <c r="L69" s="46"/>
      <c r="M69" s="46"/>
      <c r="N69" s="46"/>
      <c r="O69" s="46"/>
      <c r="P69" s="46"/>
      <c r="Q69" s="46"/>
      <c r="R69" s="46"/>
      <c r="S69" s="46"/>
      <c r="T69" s="46"/>
      <c r="U69" s="46"/>
      <c r="V69" s="46"/>
      <c r="W69" s="46"/>
      <c r="X69" s="46"/>
      <c r="Y69" s="46"/>
      <c r="Z69" s="46"/>
    </row>
    <row r="70" spans="1:26" x14ac:dyDescent="0.25">
      <c r="A70" s="46"/>
      <c r="B70" s="46"/>
      <c r="C70" s="46"/>
      <c r="D70" s="46"/>
      <c r="E70" s="46"/>
      <c r="F70" s="46"/>
      <c r="G70" s="46"/>
      <c r="H70" s="46"/>
      <c r="I70" s="46"/>
      <c r="J70" s="46"/>
      <c r="K70" s="46"/>
      <c r="L70" s="46"/>
      <c r="M70" s="46"/>
      <c r="N70" s="46"/>
      <c r="O70" s="46"/>
      <c r="P70" s="46"/>
      <c r="Q70" s="46"/>
      <c r="R70" s="46"/>
      <c r="S70" s="46"/>
      <c r="T70" s="46"/>
      <c r="U70" s="46"/>
      <c r="V70" s="46"/>
      <c r="W70" s="46"/>
      <c r="X70" s="46"/>
      <c r="Y70" s="46"/>
      <c r="Z70" s="46"/>
    </row>
    <row r="71" spans="1:26" x14ac:dyDescent="0.25">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row>
    <row r="72" spans="1:26" x14ac:dyDescent="0.25">
      <c r="A72" s="46"/>
      <c r="B72" s="46"/>
      <c r="C72" s="46"/>
      <c r="D72" s="46"/>
      <c r="E72" s="46"/>
      <c r="F72" s="46"/>
      <c r="G72" s="46"/>
      <c r="H72" s="46"/>
      <c r="I72" s="46"/>
      <c r="J72" s="46"/>
      <c r="K72" s="46"/>
      <c r="L72" s="46"/>
      <c r="M72" s="46"/>
      <c r="N72" s="46"/>
      <c r="O72" s="46"/>
      <c r="P72" s="46"/>
      <c r="Q72" s="46"/>
      <c r="R72" s="46"/>
      <c r="S72" s="46"/>
      <c r="T72" s="46"/>
      <c r="U72" s="46"/>
      <c r="V72" s="46"/>
      <c r="W72" s="46"/>
      <c r="X72" s="46"/>
      <c r="Y72" s="46"/>
      <c r="Z72" s="46"/>
    </row>
    <row r="73" spans="1:26" x14ac:dyDescent="0.25">
      <c r="A73" s="46"/>
      <c r="B73" s="46"/>
      <c r="C73" s="46"/>
      <c r="D73" s="46"/>
      <c r="E73" s="46"/>
      <c r="F73" s="46"/>
      <c r="G73" s="46"/>
      <c r="H73" s="46"/>
      <c r="I73" s="46"/>
      <c r="J73" s="46"/>
      <c r="K73" s="46"/>
      <c r="L73" s="46"/>
      <c r="M73" s="46"/>
      <c r="N73" s="46"/>
      <c r="O73" s="46"/>
      <c r="P73" s="46"/>
      <c r="Q73" s="46"/>
      <c r="R73" s="46"/>
      <c r="S73" s="46"/>
      <c r="T73" s="46"/>
      <c r="U73" s="46"/>
      <c r="V73" s="46"/>
      <c r="W73" s="46"/>
      <c r="X73" s="46"/>
      <c r="Y73" s="46"/>
      <c r="Z73" s="46"/>
    </row>
    <row r="74" spans="1:26" x14ac:dyDescent="0.25">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spans="1:26" x14ac:dyDescent="0.25">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row>
    <row r="76" spans="1:26" x14ac:dyDescent="0.25">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row>
    <row r="77" spans="1:26" x14ac:dyDescent="0.25">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row>
    <row r="78" spans="1:26" x14ac:dyDescent="0.25">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row>
    <row r="79" spans="1:26" x14ac:dyDescent="0.25">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row>
    <row r="80" spans="1:26" x14ac:dyDescent="0.25">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x14ac:dyDescent="0.25">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row>
    <row r="83" spans="1:26" x14ac:dyDescent="0.25">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row>
    <row r="84" spans="1:26" x14ac:dyDescent="0.25">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spans="1:26" x14ac:dyDescent="0.25">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row>
    <row r="86" spans="1:26" x14ac:dyDescent="0.25">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row>
    <row r="87" spans="1:26" x14ac:dyDescent="0.25">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spans="1:26" x14ac:dyDescent="0.25">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row>
    <row r="89" spans="1:26" x14ac:dyDescent="0.25">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row>
    <row r="90" spans="1:26" x14ac:dyDescent="0.25">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row>
    <row r="91" spans="1:26"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spans="1:26"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spans="1:26" x14ac:dyDescent="0.25">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x14ac:dyDescent="0.25">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x14ac:dyDescent="0.25">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x14ac:dyDescent="0.25">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spans="1:26" x14ac:dyDescent="0.25">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0" spans="1:26" x14ac:dyDescent="0.25">
      <c r="A100" s="46"/>
      <c r="B100" s="46"/>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row>
    <row r="101" spans="1:26" x14ac:dyDescent="0.25">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row>
    <row r="102" spans="1:26" x14ac:dyDescent="0.25">
      <c r="A102" s="46"/>
      <c r="B102" s="46"/>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row>
    <row r="103" spans="1:26" x14ac:dyDescent="0.25">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row>
    <row r="104" spans="1:26" x14ac:dyDescent="0.2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row>
    <row r="105" spans="1:26" x14ac:dyDescent="0.25">
      <c r="A105" s="46"/>
      <c r="B105" s="46"/>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row>
    <row r="106" spans="1:26" x14ac:dyDescent="0.25">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row>
    <row r="107" spans="1:26" x14ac:dyDescent="0.25">
      <c r="A107" s="46"/>
      <c r="B107" s="46"/>
      <c r="C107" s="46"/>
      <c r="D107" s="46"/>
      <c r="E107" s="46"/>
      <c r="F107" s="46"/>
      <c r="G107" s="46"/>
      <c r="H107" s="46"/>
      <c r="I107" s="46"/>
      <c r="J107" s="46"/>
      <c r="K107" s="46"/>
      <c r="L107" s="46"/>
      <c r="M107" s="46"/>
      <c r="N107" s="46"/>
      <c r="O107" s="46"/>
      <c r="P107" s="46"/>
      <c r="Q107" s="46"/>
      <c r="R107" s="46"/>
      <c r="S107" s="46"/>
      <c r="T107" s="46"/>
      <c r="U107" s="46"/>
      <c r="V107" s="46"/>
      <c r="W107" s="46"/>
      <c r="X107" s="46"/>
      <c r="Y107" s="46"/>
      <c r="Z107" s="46"/>
    </row>
    <row r="108" spans="1:26" x14ac:dyDescent="0.25">
      <c r="A108" s="46"/>
      <c r="B108" s="46"/>
      <c r="C108" s="46"/>
      <c r="D108" s="46"/>
      <c r="E108" s="46"/>
      <c r="F108" s="46"/>
      <c r="G108" s="46"/>
      <c r="H108" s="46"/>
      <c r="I108" s="46"/>
      <c r="J108" s="46"/>
      <c r="K108" s="46"/>
      <c r="L108" s="46"/>
      <c r="M108" s="46"/>
      <c r="N108" s="46"/>
      <c r="O108" s="46"/>
      <c r="P108" s="46"/>
      <c r="Q108" s="46"/>
      <c r="R108" s="46"/>
      <c r="S108" s="46"/>
      <c r="T108" s="46"/>
      <c r="U108" s="46"/>
      <c r="V108" s="46"/>
      <c r="W108" s="46"/>
      <c r="X108" s="46"/>
      <c r="Y108" s="46"/>
      <c r="Z108" s="46"/>
    </row>
    <row r="109" spans="1:26" x14ac:dyDescent="0.25">
      <c r="A109" s="46"/>
      <c r="B109" s="46"/>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row>
    <row r="110" spans="1:26" x14ac:dyDescent="0.25">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row>
    <row r="111" spans="1:26" x14ac:dyDescent="0.25">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spans="1:26" x14ac:dyDescent="0.25">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spans="1:26" x14ac:dyDescent="0.25">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row>
    <row r="114" spans="1:26" x14ac:dyDescent="0.25">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row>
    <row r="115" spans="1:26" x14ac:dyDescent="0.2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spans="1:26" x14ac:dyDescent="0.25">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spans="1:26" x14ac:dyDescent="0.25">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spans="1:26" x14ac:dyDescent="0.25">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spans="1:26" x14ac:dyDescent="0.25">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spans="1:26" x14ac:dyDescent="0.25">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spans="1:26" x14ac:dyDescent="0.25">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spans="1:26" x14ac:dyDescent="0.25">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spans="1:26" x14ac:dyDescent="0.25">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spans="1:26" x14ac:dyDescent="0.25">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spans="1:26" x14ac:dyDescent="0.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spans="1:26" x14ac:dyDescent="0.25">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spans="1:26" x14ac:dyDescent="0.25">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spans="1:26" x14ac:dyDescent="0.25">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spans="1:26" x14ac:dyDescent="0.25">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spans="1:26" x14ac:dyDescent="0.25">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spans="1:26" x14ac:dyDescent="0.25">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spans="1:26" x14ac:dyDescent="0.25">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spans="1:26" x14ac:dyDescent="0.25">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spans="1:26" x14ac:dyDescent="0.25">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spans="1:26" x14ac:dyDescent="0.2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spans="1:26" x14ac:dyDescent="0.25">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spans="1:26" x14ac:dyDescent="0.25">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spans="1:26" x14ac:dyDescent="0.25">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spans="1:26" x14ac:dyDescent="0.25">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spans="1:26" x14ac:dyDescent="0.25">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spans="1:26" x14ac:dyDescent="0.25">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spans="1:26" x14ac:dyDescent="0.25">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spans="1:26" x14ac:dyDescent="0.25">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spans="1:26" x14ac:dyDescent="0.25">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spans="1:26" x14ac:dyDescent="0.2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spans="1:26" x14ac:dyDescent="0.25">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spans="1:26" x14ac:dyDescent="0.25">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spans="1:26" x14ac:dyDescent="0.25">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spans="1:26" x14ac:dyDescent="0.25">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spans="1:26" x14ac:dyDescent="0.25">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spans="1:26" x14ac:dyDescent="0.25">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spans="1:26" x14ac:dyDescent="0.25">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spans="1:26" x14ac:dyDescent="0.25">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spans="1:26" x14ac:dyDescent="0.25">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spans="1:26" x14ac:dyDescent="0.2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spans="1:26" x14ac:dyDescent="0.25">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spans="1:26" x14ac:dyDescent="0.25">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spans="1:26" x14ac:dyDescent="0.25">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spans="1:26" x14ac:dyDescent="0.25">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spans="1:26" x14ac:dyDescent="0.25">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spans="1:26" x14ac:dyDescent="0.25">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spans="1:26" x14ac:dyDescent="0.25">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spans="1:26" x14ac:dyDescent="0.25">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spans="1:26" x14ac:dyDescent="0.25">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spans="1:26" x14ac:dyDescent="0.2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spans="1:26" x14ac:dyDescent="0.25">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spans="1:26" x14ac:dyDescent="0.25">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spans="1:26" x14ac:dyDescent="0.25">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spans="1:26" x14ac:dyDescent="0.25">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spans="1:26" x14ac:dyDescent="0.25">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spans="1:26" x14ac:dyDescent="0.25">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spans="1:26" x14ac:dyDescent="0.25">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spans="1:26" x14ac:dyDescent="0.25">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spans="1:26" x14ac:dyDescent="0.25">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spans="1:26" x14ac:dyDescent="0.2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spans="1:26" x14ac:dyDescent="0.25">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spans="1:26" x14ac:dyDescent="0.25">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spans="1:26" x14ac:dyDescent="0.25">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spans="1:26" x14ac:dyDescent="0.25">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spans="1:26" x14ac:dyDescent="0.25">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spans="1:26" x14ac:dyDescent="0.25">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spans="1:26" x14ac:dyDescent="0.25">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spans="1:26" x14ac:dyDescent="0.25">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spans="1:26" x14ac:dyDescent="0.25">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spans="1:26" x14ac:dyDescent="0.2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spans="1:26" x14ac:dyDescent="0.25">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spans="1:26" x14ac:dyDescent="0.25">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spans="1:26" x14ac:dyDescent="0.25">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spans="1:26" x14ac:dyDescent="0.25">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spans="1:26" x14ac:dyDescent="0.25">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spans="1:26" x14ac:dyDescent="0.25">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spans="1:26" x14ac:dyDescent="0.25">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spans="1:26" x14ac:dyDescent="0.25">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spans="1:26" x14ac:dyDescent="0.25">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spans="1:26" x14ac:dyDescent="0.2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spans="1:26" x14ac:dyDescent="0.25">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spans="1:26" x14ac:dyDescent="0.25">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spans="1:26" x14ac:dyDescent="0.25">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spans="1:26" x14ac:dyDescent="0.25">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spans="1:26" x14ac:dyDescent="0.25">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spans="1:26" x14ac:dyDescent="0.25">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spans="1:26" x14ac:dyDescent="0.25">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spans="1:26" x14ac:dyDescent="0.25">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spans="1:26" x14ac:dyDescent="0.25">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spans="1:26" x14ac:dyDescent="0.2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spans="1:26" x14ac:dyDescent="0.25">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spans="1:26" x14ac:dyDescent="0.25">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spans="1:26" x14ac:dyDescent="0.25">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spans="1:26" x14ac:dyDescent="0.25">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spans="1:26" x14ac:dyDescent="0.25">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spans="1:26" x14ac:dyDescent="0.25">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spans="1:26" x14ac:dyDescent="0.25">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spans="1:26" x14ac:dyDescent="0.25">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spans="1:26" x14ac:dyDescent="0.25">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spans="1:26" x14ac:dyDescent="0.2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spans="1:26" x14ac:dyDescent="0.25">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spans="1:26" x14ac:dyDescent="0.25">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spans="1:26" x14ac:dyDescent="0.25">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spans="1:26" x14ac:dyDescent="0.25">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spans="1:26" x14ac:dyDescent="0.25">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spans="1:26" x14ac:dyDescent="0.25">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spans="1:26" x14ac:dyDescent="0.25">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spans="1:26" x14ac:dyDescent="0.25">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spans="1:26" x14ac:dyDescent="0.25">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spans="1:26" x14ac:dyDescent="0.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spans="1:26" x14ac:dyDescent="0.25">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spans="1:26" x14ac:dyDescent="0.25">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spans="1:26" x14ac:dyDescent="0.25">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spans="1:26" x14ac:dyDescent="0.25">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spans="1:26" x14ac:dyDescent="0.25">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spans="1:26" x14ac:dyDescent="0.25">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spans="1:26" x14ac:dyDescent="0.25">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spans="1:26" x14ac:dyDescent="0.25">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spans="1:26" x14ac:dyDescent="0.25">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spans="1:26" x14ac:dyDescent="0.2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spans="1:26" x14ac:dyDescent="0.25">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spans="1:26" x14ac:dyDescent="0.25">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spans="1:26" x14ac:dyDescent="0.25">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spans="1:26" x14ac:dyDescent="0.25">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spans="1:26" x14ac:dyDescent="0.25">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spans="1:26" x14ac:dyDescent="0.25">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spans="1:26" x14ac:dyDescent="0.25">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spans="1:26" x14ac:dyDescent="0.25">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spans="1:26" x14ac:dyDescent="0.25">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spans="1:26" x14ac:dyDescent="0.2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spans="1:26" x14ac:dyDescent="0.25">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spans="1:26" x14ac:dyDescent="0.25">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spans="1:26" x14ac:dyDescent="0.25">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spans="1:26" x14ac:dyDescent="0.25">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spans="1:26" x14ac:dyDescent="0.25">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spans="1:26" x14ac:dyDescent="0.25">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spans="1:26" x14ac:dyDescent="0.25">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spans="1:26" x14ac:dyDescent="0.25">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spans="1:26" x14ac:dyDescent="0.25">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spans="1:26" x14ac:dyDescent="0.2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spans="1:26" x14ac:dyDescent="0.25">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spans="1:26" x14ac:dyDescent="0.25">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spans="1:26" x14ac:dyDescent="0.25">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spans="1:26" x14ac:dyDescent="0.25">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spans="1:26" x14ac:dyDescent="0.25">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spans="1:26" x14ac:dyDescent="0.25">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spans="1:26" x14ac:dyDescent="0.25">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spans="1:26" x14ac:dyDescent="0.25">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spans="1:26" x14ac:dyDescent="0.25">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spans="1:26" x14ac:dyDescent="0.2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spans="1:26" x14ac:dyDescent="0.25">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spans="1:26" x14ac:dyDescent="0.25">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spans="1:26" x14ac:dyDescent="0.25">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spans="1:26" x14ac:dyDescent="0.25">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spans="1:26" x14ac:dyDescent="0.25">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spans="1:26" x14ac:dyDescent="0.25">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spans="1:26" x14ac:dyDescent="0.25">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spans="1:26" x14ac:dyDescent="0.25">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spans="1:26" x14ac:dyDescent="0.25">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spans="1:26" x14ac:dyDescent="0.2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spans="1:26" x14ac:dyDescent="0.25">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spans="1:26" x14ac:dyDescent="0.25">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spans="1:26" x14ac:dyDescent="0.25">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spans="1:26" x14ac:dyDescent="0.25">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spans="1:26" x14ac:dyDescent="0.25">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spans="1:26" x14ac:dyDescent="0.25">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spans="1:26" x14ac:dyDescent="0.25">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spans="1:26" x14ac:dyDescent="0.25">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spans="1:26" x14ac:dyDescent="0.25">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spans="1:26" x14ac:dyDescent="0.2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spans="1:26" x14ac:dyDescent="0.25">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spans="1:26" x14ac:dyDescent="0.25">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spans="1:26" x14ac:dyDescent="0.25">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spans="1:26" x14ac:dyDescent="0.25">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spans="1:26" x14ac:dyDescent="0.25">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spans="1:26" x14ac:dyDescent="0.25">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spans="1:26" x14ac:dyDescent="0.25">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spans="1:26" x14ac:dyDescent="0.25">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spans="1:26" x14ac:dyDescent="0.25">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spans="1:26" x14ac:dyDescent="0.2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spans="1:26" x14ac:dyDescent="0.25">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spans="1:26" x14ac:dyDescent="0.25">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spans="1:26" x14ac:dyDescent="0.25">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spans="1:26" x14ac:dyDescent="0.25">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spans="1:26" x14ac:dyDescent="0.25">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spans="1:26" x14ac:dyDescent="0.25">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spans="1:26" x14ac:dyDescent="0.25">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spans="1:26" x14ac:dyDescent="0.25">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spans="1:26" x14ac:dyDescent="0.25">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spans="1:26" x14ac:dyDescent="0.2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spans="1:26" x14ac:dyDescent="0.25">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spans="1:26" x14ac:dyDescent="0.25">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spans="1:26" x14ac:dyDescent="0.25">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spans="1:26" x14ac:dyDescent="0.25">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spans="1:26" x14ac:dyDescent="0.25">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spans="1:26" x14ac:dyDescent="0.25">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spans="1:26" x14ac:dyDescent="0.25">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spans="1:26" x14ac:dyDescent="0.25">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spans="1:26" x14ac:dyDescent="0.25">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spans="1:26" x14ac:dyDescent="0.2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spans="1:26" x14ac:dyDescent="0.25">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spans="1:26" x14ac:dyDescent="0.25">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spans="1:26" x14ac:dyDescent="0.25">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spans="1:26" x14ac:dyDescent="0.25">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spans="1:26" x14ac:dyDescent="0.25">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spans="1:26" x14ac:dyDescent="0.25">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spans="1:26" x14ac:dyDescent="0.25">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spans="1:26" x14ac:dyDescent="0.25">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spans="1:26" x14ac:dyDescent="0.25">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spans="1:26" x14ac:dyDescent="0.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spans="1:26" x14ac:dyDescent="0.25">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spans="1:26" x14ac:dyDescent="0.25">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spans="1:26" x14ac:dyDescent="0.25">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spans="1:26" x14ac:dyDescent="0.25">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spans="1:26" x14ac:dyDescent="0.25">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spans="1:26" x14ac:dyDescent="0.25">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spans="1:26" x14ac:dyDescent="0.25">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spans="1:26" x14ac:dyDescent="0.25">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spans="1:26" x14ac:dyDescent="0.25">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spans="1:26" x14ac:dyDescent="0.2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spans="1:26" x14ac:dyDescent="0.25">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spans="1:26" x14ac:dyDescent="0.25">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spans="1:26" x14ac:dyDescent="0.25">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spans="1:26" x14ac:dyDescent="0.25">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spans="1:26" x14ac:dyDescent="0.25">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spans="1:26" x14ac:dyDescent="0.25">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spans="1:26" x14ac:dyDescent="0.25">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spans="1:26" x14ac:dyDescent="0.25">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spans="1:26" x14ac:dyDescent="0.25">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spans="1:26" x14ac:dyDescent="0.2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spans="1:26" x14ac:dyDescent="0.25">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spans="1:26" x14ac:dyDescent="0.25">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spans="1:26" x14ac:dyDescent="0.25">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spans="1:26" x14ac:dyDescent="0.25">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spans="1:26" x14ac:dyDescent="0.25">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spans="1:26" x14ac:dyDescent="0.25">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spans="1:26" x14ac:dyDescent="0.25">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spans="1:26" x14ac:dyDescent="0.25">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spans="1:26" x14ac:dyDescent="0.25">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spans="1:26" x14ac:dyDescent="0.2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spans="1:26" x14ac:dyDescent="0.25">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spans="1:26" x14ac:dyDescent="0.25">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spans="1:26" x14ac:dyDescent="0.25">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spans="1:26" x14ac:dyDescent="0.25">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spans="1:26" x14ac:dyDescent="0.25">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spans="1:26" x14ac:dyDescent="0.25">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spans="1:26" x14ac:dyDescent="0.25">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spans="1:26" x14ac:dyDescent="0.25">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spans="1:26" x14ac:dyDescent="0.25">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spans="1:26" x14ac:dyDescent="0.2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spans="1:26" x14ac:dyDescent="0.25">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spans="1:26" x14ac:dyDescent="0.25">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spans="1:26" x14ac:dyDescent="0.25">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spans="1:26" x14ac:dyDescent="0.25">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spans="1:26" x14ac:dyDescent="0.25">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spans="1:26" x14ac:dyDescent="0.25">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spans="1:26" x14ac:dyDescent="0.25">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spans="1:26" x14ac:dyDescent="0.25">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spans="1:26" x14ac:dyDescent="0.25">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spans="1:26" x14ac:dyDescent="0.2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spans="1:26" x14ac:dyDescent="0.25">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spans="1:26" x14ac:dyDescent="0.25">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spans="1:26" x14ac:dyDescent="0.25">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spans="1:26" x14ac:dyDescent="0.25">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spans="1:26" x14ac:dyDescent="0.25">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spans="1:26" x14ac:dyDescent="0.25">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spans="1:26" x14ac:dyDescent="0.25">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spans="1:26" x14ac:dyDescent="0.25">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spans="1:26" x14ac:dyDescent="0.25">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spans="1:26" x14ac:dyDescent="0.2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spans="1:26" x14ac:dyDescent="0.25">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spans="1:26" x14ac:dyDescent="0.25">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spans="1:26" x14ac:dyDescent="0.25">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spans="1:26" x14ac:dyDescent="0.25">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spans="1:26" x14ac:dyDescent="0.25">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spans="1:26" x14ac:dyDescent="0.25">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spans="1:26" x14ac:dyDescent="0.25">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spans="1:26" x14ac:dyDescent="0.25">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spans="1:26" x14ac:dyDescent="0.25">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spans="1:26" x14ac:dyDescent="0.2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spans="1:26" x14ac:dyDescent="0.25">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spans="1:26" x14ac:dyDescent="0.25">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spans="1:26" x14ac:dyDescent="0.25">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spans="1:26" x14ac:dyDescent="0.25">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spans="1:26" x14ac:dyDescent="0.25">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spans="1:26" x14ac:dyDescent="0.25">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spans="1:26" x14ac:dyDescent="0.25">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spans="1:26" x14ac:dyDescent="0.25">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spans="1:26" x14ac:dyDescent="0.25">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spans="1:26" x14ac:dyDescent="0.2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spans="1:26" x14ac:dyDescent="0.25">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spans="1:26" x14ac:dyDescent="0.25">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spans="1:26" x14ac:dyDescent="0.25">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spans="1:26" x14ac:dyDescent="0.25">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spans="1:26" x14ac:dyDescent="0.25">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spans="1:26" x14ac:dyDescent="0.25">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spans="1:26" x14ac:dyDescent="0.25">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spans="1:26" x14ac:dyDescent="0.25">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spans="1:26" x14ac:dyDescent="0.25">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spans="1:26" x14ac:dyDescent="0.2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spans="1:26" x14ac:dyDescent="0.25">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spans="1:26" x14ac:dyDescent="0.25">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spans="1:26" x14ac:dyDescent="0.25">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spans="1:26" x14ac:dyDescent="0.25">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spans="1:26" x14ac:dyDescent="0.25">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spans="1:26" x14ac:dyDescent="0.25">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spans="1:26" x14ac:dyDescent="0.25">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spans="1:26" x14ac:dyDescent="0.25">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spans="1:26" x14ac:dyDescent="0.25">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spans="1:26" x14ac:dyDescent="0.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spans="1:26" x14ac:dyDescent="0.25">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spans="1:26" x14ac:dyDescent="0.25">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spans="1:26" x14ac:dyDescent="0.25">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spans="1:26" x14ac:dyDescent="0.25">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spans="1:26" x14ac:dyDescent="0.25">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spans="1:26" x14ac:dyDescent="0.25">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spans="1:26" x14ac:dyDescent="0.25">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spans="1:26" x14ac:dyDescent="0.25">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spans="1:26" x14ac:dyDescent="0.25">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spans="1:26" x14ac:dyDescent="0.2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spans="1:26" x14ac:dyDescent="0.25">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spans="1:26" x14ac:dyDescent="0.25">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spans="1:26" x14ac:dyDescent="0.25">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spans="1:26" x14ac:dyDescent="0.25">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spans="1:26" x14ac:dyDescent="0.25">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spans="1:26" x14ac:dyDescent="0.25">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spans="1:26" x14ac:dyDescent="0.25">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spans="1:26" x14ac:dyDescent="0.25">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spans="1:26" x14ac:dyDescent="0.25">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spans="1:26" x14ac:dyDescent="0.2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spans="1:26" x14ac:dyDescent="0.25">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spans="1:26" x14ac:dyDescent="0.25">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spans="1:26" x14ac:dyDescent="0.25">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spans="1:26" x14ac:dyDescent="0.25">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spans="1:26" x14ac:dyDescent="0.25">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spans="1:26" x14ac:dyDescent="0.25">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spans="1:26" x14ac:dyDescent="0.25">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spans="1:26" x14ac:dyDescent="0.25">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spans="1:26" x14ac:dyDescent="0.25">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spans="1:26" x14ac:dyDescent="0.2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spans="1:26" x14ac:dyDescent="0.25">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spans="1:26" x14ac:dyDescent="0.25">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spans="1:26" x14ac:dyDescent="0.25">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spans="1:26" x14ac:dyDescent="0.25">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spans="1:26" x14ac:dyDescent="0.25">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spans="1:26" x14ac:dyDescent="0.25">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spans="1:26" x14ac:dyDescent="0.25">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spans="1:26" x14ac:dyDescent="0.25">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spans="1:26" x14ac:dyDescent="0.25">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spans="1:26" x14ac:dyDescent="0.2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spans="1:26" x14ac:dyDescent="0.25">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spans="1:26" x14ac:dyDescent="0.25">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spans="1:26" x14ac:dyDescent="0.25">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spans="1:26" x14ac:dyDescent="0.25">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spans="1:26" x14ac:dyDescent="0.25">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spans="1:26" x14ac:dyDescent="0.25">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spans="1:26" x14ac:dyDescent="0.25">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spans="1:26" x14ac:dyDescent="0.25">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spans="1:26" x14ac:dyDescent="0.25">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spans="1:26" x14ac:dyDescent="0.2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spans="1:26" x14ac:dyDescent="0.25">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spans="1:26" x14ac:dyDescent="0.25">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spans="1:26" x14ac:dyDescent="0.25">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spans="1:26" x14ac:dyDescent="0.25">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spans="1:26" x14ac:dyDescent="0.25">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spans="1:26" x14ac:dyDescent="0.25">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spans="1:26" x14ac:dyDescent="0.25">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spans="1:26" x14ac:dyDescent="0.25">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spans="1:26" x14ac:dyDescent="0.25">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spans="1:26" x14ac:dyDescent="0.2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spans="1:26" x14ac:dyDescent="0.25">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spans="1:26" x14ac:dyDescent="0.25">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spans="1:26" x14ac:dyDescent="0.25">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spans="1:26" x14ac:dyDescent="0.25">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spans="1:26" x14ac:dyDescent="0.25">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spans="1:26" x14ac:dyDescent="0.25">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spans="1:26" x14ac:dyDescent="0.25">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spans="1:26" x14ac:dyDescent="0.25">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spans="1:26" x14ac:dyDescent="0.25">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spans="1:26" x14ac:dyDescent="0.2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spans="1:26" x14ac:dyDescent="0.25">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spans="1:26" x14ac:dyDescent="0.25">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spans="1:26" x14ac:dyDescent="0.25">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spans="1:26" x14ac:dyDescent="0.25">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spans="1:26" x14ac:dyDescent="0.25">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sheetData>
  <sheetProtection sheet="1" objects="1" scenarios="1"/>
  <mergeCells count="23">
    <mergeCell ref="C40:E40"/>
    <mergeCell ref="C41:E41"/>
    <mergeCell ref="C42:E42"/>
    <mergeCell ref="C34:E34"/>
    <mergeCell ref="C35:E35"/>
    <mergeCell ref="B37:E37"/>
    <mergeCell ref="C38:E38"/>
    <mergeCell ref="C39:E39"/>
    <mergeCell ref="C28:E28"/>
    <mergeCell ref="C29:E29"/>
    <mergeCell ref="C30:E30"/>
    <mergeCell ref="B32:E32"/>
    <mergeCell ref="C33:E33"/>
    <mergeCell ref="C23:E23"/>
    <mergeCell ref="C24:E24"/>
    <mergeCell ref="C25:E25"/>
    <mergeCell ref="C26:E26"/>
    <mergeCell ref="C27:E27"/>
    <mergeCell ref="B2:E2"/>
    <mergeCell ref="B4:E4"/>
    <mergeCell ref="B20:E20"/>
    <mergeCell ref="C21:E21"/>
    <mergeCell ref="C22:E2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C0-E23D-4579-8038-B9C1638B8462}">
  <dimension ref="A1:Z500"/>
  <sheetViews>
    <sheetView showGridLines="0" topLeftCell="A9" workbookViewId="0">
      <selection activeCell="B2" sqref="B2"/>
    </sheetView>
  </sheetViews>
  <sheetFormatPr defaultRowHeight="15" x14ac:dyDescent="0.25"/>
  <cols>
    <col min="1" max="1" width="2.85546875" customWidth="1"/>
    <col min="2" max="2" width="47.5703125" customWidth="1"/>
    <col min="3" max="3" width="19" customWidth="1"/>
    <col min="4" max="5" width="16.140625" customWidth="1"/>
    <col min="6" max="6" width="34.28515625" customWidth="1"/>
    <col min="7" max="7" width="16.140625" customWidth="1"/>
  </cols>
  <sheetData>
    <row r="1" spans="1:26" x14ac:dyDescent="0.25">
      <c r="A1" s="46"/>
      <c r="B1" s="46"/>
      <c r="C1" s="46"/>
      <c r="D1" s="46"/>
      <c r="E1" s="46"/>
      <c r="F1" s="46"/>
      <c r="G1" s="46"/>
      <c r="H1" s="46"/>
      <c r="I1" s="46"/>
      <c r="J1" s="46"/>
      <c r="K1" s="46"/>
      <c r="L1" s="46"/>
      <c r="M1" s="46"/>
      <c r="N1" s="46"/>
      <c r="O1" s="46"/>
      <c r="P1" s="46"/>
      <c r="Q1" s="46"/>
      <c r="R1" s="46"/>
      <c r="S1" s="46"/>
      <c r="T1" s="46"/>
      <c r="U1" s="46"/>
      <c r="V1" s="46"/>
      <c r="W1" s="46"/>
      <c r="X1" s="46"/>
      <c r="Y1" s="46"/>
      <c r="Z1" s="46"/>
    </row>
    <row r="2" spans="1:26" ht="18" x14ac:dyDescent="0.25">
      <c r="A2" s="46"/>
      <c r="B2" s="124" t="s">
        <v>585</v>
      </c>
      <c r="C2" s="125"/>
      <c r="D2" s="125"/>
      <c r="E2" s="125"/>
      <c r="F2" s="125"/>
      <c r="G2" s="125"/>
      <c r="H2" s="46"/>
      <c r="I2" s="46"/>
      <c r="J2" s="46"/>
      <c r="K2" s="46"/>
      <c r="L2" s="46"/>
      <c r="M2" s="46"/>
      <c r="N2" s="46"/>
      <c r="O2" s="46"/>
      <c r="P2" s="46"/>
      <c r="Q2" s="46"/>
      <c r="R2" s="46"/>
      <c r="S2" s="46"/>
      <c r="T2" s="46"/>
      <c r="U2" s="46"/>
      <c r="V2" s="46"/>
      <c r="W2" s="46"/>
      <c r="X2" s="46"/>
      <c r="Y2" s="46"/>
      <c r="Z2" s="46"/>
    </row>
    <row r="3" spans="1:26" x14ac:dyDescent="0.25">
      <c r="A3" s="46"/>
      <c r="B3" s="351" t="str">
        <f ca="1">"All values linked to Hardware Inputs and Workload Planner tabs. Last updated: "&amp;TEXT(NOW(),"mm/dd/yyyy hh:mm AM/PM")</f>
        <v>All values linked to Hardware Inputs and Workload Planner tabs. Last updated: 04/01/2026 09:11 AM</v>
      </c>
      <c r="C3" s="254"/>
      <c r="D3" s="254"/>
      <c r="E3" s="254"/>
      <c r="F3" s="254"/>
      <c r="G3" s="254"/>
      <c r="H3" s="46"/>
      <c r="I3" s="46"/>
      <c r="J3" s="46"/>
      <c r="K3" s="46"/>
      <c r="L3" s="46"/>
      <c r="M3" s="46"/>
      <c r="N3" s="46"/>
      <c r="O3" s="46"/>
      <c r="P3" s="46"/>
      <c r="Q3" s="46"/>
      <c r="R3" s="46"/>
      <c r="S3" s="46"/>
      <c r="T3" s="46"/>
      <c r="U3" s="46"/>
      <c r="V3" s="46"/>
      <c r="W3" s="46"/>
      <c r="X3" s="46"/>
      <c r="Y3" s="46"/>
      <c r="Z3" s="46"/>
    </row>
    <row r="4" spans="1:26" x14ac:dyDescent="0.25">
      <c r="A4" s="46"/>
      <c r="B4" s="126" t="s">
        <v>586</v>
      </c>
      <c r="C4" s="127"/>
      <c r="D4" s="127"/>
      <c r="E4" s="127"/>
      <c r="F4" s="127"/>
      <c r="G4" s="127"/>
      <c r="H4" s="46"/>
      <c r="I4" s="46"/>
      <c r="J4" s="46"/>
      <c r="K4" s="46"/>
      <c r="L4" s="46"/>
      <c r="M4" s="46"/>
      <c r="N4" s="46"/>
      <c r="O4" s="46"/>
      <c r="P4" s="46"/>
      <c r="Q4" s="46"/>
      <c r="R4" s="46"/>
      <c r="S4" s="46"/>
      <c r="T4" s="46"/>
      <c r="U4" s="46"/>
      <c r="V4" s="46"/>
      <c r="W4" s="46"/>
      <c r="X4" s="46"/>
      <c r="Y4" s="46"/>
      <c r="Z4" s="46"/>
    </row>
    <row r="5" spans="1:26" x14ac:dyDescent="0.25">
      <c r="A5" s="46"/>
      <c r="B5" s="63" t="s">
        <v>173</v>
      </c>
      <c r="C5" s="71">
        <f>'Hardware Inputs'!C8</f>
        <v>3</v>
      </c>
      <c r="D5" s="352" t="s">
        <v>174</v>
      </c>
      <c r="E5" s="46"/>
      <c r="F5" s="46"/>
      <c r="G5" s="46"/>
      <c r="H5" s="46"/>
      <c r="I5" s="46"/>
      <c r="J5" s="46"/>
      <c r="K5" s="46"/>
      <c r="L5" s="46"/>
      <c r="M5" s="46"/>
      <c r="N5" s="46"/>
      <c r="O5" s="46"/>
      <c r="P5" s="46"/>
      <c r="Q5" s="46"/>
      <c r="R5" s="46"/>
      <c r="S5" s="46"/>
      <c r="T5" s="46"/>
      <c r="U5" s="46"/>
      <c r="V5" s="46"/>
      <c r="W5" s="46"/>
      <c r="X5" s="46"/>
      <c r="Y5" s="46"/>
      <c r="Z5" s="46"/>
    </row>
    <row r="6" spans="1:26" x14ac:dyDescent="0.25">
      <c r="A6" s="46"/>
      <c r="B6" s="63" t="s">
        <v>472</v>
      </c>
      <c r="C6" s="71">
        <f>'Hardware Inputs'!C29</f>
        <v>32</v>
      </c>
      <c r="D6" s="352" t="s">
        <v>473</v>
      </c>
      <c r="E6" s="46"/>
      <c r="F6" s="134" t="str">
        <f>IF('Hardware Inputs'!C30="Yes","Hyperthreading: ON","Hyperthreading: OFF")</f>
        <v>Hyperthreading: ON</v>
      </c>
      <c r="G6" s="46"/>
      <c r="H6" s="46"/>
      <c r="I6" s="46"/>
      <c r="J6" s="46"/>
      <c r="K6" s="46"/>
      <c r="L6" s="46"/>
      <c r="M6" s="46"/>
      <c r="N6" s="46"/>
      <c r="O6" s="46"/>
      <c r="P6" s="46"/>
      <c r="Q6" s="46"/>
      <c r="R6" s="46"/>
      <c r="S6" s="46"/>
      <c r="T6" s="46"/>
      <c r="U6" s="46"/>
      <c r="V6" s="46"/>
      <c r="W6" s="46"/>
      <c r="X6" s="46"/>
      <c r="Y6" s="46"/>
      <c r="Z6" s="46"/>
    </row>
    <row r="7" spans="1:26" x14ac:dyDescent="0.25">
      <c r="A7" s="46"/>
      <c r="B7" s="63" t="s">
        <v>483</v>
      </c>
      <c r="C7" s="71">
        <f>'Hardware Inputs'!C35</f>
        <v>64</v>
      </c>
      <c r="D7" s="352" t="s">
        <v>484</v>
      </c>
      <c r="E7" s="46"/>
      <c r="F7" s="134" t="str">
        <f>"Physical cores × "&amp;IF('Hardware Inputs'!C30="Yes","2 (HT)","1 (no HT)")</f>
        <v>Physical cores × 2 (HT)</v>
      </c>
      <c r="G7" s="46"/>
      <c r="H7" s="46"/>
      <c r="I7" s="46"/>
      <c r="J7" s="46"/>
      <c r="K7" s="46"/>
      <c r="L7" s="46"/>
      <c r="M7" s="46"/>
      <c r="N7" s="46"/>
      <c r="O7" s="46"/>
      <c r="P7" s="46"/>
      <c r="Q7" s="46"/>
      <c r="R7" s="46"/>
      <c r="S7" s="46"/>
      <c r="T7" s="46"/>
      <c r="U7" s="46"/>
      <c r="V7" s="46"/>
      <c r="W7" s="46"/>
      <c r="X7" s="46"/>
      <c r="Y7" s="46"/>
      <c r="Z7" s="46"/>
    </row>
    <row r="8" spans="1:26" x14ac:dyDescent="0.25">
      <c r="A8" s="46"/>
      <c r="B8" s="63" t="s">
        <v>587</v>
      </c>
      <c r="C8" s="71">
        <f>'Hardware Inputs'!C31</f>
        <v>256</v>
      </c>
      <c r="D8" s="352" t="s">
        <v>563</v>
      </c>
      <c r="E8" s="46"/>
      <c r="F8" s="134" t="str">
        <f>'Hardware Inputs'!C32&amp;" GB reserved for host OS / S2D"</f>
        <v>32 GB reserved for host OS / S2D</v>
      </c>
      <c r="G8" s="46"/>
      <c r="H8" s="46"/>
      <c r="I8" s="46"/>
      <c r="J8" s="46"/>
      <c r="K8" s="46"/>
      <c r="L8" s="46"/>
      <c r="M8" s="46"/>
      <c r="N8" s="46"/>
      <c r="O8" s="46"/>
      <c r="P8" s="46"/>
      <c r="Q8" s="46"/>
      <c r="R8" s="46"/>
      <c r="S8" s="46"/>
      <c r="T8" s="46"/>
      <c r="U8" s="46"/>
      <c r="V8" s="46"/>
      <c r="W8" s="46"/>
      <c r="X8" s="46"/>
      <c r="Y8" s="46"/>
      <c r="Z8" s="46"/>
    </row>
    <row r="9" spans="1:26" x14ac:dyDescent="0.25">
      <c r="A9" s="46"/>
      <c r="B9" s="63" t="s">
        <v>588</v>
      </c>
      <c r="C9" s="71">
        <f>'Hardware Inputs'!C36</f>
        <v>224</v>
      </c>
      <c r="D9" s="352" t="s">
        <v>126</v>
      </c>
      <c r="E9" s="46"/>
      <c r="F9" s="134" t="s">
        <v>589</v>
      </c>
      <c r="G9" s="46"/>
      <c r="H9" s="46"/>
      <c r="I9" s="46"/>
      <c r="J9" s="46"/>
      <c r="K9" s="46"/>
      <c r="L9" s="46"/>
      <c r="M9" s="46"/>
      <c r="N9" s="46"/>
      <c r="O9" s="46"/>
      <c r="P9" s="46"/>
      <c r="Q9" s="46"/>
      <c r="R9" s="46"/>
      <c r="S9" s="46"/>
      <c r="T9" s="46"/>
      <c r="U9" s="46"/>
      <c r="V9" s="46"/>
      <c r="W9" s="46"/>
      <c r="X9" s="46"/>
      <c r="Y9" s="46"/>
      <c r="Z9" s="46"/>
    </row>
    <row r="10" spans="1:26" x14ac:dyDescent="0.25">
      <c r="A10" s="46"/>
      <c r="B10" s="46"/>
      <c r="C10" s="46"/>
      <c r="D10" s="46"/>
      <c r="E10" s="46"/>
      <c r="F10" s="46"/>
      <c r="G10" s="46"/>
      <c r="H10" s="46"/>
      <c r="I10" s="46"/>
      <c r="J10" s="46"/>
      <c r="K10" s="46"/>
      <c r="L10" s="46"/>
      <c r="M10" s="46"/>
      <c r="N10" s="46"/>
      <c r="O10" s="46"/>
      <c r="P10" s="46"/>
      <c r="Q10" s="46"/>
      <c r="R10" s="46"/>
      <c r="S10" s="46"/>
      <c r="T10" s="46"/>
      <c r="U10" s="46"/>
      <c r="V10" s="46"/>
      <c r="W10" s="46"/>
      <c r="X10" s="46"/>
      <c r="Y10" s="46"/>
      <c r="Z10" s="46"/>
    </row>
    <row r="11" spans="1:26" ht="18" x14ac:dyDescent="0.25">
      <c r="A11" s="46"/>
      <c r="B11" s="128" t="s">
        <v>590</v>
      </c>
      <c r="C11" s="353">
        <f>'Hardware Inputs'!C37</f>
        <v>192</v>
      </c>
      <c r="D11" s="354" t="s">
        <v>484</v>
      </c>
      <c r="E11" s="46"/>
      <c r="F11" s="134" t="str">
        <f>C5&amp;" nodes × "&amp;C7&amp;" vCPU"</f>
        <v>3 nodes × 64 vCPU</v>
      </c>
      <c r="G11" s="46"/>
      <c r="H11" s="46"/>
      <c r="I11" s="46"/>
      <c r="J11" s="46"/>
      <c r="K11" s="46"/>
      <c r="L11" s="46"/>
      <c r="M11" s="46"/>
      <c r="N11" s="46"/>
      <c r="O11" s="46"/>
      <c r="P11" s="46"/>
      <c r="Q11" s="46"/>
      <c r="R11" s="46"/>
      <c r="S11" s="46"/>
      <c r="T11" s="46"/>
      <c r="U11" s="46"/>
      <c r="V11" s="46"/>
      <c r="W11" s="46"/>
      <c r="X11" s="46"/>
      <c r="Y11" s="46"/>
      <c r="Z11" s="46"/>
    </row>
    <row r="12" spans="1:26" ht="18" x14ac:dyDescent="0.25">
      <c r="A12" s="46"/>
      <c r="B12" s="128" t="s">
        <v>591</v>
      </c>
      <c r="C12" s="353">
        <f>'Hardware Inputs'!C38</f>
        <v>672</v>
      </c>
      <c r="D12" s="354" t="s">
        <v>126</v>
      </c>
      <c r="E12" s="46"/>
      <c r="F12" s="134" t="str">
        <f>C5&amp;" nodes × "&amp;C9&amp;" GB"</f>
        <v>3 nodes × 224 GB</v>
      </c>
      <c r="G12" s="46"/>
      <c r="H12" s="46"/>
      <c r="I12" s="46"/>
      <c r="J12" s="46"/>
      <c r="K12" s="46"/>
      <c r="L12" s="46"/>
      <c r="M12" s="46"/>
      <c r="N12" s="46"/>
      <c r="O12" s="46"/>
      <c r="P12" s="46"/>
      <c r="Q12" s="46"/>
      <c r="R12" s="46"/>
      <c r="S12" s="46"/>
      <c r="T12" s="46"/>
      <c r="U12" s="46"/>
      <c r="V12" s="46"/>
      <c r="W12" s="46"/>
      <c r="X12" s="46"/>
      <c r="Y12" s="46"/>
      <c r="Z12" s="46"/>
    </row>
    <row r="13" spans="1:26" x14ac:dyDescent="0.25">
      <c r="A13" s="46"/>
      <c r="B13" s="46"/>
      <c r="C13" s="46"/>
      <c r="D13" s="46"/>
      <c r="E13" s="46"/>
      <c r="F13" s="46"/>
      <c r="G13" s="46"/>
      <c r="H13" s="46"/>
      <c r="I13" s="46"/>
      <c r="J13" s="46"/>
      <c r="K13" s="46"/>
      <c r="L13" s="46"/>
      <c r="M13" s="46"/>
      <c r="N13" s="46"/>
      <c r="O13" s="46"/>
      <c r="P13" s="46"/>
      <c r="Q13" s="46"/>
      <c r="R13" s="46"/>
      <c r="S13" s="46"/>
      <c r="T13" s="46"/>
      <c r="U13" s="46"/>
      <c r="V13" s="46"/>
      <c r="W13" s="46"/>
      <c r="X13" s="46"/>
      <c r="Y13" s="46"/>
      <c r="Z13" s="46"/>
    </row>
    <row r="14" spans="1:26" ht="15.75" x14ac:dyDescent="0.25">
      <c r="A14" s="46"/>
      <c r="B14" s="355" t="s">
        <v>491</v>
      </c>
      <c r="C14" s="356">
        <f>'Hardware Inputs'!C39</f>
        <v>128</v>
      </c>
      <c r="D14" s="357" t="s">
        <v>484</v>
      </c>
      <c r="E14" s="46"/>
      <c r="F14" s="134" t="str">
        <f>"With 1 of "&amp;C5&amp;" nodes in maintenance or failed."</f>
        <v>With 1 of 3 nodes in maintenance or failed.</v>
      </c>
      <c r="G14" s="46"/>
      <c r="H14" s="46"/>
      <c r="I14" s="46"/>
      <c r="J14" s="46"/>
      <c r="K14" s="46"/>
      <c r="L14" s="46"/>
      <c r="M14" s="46"/>
      <c r="N14" s="46"/>
      <c r="O14" s="46"/>
      <c r="P14" s="46"/>
      <c r="Q14" s="46"/>
      <c r="R14" s="46"/>
      <c r="S14" s="46"/>
      <c r="T14" s="46"/>
      <c r="U14" s="46"/>
      <c r="V14" s="46"/>
      <c r="W14" s="46"/>
      <c r="X14" s="46"/>
      <c r="Y14" s="46"/>
      <c r="Z14" s="46"/>
    </row>
    <row r="15" spans="1:26" ht="15.75" x14ac:dyDescent="0.25">
      <c r="A15" s="46"/>
      <c r="B15" s="355" t="s">
        <v>492</v>
      </c>
      <c r="C15" s="356">
        <f>'Hardware Inputs'!C40</f>
        <v>448</v>
      </c>
      <c r="D15" s="357" t="s">
        <v>126</v>
      </c>
      <c r="E15" s="46"/>
      <c r="F15" s="134" t="s">
        <v>592</v>
      </c>
      <c r="G15" s="46"/>
      <c r="H15" s="46"/>
      <c r="I15" s="46"/>
      <c r="J15" s="46"/>
      <c r="K15" s="46"/>
      <c r="L15" s="46"/>
      <c r="M15" s="46"/>
      <c r="N15" s="46"/>
      <c r="O15" s="46"/>
      <c r="P15" s="46"/>
      <c r="Q15" s="46"/>
      <c r="R15" s="46"/>
      <c r="S15" s="46"/>
      <c r="T15" s="46"/>
      <c r="U15" s="46"/>
      <c r="V15" s="46"/>
      <c r="W15" s="46"/>
      <c r="X15" s="46"/>
      <c r="Y15" s="46"/>
      <c r="Z15" s="46"/>
    </row>
    <row r="16" spans="1:26" x14ac:dyDescent="0.25">
      <c r="A16" s="46"/>
      <c r="B16" s="46"/>
      <c r="C16" s="46"/>
      <c r="D16" s="46"/>
      <c r="E16" s="46"/>
      <c r="F16" s="46"/>
      <c r="G16" s="46"/>
      <c r="H16" s="46"/>
      <c r="I16" s="46"/>
      <c r="J16" s="46"/>
      <c r="K16" s="46"/>
      <c r="L16" s="46"/>
      <c r="M16" s="46"/>
      <c r="N16" s="46"/>
      <c r="O16" s="46"/>
      <c r="P16" s="46"/>
      <c r="Q16" s="46"/>
      <c r="R16" s="46"/>
      <c r="S16" s="46"/>
      <c r="T16" s="46"/>
      <c r="U16" s="46"/>
      <c r="V16" s="46"/>
      <c r="W16" s="46"/>
      <c r="X16" s="46"/>
      <c r="Y16" s="46"/>
      <c r="Z16" s="46"/>
    </row>
    <row r="17" spans="1:26" x14ac:dyDescent="0.25">
      <c r="A17" s="46"/>
      <c r="B17" s="126" t="s">
        <v>593</v>
      </c>
      <c r="C17" s="127"/>
      <c r="D17" s="127"/>
      <c r="E17" s="127"/>
      <c r="F17" s="127"/>
      <c r="G17" s="127"/>
      <c r="H17" s="46"/>
      <c r="I17" s="46"/>
      <c r="J17" s="46"/>
      <c r="K17" s="46"/>
      <c r="L17" s="46"/>
      <c r="M17" s="46"/>
      <c r="N17" s="46"/>
      <c r="O17" s="46"/>
      <c r="P17" s="46"/>
      <c r="Q17" s="46"/>
      <c r="R17" s="46"/>
      <c r="S17" s="46"/>
      <c r="T17" s="46"/>
      <c r="U17" s="46"/>
      <c r="V17" s="46"/>
      <c r="W17" s="46"/>
      <c r="X17" s="46"/>
      <c r="Y17" s="46"/>
      <c r="Z17" s="46"/>
    </row>
    <row r="18" spans="1:26" x14ac:dyDescent="0.25">
      <c r="A18" s="46"/>
      <c r="B18" s="358" t="s">
        <v>431</v>
      </c>
      <c r="C18" s="359" t="s">
        <v>402</v>
      </c>
      <c r="D18" s="359" t="s">
        <v>484</v>
      </c>
      <c r="E18" s="359" t="s">
        <v>571</v>
      </c>
      <c r="F18" s="359" t="s">
        <v>572</v>
      </c>
      <c r="G18" s="359" t="s">
        <v>647</v>
      </c>
      <c r="H18" s="46"/>
      <c r="I18" s="46"/>
      <c r="J18" s="46"/>
      <c r="K18" s="46"/>
      <c r="L18" s="46"/>
      <c r="M18" s="46"/>
      <c r="N18" s="46"/>
      <c r="O18" s="46"/>
      <c r="P18" s="46"/>
      <c r="Q18" s="46"/>
      <c r="R18" s="46"/>
      <c r="S18" s="46"/>
      <c r="T18" s="46"/>
      <c r="U18" s="46"/>
      <c r="V18" s="46"/>
      <c r="W18" s="46"/>
      <c r="X18" s="46"/>
      <c r="Y18" s="46"/>
      <c r="Z18" s="46"/>
    </row>
    <row r="19" spans="1:26" x14ac:dyDescent="0.25">
      <c r="A19" s="46"/>
      <c r="B19" s="360" t="s">
        <v>622</v>
      </c>
      <c r="C19" s="361" t="str">
        <f>IF('Workload Planner'!C8="Yes","Enabled","— Disabled")</f>
        <v>Enabled</v>
      </c>
      <c r="D19" s="361">
        <f>'Workload Planner'!C35</f>
        <v>256</v>
      </c>
      <c r="E19" s="361">
        <f>'Workload Planner'!C36</f>
        <v>1024</v>
      </c>
      <c r="F19" s="361" t="str">
        <f>'Workload Planner'!C29</f>
        <v>4:1</v>
      </c>
      <c r="G19" s="361">
        <f>'Workload Planner'!C37</f>
        <v>64</v>
      </c>
      <c r="H19" s="46"/>
      <c r="I19" s="46"/>
      <c r="J19" s="46"/>
      <c r="K19" s="46"/>
      <c r="L19" s="46"/>
      <c r="M19" s="46"/>
      <c r="N19" s="46"/>
      <c r="O19" s="46"/>
      <c r="P19" s="46"/>
      <c r="Q19" s="46"/>
      <c r="R19" s="46"/>
      <c r="S19" s="46"/>
      <c r="T19" s="46"/>
      <c r="U19" s="46"/>
      <c r="V19" s="46"/>
      <c r="W19" s="46"/>
      <c r="X19" s="46"/>
      <c r="Y19" s="46"/>
      <c r="Z19" s="46"/>
    </row>
    <row r="20" spans="1:26" x14ac:dyDescent="0.25">
      <c r="A20" s="46"/>
      <c r="B20" s="362" t="s">
        <v>434</v>
      </c>
      <c r="C20" s="363" t="str">
        <f>IF('Workload Planner'!C44="Yes","Enabled","— Disabled")</f>
        <v>— Disabled</v>
      </c>
      <c r="D20" s="363">
        <f>'Workload Planner'!C62</f>
        <v>0</v>
      </c>
      <c r="E20" s="363">
        <f>IF('Workload Planner'!C44="No",0,('Workload Planner'!C47*'Workload Planner'!C58)+('Workload Planner'!C48*'Workload Planner'!C60))</f>
        <v>0</v>
      </c>
      <c r="F20" s="363" t="str">
        <f>'Workload Planner'!C61</f>
        <v>4:1</v>
      </c>
      <c r="G20" s="363">
        <f>'Workload Planner'!C63</f>
        <v>0</v>
      </c>
      <c r="H20" s="46"/>
      <c r="I20" s="46"/>
      <c r="J20" s="46"/>
      <c r="K20" s="46"/>
      <c r="L20" s="46"/>
      <c r="M20" s="46"/>
      <c r="N20" s="46"/>
      <c r="O20" s="46"/>
      <c r="P20" s="46"/>
      <c r="Q20" s="46"/>
      <c r="R20" s="46"/>
      <c r="S20" s="46"/>
      <c r="T20" s="46"/>
      <c r="U20" s="46"/>
      <c r="V20" s="46"/>
      <c r="W20" s="46"/>
      <c r="X20" s="46"/>
      <c r="Y20" s="46"/>
      <c r="Z20" s="46"/>
    </row>
    <row r="21" spans="1:26" x14ac:dyDescent="0.25">
      <c r="A21" s="46"/>
      <c r="B21" s="360" t="s">
        <v>435</v>
      </c>
      <c r="C21" s="361" t="str">
        <f>IF('Workload Planner'!C66="Yes","Enabled","— Disabled")</f>
        <v>— Disabled</v>
      </c>
      <c r="D21" s="361">
        <f>'Workload Planner'!C76</f>
        <v>0</v>
      </c>
      <c r="E21" s="361">
        <f>IF('Workload Planner'!C66="No",0,'Workload Planner'!C67*'Workload Planner'!C74)</f>
        <v>0</v>
      </c>
      <c r="F21" s="361" t="str">
        <f>'Workload Planner'!C75</f>
        <v>4:1</v>
      </c>
      <c r="G21" s="361">
        <f>'Workload Planner'!C77</f>
        <v>0</v>
      </c>
      <c r="H21" s="46"/>
      <c r="I21" s="46"/>
      <c r="J21" s="46"/>
      <c r="K21" s="46"/>
      <c r="L21" s="46"/>
      <c r="M21" s="46"/>
      <c r="N21" s="46"/>
      <c r="O21" s="46"/>
      <c r="P21" s="46"/>
      <c r="Q21" s="46"/>
      <c r="R21" s="46"/>
      <c r="S21" s="46"/>
      <c r="T21" s="46"/>
      <c r="U21" s="46"/>
      <c r="V21" s="46"/>
      <c r="W21" s="46"/>
      <c r="X21" s="46"/>
      <c r="Y21" s="46"/>
      <c r="Z21" s="46"/>
    </row>
    <row r="22" spans="1:26" x14ac:dyDescent="0.25">
      <c r="A22" s="46"/>
      <c r="B22" s="364" t="s">
        <v>436</v>
      </c>
      <c r="C22" s="365" t="str">
        <f>IF('Workload Planner'!C83="Yes","Enabled","— Disabled")</f>
        <v>— Disabled</v>
      </c>
      <c r="D22" s="365">
        <f>'Workload Planner'!C93</f>
        <v>0</v>
      </c>
      <c r="E22" s="365">
        <f>IF('Workload Planner'!C83="No",0,'Workload Planner'!C84*'Workload Planner'!C91)</f>
        <v>0</v>
      </c>
      <c r="F22" s="365" t="str">
        <f>'Workload Planner'!C92</f>
        <v>4:1</v>
      </c>
      <c r="G22" s="365">
        <f>'Workload Planner'!C94</f>
        <v>0</v>
      </c>
      <c r="H22" s="46"/>
      <c r="I22" s="46"/>
      <c r="J22" s="46"/>
      <c r="K22" s="46"/>
      <c r="L22" s="46"/>
      <c r="M22" s="46"/>
      <c r="N22" s="46"/>
      <c r="O22" s="46"/>
      <c r="P22" s="46"/>
      <c r="Q22" s="46"/>
      <c r="R22" s="46"/>
      <c r="S22" s="46"/>
      <c r="T22" s="46"/>
      <c r="U22" s="46"/>
      <c r="V22" s="46"/>
      <c r="W22" s="46"/>
      <c r="X22" s="46"/>
      <c r="Y22" s="46"/>
      <c r="Z22" s="46"/>
    </row>
    <row r="23" spans="1:26" ht="15.75" thickBot="1" x14ac:dyDescent="0.3">
      <c r="A23" s="46"/>
      <c r="B23" s="366" t="s">
        <v>897</v>
      </c>
      <c r="C23" s="367" t="s">
        <v>898</v>
      </c>
      <c r="D23" s="368">
        <f>'SOFS Planner'!C43</f>
        <v>24</v>
      </c>
      <c r="E23" s="368">
        <f>'SOFS Planner'!C44</f>
        <v>48</v>
      </c>
      <c r="F23" s="369">
        <v>4.2361111111111113E-2</v>
      </c>
      <c r="G23" s="368">
        <f>D23</f>
        <v>24</v>
      </c>
      <c r="H23" s="46"/>
      <c r="I23" s="46"/>
      <c r="J23" s="46"/>
      <c r="K23" s="46"/>
      <c r="L23" s="46"/>
      <c r="M23" s="46"/>
      <c r="N23" s="46"/>
      <c r="O23" s="46"/>
      <c r="P23" s="46"/>
      <c r="Q23" s="46"/>
      <c r="R23" s="46"/>
      <c r="S23" s="46"/>
      <c r="T23" s="46"/>
      <c r="U23" s="46"/>
      <c r="V23" s="46"/>
      <c r="W23" s="46"/>
      <c r="X23" s="46"/>
      <c r="Y23" s="46"/>
      <c r="Z23" s="46"/>
    </row>
    <row r="24" spans="1:26" x14ac:dyDescent="0.25">
      <c r="A24" s="46"/>
      <c r="B24" s="370" t="s">
        <v>275</v>
      </c>
      <c r="C24" s="371"/>
      <c r="D24" s="372">
        <f>SUM(D19:D23)</f>
        <v>280</v>
      </c>
      <c r="E24" s="372">
        <f>SUM(E19:E23)</f>
        <v>1072</v>
      </c>
      <c r="F24" s="371"/>
      <c r="G24" s="372">
        <f>SUM(G19:G23)</f>
        <v>88</v>
      </c>
      <c r="H24" s="46"/>
      <c r="I24" s="46"/>
      <c r="J24" s="46"/>
      <c r="K24" s="46"/>
      <c r="L24" s="46"/>
      <c r="M24" s="46"/>
      <c r="N24" s="46"/>
      <c r="O24" s="46"/>
      <c r="P24" s="46"/>
      <c r="Q24" s="46"/>
      <c r="R24" s="46"/>
      <c r="S24" s="46"/>
      <c r="T24" s="46"/>
      <c r="U24" s="46"/>
      <c r="V24" s="46"/>
      <c r="W24" s="46"/>
      <c r="X24" s="46"/>
      <c r="Y24" s="46"/>
      <c r="Z24" s="46"/>
    </row>
    <row r="25" spans="1:26" x14ac:dyDescent="0.25">
      <c r="A25" s="46"/>
      <c r="B25" s="46"/>
      <c r="C25" s="46"/>
      <c r="D25" s="46"/>
      <c r="E25" s="46"/>
      <c r="F25" s="46"/>
      <c r="G25" s="46"/>
      <c r="H25" s="46"/>
      <c r="I25" s="46"/>
      <c r="J25" s="46"/>
      <c r="K25" s="46"/>
      <c r="L25" s="46"/>
      <c r="M25" s="46"/>
      <c r="N25" s="46"/>
      <c r="O25" s="46"/>
      <c r="P25" s="46"/>
      <c r="Q25" s="46"/>
      <c r="R25" s="46"/>
      <c r="S25" s="46"/>
      <c r="T25" s="46"/>
      <c r="U25" s="46"/>
      <c r="V25" s="46"/>
      <c r="W25" s="46"/>
      <c r="X25" s="46"/>
      <c r="Y25" s="46"/>
      <c r="Z25" s="46"/>
    </row>
    <row r="26" spans="1:26" x14ac:dyDescent="0.25">
      <c r="A26" s="46"/>
      <c r="B26" s="126" t="s">
        <v>594</v>
      </c>
      <c r="C26" s="127"/>
      <c r="D26" s="127"/>
      <c r="E26" s="127"/>
      <c r="F26" s="127"/>
      <c r="G26" s="127"/>
      <c r="H26" s="46"/>
      <c r="I26" s="46"/>
      <c r="J26" s="46"/>
      <c r="K26" s="46"/>
      <c r="L26" s="46"/>
      <c r="M26" s="46"/>
      <c r="N26" s="46"/>
      <c r="O26" s="46"/>
      <c r="P26" s="46"/>
      <c r="Q26" s="46"/>
      <c r="R26" s="46"/>
      <c r="S26" s="46"/>
      <c r="T26" s="46"/>
      <c r="U26" s="46"/>
      <c r="V26" s="46"/>
      <c r="W26" s="46"/>
      <c r="X26" s="46"/>
      <c r="Y26" s="46"/>
      <c r="Z26" s="46"/>
    </row>
    <row r="27" spans="1:26" ht="23.25" x14ac:dyDescent="0.35">
      <c r="A27" s="46"/>
      <c r="B27" s="373" t="s">
        <v>545</v>
      </c>
      <c r="C27" s="374">
        <f>C11-G24</f>
        <v>104</v>
      </c>
      <c r="D27" s="128" t="s">
        <v>484</v>
      </c>
      <c r="E27" s="46"/>
      <c r="F27" s="202" t="str">
        <f>IF(C27&lt;0,"OVER CAPACITY!",IF(G24/C11&gt;0.7,"Caution: Above 70% utilization.","Healthy."))</f>
        <v>Healthy.</v>
      </c>
      <c r="G27" s="46"/>
      <c r="H27" s="46"/>
      <c r="I27" s="46"/>
      <c r="J27" s="46"/>
      <c r="K27" s="46"/>
      <c r="L27" s="46"/>
      <c r="M27" s="46"/>
      <c r="N27" s="46"/>
      <c r="O27" s="46"/>
      <c r="P27" s="46"/>
      <c r="Q27" s="46"/>
      <c r="R27" s="46"/>
      <c r="S27" s="46"/>
      <c r="T27" s="46"/>
      <c r="U27" s="46"/>
      <c r="V27" s="46"/>
      <c r="W27" s="46"/>
      <c r="X27" s="46"/>
      <c r="Y27" s="46"/>
      <c r="Z27" s="46"/>
    </row>
    <row r="28" spans="1:26" x14ac:dyDescent="0.25">
      <c r="A28" s="46"/>
      <c r="B28" s="82" t="s">
        <v>595</v>
      </c>
      <c r="C28" s="375">
        <f>IF(C11=0,0,G24/C11)</f>
        <v>0.45833333333333331</v>
      </c>
      <c r="D28" s="204"/>
      <c r="E28" s="46"/>
      <c r="F28" s="134" t="str">
        <f>G24&amp;" of "&amp;C11&amp;" vCPU consumed (after overcommit)"</f>
        <v>88 of 192 vCPU consumed (after overcommit)</v>
      </c>
      <c r="G28" s="46"/>
      <c r="H28" s="46"/>
      <c r="I28" s="46"/>
      <c r="J28" s="46"/>
      <c r="K28" s="46"/>
      <c r="L28" s="46"/>
      <c r="M28" s="46"/>
      <c r="N28" s="46"/>
      <c r="O28" s="46"/>
      <c r="P28" s="46"/>
      <c r="Q28" s="46"/>
      <c r="R28" s="46"/>
      <c r="S28" s="46"/>
      <c r="T28" s="46"/>
      <c r="U28" s="46"/>
      <c r="V28" s="46"/>
      <c r="W28" s="46"/>
      <c r="X28" s="46"/>
      <c r="Y28" s="46"/>
      <c r="Z28" s="46"/>
    </row>
    <row r="29" spans="1:26" x14ac:dyDescent="0.25">
      <c r="A29" s="46"/>
      <c r="B29" s="46"/>
      <c r="C29" s="46"/>
      <c r="D29" s="46"/>
      <c r="E29" s="46"/>
      <c r="F29" s="46"/>
      <c r="G29" s="46"/>
      <c r="H29" s="46"/>
      <c r="I29" s="46"/>
      <c r="J29" s="46"/>
      <c r="K29" s="46"/>
      <c r="L29" s="46"/>
      <c r="M29" s="46"/>
      <c r="N29" s="46"/>
      <c r="O29" s="46"/>
      <c r="P29" s="46"/>
      <c r="Q29" s="46"/>
      <c r="R29" s="46"/>
      <c r="S29" s="46"/>
      <c r="T29" s="46"/>
      <c r="U29" s="46"/>
      <c r="V29" s="46"/>
      <c r="W29" s="46"/>
      <c r="X29" s="46"/>
      <c r="Y29" s="46"/>
      <c r="Z29" s="46"/>
    </row>
    <row r="30" spans="1:26" ht="23.25" x14ac:dyDescent="0.35">
      <c r="A30" s="46"/>
      <c r="B30" s="373" t="s">
        <v>546</v>
      </c>
      <c r="C30" s="374">
        <f>C12-E24</f>
        <v>-400</v>
      </c>
      <c r="D30" s="128" t="s">
        <v>126</v>
      </c>
      <c r="E30" s="46"/>
      <c r="F30" s="202" t="str">
        <f>IF(C30&lt;0,"OVER CAPACITY!",IF(E24/C12&gt;0.7,"Caution: Above 70% utilization.","Healthy."))</f>
        <v>OVER CAPACITY!</v>
      </c>
      <c r="G30" s="46"/>
      <c r="H30" s="46"/>
      <c r="I30" s="46"/>
      <c r="J30" s="46"/>
      <c r="K30" s="46"/>
      <c r="L30" s="46"/>
      <c r="M30" s="46"/>
      <c r="N30" s="46"/>
      <c r="O30" s="46"/>
      <c r="P30" s="46"/>
      <c r="Q30" s="46"/>
      <c r="R30" s="46"/>
      <c r="S30" s="46"/>
      <c r="T30" s="46"/>
      <c r="U30" s="46"/>
      <c r="V30" s="46"/>
      <c r="W30" s="46"/>
      <c r="X30" s="46"/>
      <c r="Y30" s="46"/>
      <c r="Z30" s="46"/>
    </row>
    <row r="31" spans="1:26" x14ac:dyDescent="0.25">
      <c r="A31" s="46"/>
      <c r="B31" s="82" t="s">
        <v>596</v>
      </c>
      <c r="C31" s="375">
        <f>IF(C12=0,0,E24/C12)</f>
        <v>1.5952380952380953</v>
      </c>
      <c r="D31" s="204"/>
      <c r="E31" s="46"/>
      <c r="F31" s="134" t="str">
        <f>E24&amp;" of "&amp;C12&amp;" GB RAM consumed"</f>
        <v>1072 of 672 GB RAM consumed</v>
      </c>
      <c r="G31" s="46"/>
      <c r="H31" s="46"/>
      <c r="I31" s="46"/>
      <c r="J31" s="46"/>
      <c r="K31" s="46"/>
      <c r="L31" s="46"/>
      <c r="M31" s="46"/>
      <c r="N31" s="46"/>
      <c r="O31" s="46"/>
      <c r="P31" s="46"/>
      <c r="Q31" s="46"/>
      <c r="R31" s="46"/>
      <c r="S31" s="46"/>
      <c r="T31" s="46"/>
      <c r="U31" s="46"/>
      <c r="V31" s="46"/>
      <c r="W31" s="46"/>
      <c r="X31" s="46"/>
      <c r="Y31" s="46"/>
      <c r="Z31" s="46"/>
    </row>
    <row r="32" spans="1:26" x14ac:dyDescent="0.25">
      <c r="A32" s="46"/>
      <c r="B32" s="46"/>
      <c r="C32" s="46"/>
      <c r="D32" s="46"/>
      <c r="E32" s="46"/>
      <c r="F32" s="46"/>
      <c r="G32" s="46"/>
      <c r="H32" s="46"/>
      <c r="I32" s="46"/>
      <c r="J32" s="46"/>
      <c r="K32" s="46"/>
      <c r="L32" s="46"/>
      <c r="M32" s="46"/>
      <c r="N32" s="46"/>
      <c r="O32" s="46"/>
      <c r="P32" s="46"/>
      <c r="Q32" s="46"/>
      <c r="R32" s="46"/>
      <c r="S32" s="46"/>
      <c r="T32" s="46"/>
      <c r="U32" s="46"/>
      <c r="V32" s="46"/>
      <c r="W32" s="46"/>
      <c r="X32" s="46"/>
      <c r="Y32" s="46"/>
      <c r="Z32" s="46"/>
    </row>
    <row r="33" spans="1:26" x14ac:dyDescent="0.25">
      <c r="A33" s="46"/>
      <c r="B33" s="376" t="s">
        <v>597</v>
      </c>
      <c r="C33" s="232"/>
      <c r="D33" s="232"/>
      <c r="E33" s="232"/>
      <c r="F33" s="232"/>
      <c r="G33" s="232"/>
      <c r="H33" s="46"/>
      <c r="I33" s="46"/>
      <c r="J33" s="46"/>
      <c r="K33" s="46"/>
      <c r="L33" s="46"/>
      <c r="M33" s="46"/>
      <c r="N33" s="46"/>
      <c r="O33" s="46"/>
      <c r="P33" s="46"/>
      <c r="Q33" s="46"/>
      <c r="R33" s="46"/>
      <c r="S33" s="46"/>
      <c r="T33" s="46"/>
      <c r="U33" s="46"/>
      <c r="V33" s="46"/>
      <c r="W33" s="46"/>
      <c r="X33" s="46"/>
      <c r="Y33" s="46"/>
      <c r="Z33" s="46"/>
    </row>
    <row r="34" spans="1:26" x14ac:dyDescent="0.25">
      <c r="A34" s="46"/>
      <c r="B34" s="358" t="s">
        <v>577</v>
      </c>
      <c r="C34" s="359" t="s">
        <v>598</v>
      </c>
      <c r="D34" s="359" t="s">
        <v>599</v>
      </c>
      <c r="E34" s="359" t="s">
        <v>600</v>
      </c>
      <c r="F34" s="359" t="s">
        <v>402</v>
      </c>
      <c r="G34" s="359" t="s">
        <v>601</v>
      </c>
      <c r="H34" s="46"/>
      <c r="I34" s="46"/>
      <c r="J34" s="46"/>
      <c r="K34" s="46"/>
      <c r="L34" s="46"/>
      <c r="M34" s="46"/>
      <c r="N34" s="46"/>
      <c r="O34" s="46"/>
      <c r="P34" s="46"/>
      <c r="Q34" s="46"/>
      <c r="R34" s="46"/>
      <c r="S34" s="46"/>
      <c r="T34" s="46"/>
      <c r="U34" s="46"/>
      <c r="V34" s="46"/>
      <c r="W34" s="46"/>
      <c r="X34" s="46"/>
      <c r="Y34" s="46"/>
      <c r="Z34" s="46"/>
    </row>
    <row r="35" spans="1:26" x14ac:dyDescent="0.25">
      <c r="A35" s="46"/>
      <c r="B35" s="360" t="s">
        <v>579</v>
      </c>
      <c r="C35" s="361">
        <f>G24</f>
        <v>88</v>
      </c>
      <c r="D35" s="361">
        <f>C11</f>
        <v>192</v>
      </c>
      <c r="E35" s="377">
        <f>IF(D35=0,0,C35/D35)</f>
        <v>0.45833333333333331</v>
      </c>
      <c r="F35" s="378" t="str">
        <f>IF(C35&lt;=D35,"✓ PASS","✗ FAIL")</f>
        <v>✓ PASS</v>
      </c>
      <c r="G35" s="361">
        <f>D35-C35</f>
        <v>104</v>
      </c>
      <c r="H35" s="46"/>
      <c r="I35" s="46"/>
      <c r="J35" s="46"/>
      <c r="K35" s="46"/>
      <c r="L35" s="46"/>
      <c r="M35" s="46"/>
      <c r="N35" s="46"/>
      <c r="O35" s="46"/>
      <c r="P35" s="46"/>
      <c r="Q35" s="46"/>
      <c r="R35" s="46"/>
      <c r="S35" s="46"/>
      <c r="T35" s="46"/>
      <c r="U35" s="46"/>
      <c r="V35" s="46"/>
      <c r="W35" s="46"/>
      <c r="X35" s="46"/>
      <c r="Y35" s="46"/>
      <c r="Z35" s="46"/>
    </row>
    <row r="36" spans="1:26" x14ac:dyDescent="0.25">
      <c r="A36" s="46"/>
      <c r="B36" s="362" t="s">
        <v>644</v>
      </c>
      <c r="C36" s="363">
        <f>E24</f>
        <v>1072</v>
      </c>
      <c r="D36" s="363">
        <f>C12</f>
        <v>672</v>
      </c>
      <c r="E36" s="379">
        <f>IF(D36=0,0,C36/D36)</f>
        <v>1.5952380952380953</v>
      </c>
      <c r="F36" s="380" t="str">
        <f>IF(C36&lt;=D36,"✓ PASS","✗ FAIL")</f>
        <v>✗ FAIL</v>
      </c>
      <c r="G36" s="363">
        <f>D36-C36</f>
        <v>-400</v>
      </c>
      <c r="H36" s="46"/>
      <c r="I36" s="46"/>
      <c r="J36" s="46"/>
      <c r="K36" s="46"/>
      <c r="L36" s="46"/>
      <c r="M36" s="46"/>
      <c r="N36" s="46"/>
      <c r="O36" s="46"/>
      <c r="P36" s="46"/>
      <c r="Q36" s="46"/>
      <c r="R36" s="46"/>
      <c r="S36" s="46"/>
      <c r="T36" s="46"/>
      <c r="U36" s="46"/>
      <c r="V36" s="46"/>
      <c r="W36" s="46"/>
      <c r="X36" s="46"/>
      <c r="Y36" s="46"/>
      <c r="Z36" s="46"/>
    </row>
    <row r="37" spans="1:26" x14ac:dyDescent="0.25">
      <c r="A37" s="46"/>
      <c r="B37" s="237" t="s">
        <v>580</v>
      </c>
      <c r="C37" s="381">
        <f>G24</f>
        <v>88</v>
      </c>
      <c r="D37" s="381">
        <f>C14</f>
        <v>128</v>
      </c>
      <c r="E37" s="382">
        <f>IF(D37=0,0,C37/D37)</f>
        <v>0.6875</v>
      </c>
      <c r="F37" s="383" t="str">
        <f>IF(C37&lt;=D37,"✓ PASS","⚠ WARNING")</f>
        <v>✓ PASS</v>
      </c>
      <c r="G37" s="381">
        <f>D37-C37</f>
        <v>40</v>
      </c>
      <c r="H37" s="46"/>
      <c r="I37" s="46"/>
      <c r="J37" s="46"/>
      <c r="K37" s="46"/>
      <c r="L37" s="46"/>
      <c r="M37" s="46"/>
      <c r="N37" s="46"/>
      <c r="O37" s="46"/>
      <c r="P37" s="46"/>
      <c r="Q37" s="46"/>
      <c r="R37" s="46"/>
      <c r="S37" s="46"/>
      <c r="T37" s="46"/>
      <c r="U37" s="46"/>
      <c r="V37" s="46"/>
      <c r="W37" s="46"/>
      <c r="X37" s="46"/>
      <c r="Y37" s="46"/>
      <c r="Z37" s="46"/>
    </row>
    <row r="38" spans="1:26" x14ac:dyDescent="0.25">
      <c r="A38" s="46"/>
      <c r="B38" s="237" t="s">
        <v>646</v>
      </c>
      <c r="C38" s="381">
        <f>E24</f>
        <v>1072</v>
      </c>
      <c r="D38" s="381">
        <f>C15</f>
        <v>448</v>
      </c>
      <c r="E38" s="382">
        <f>IF(D38=0,0,C38/D38)</f>
        <v>2.3928571428571428</v>
      </c>
      <c r="F38" s="383" t="str">
        <f>IF(C38&lt;=D38,"✓ PASS","⚠ WARNING")</f>
        <v>⚠ WARNING</v>
      </c>
      <c r="G38" s="381">
        <f>D38-C38</f>
        <v>-624</v>
      </c>
      <c r="H38" s="46"/>
      <c r="I38" s="46"/>
      <c r="J38" s="46"/>
      <c r="K38" s="46"/>
      <c r="L38" s="46"/>
      <c r="M38" s="46"/>
      <c r="N38" s="46"/>
      <c r="O38" s="46"/>
      <c r="P38" s="46"/>
      <c r="Q38" s="46"/>
      <c r="R38" s="46"/>
      <c r="S38" s="46"/>
      <c r="T38" s="46"/>
      <c r="U38" s="46"/>
      <c r="V38" s="46"/>
      <c r="W38" s="46"/>
      <c r="X38" s="46"/>
      <c r="Y38" s="46"/>
      <c r="Z38" s="46"/>
    </row>
    <row r="39" spans="1:26" x14ac:dyDescent="0.25">
      <c r="A39" s="46"/>
      <c r="B39" s="46"/>
      <c r="C39" s="46"/>
      <c r="D39" s="46"/>
      <c r="E39" s="46"/>
      <c r="F39" s="46"/>
      <c r="G39" s="46"/>
      <c r="H39" s="46"/>
      <c r="I39" s="46"/>
      <c r="J39" s="46"/>
      <c r="K39" s="46"/>
      <c r="L39" s="46"/>
      <c r="M39" s="46"/>
      <c r="N39" s="46"/>
      <c r="O39" s="46"/>
      <c r="P39" s="46"/>
      <c r="Q39" s="46"/>
      <c r="R39" s="46"/>
      <c r="S39" s="46"/>
      <c r="T39" s="46"/>
      <c r="U39" s="46"/>
      <c r="V39" s="46"/>
      <c r="W39" s="46"/>
      <c r="X39" s="46"/>
      <c r="Y39" s="46"/>
      <c r="Z39" s="46"/>
    </row>
    <row r="40" spans="1:26" x14ac:dyDescent="0.25">
      <c r="A40" s="46"/>
      <c r="B40" s="126" t="s">
        <v>602</v>
      </c>
      <c r="C40" s="127"/>
      <c r="D40" s="127"/>
      <c r="E40" s="127"/>
      <c r="F40" s="127"/>
      <c r="G40" s="127"/>
      <c r="H40" s="46"/>
      <c r="I40" s="46"/>
      <c r="J40" s="46"/>
      <c r="K40" s="46"/>
      <c r="L40" s="46"/>
      <c r="M40" s="46"/>
      <c r="N40" s="46"/>
      <c r="O40" s="46"/>
      <c r="P40" s="46"/>
      <c r="Q40" s="46"/>
      <c r="R40" s="46"/>
      <c r="S40" s="46"/>
      <c r="T40" s="46"/>
      <c r="U40" s="46"/>
      <c r="V40" s="46"/>
      <c r="W40" s="46"/>
      <c r="X40" s="46"/>
      <c r="Y40" s="46"/>
      <c r="Z40" s="46"/>
    </row>
    <row r="41" spans="1:26" x14ac:dyDescent="0.25">
      <c r="A41" s="46"/>
      <c r="B41" s="63" t="s">
        <v>603</v>
      </c>
      <c r="C41" s="71">
        <f>'Workload Planner'!C27</f>
        <v>8</v>
      </c>
      <c r="D41" s="352" t="s">
        <v>484</v>
      </c>
      <c r="E41" s="46"/>
      <c r="F41" s="46"/>
      <c r="G41" s="46"/>
      <c r="H41" s="46"/>
      <c r="I41" s="46"/>
      <c r="J41" s="46"/>
      <c r="K41" s="46"/>
      <c r="L41" s="46"/>
      <c r="M41" s="46"/>
      <c r="N41" s="46"/>
      <c r="O41" s="46"/>
      <c r="P41" s="46"/>
      <c r="Q41" s="46"/>
      <c r="R41" s="46"/>
      <c r="S41" s="46"/>
      <c r="T41" s="46"/>
      <c r="U41" s="46"/>
      <c r="V41" s="46"/>
      <c r="W41" s="46"/>
      <c r="X41" s="46"/>
      <c r="Y41" s="46"/>
      <c r="Z41" s="46"/>
    </row>
    <row r="42" spans="1:26" x14ac:dyDescent="0.25">
      <c r="A42" s="46"/>
      <c r="B42" s="63" t="s">
        <v>604</v>
      </c>
      <c r="C42" s="71">
        <f>'Workload Planner'!C28</f>
        <v>32</v>
      </c>
      <c r="D42" s="352" t="s">
        <v>126</v>
      </c>
      <c r="E42" s="46"/>
      <c r="F42" s="46"/>
      <c r="G42" s="46"/>
      <c r="H42" s="46"/>
      <c r="I42" s="46"/>
      <c r="J42" s="46"/>
      <c r="K42" s="46"/>
      <c r="L42" s="46"/>
      <c r="M42" s="46"/>
      <c r="N42" s="46"/>
      <c r="O42" s="46"/>
      <c r="P42" s="46"/>
      <c r="Q42" s="46"/>
      <c r="R42" s="46"/>
      <c r="S42" s="46"/>
      <c r="T42" s="46"/>
      <c r="U42" s="46"/>
      <c r="V42" s="46"/>
      <c r="W42" s="46"/>
      <c r="X42" s="46"/>
      <c r="Y42" s="46"/>
      <c r="Z42" s="46"/>
    </row>
    <row r="43" spans="1:26" x14ac:dyDescent="0.25">
      <c r="A43" s="46"/>
      <c r="B43" s="63" t="s">
        <v>605</v>
      </c>
      <c r="C43" s="71">
        <f>'Workload Planner'!C30</f>
        <v>2</v>
      </c>
      <c r="D43" s="352" t="s">
        <v>484</v>
      </c>
      <c r="E43" s="46"/>
      <c r="F43" s="134" t="str">
        <f>IF('Workload Planner'!C30&lt;=1,"Light user",IF('Workload Planner'!C30&lt;=2,"Medium user","Power user"))</f>
        <v>Medium user</v>
      </c>
      <c r="G43" s="46"/>
      <c r="H43" s="46"/>
      <c r="I43" s="46"/>
      <c r="J43" s="46"/>
      <c r="K43" s="46"/>
      <c r="L43" s="46"/>
      <c r="M43" s="46"/>
      <c r="N43" s="46"/>
      <c r="O43" s="46"/>
      <c r="P43" s="46"/>
      <c r="Q43" s="46"/>
      <c r="R43" s="46"/>
      <c r="S43" s="46"/>
      <c r="T43" s="46"/>
      <c r="U43" s="46"/>
      <c r="V43" s="46"/>
      <c r="W43" s="46"/>
      <c r="X43" s="46"/>
      <c r="Y43" s="46"/>
      <c r="Z43" s="46"/>
    </row>
    <row r="44" spans="1:26" x14ac:dyDescent="0.25">
      <c r="A44" s="46"/>
      <c r="B44" s="63" t="s">
        <v>606</v>
      </c>
      <c r="C44" s="71">
        <f>'Workload Planner'!C31</f>
        <v>4</v>
      </c>
      <c r="D44" s="352" t="s">
        <v>126</v>
      </c>
      <c r="E44" s="46"/>
      <c r="F44" s="46"/>
      <c r="G44" s="46"/>
      <c r="H44" s="46"/>
      <c r="I44" s="46"/>
      <c r="J44" s="46"/>
      <c r="K44" s="46"/>
      <c r="L44" s="46"/>
      <c r="M44" s="46"/>
      <c r="N44" s="46"/>
      <c r="O44" s="46"/>
      <c r="P44" s="46"/>
      <c r="Q44" s="46"/>
      <c r="R44" s="46"/>
      <c r="S44" s="46"/>
      <c r="T44" s="46"/>
      <c r="U44" s="46"/>
      <c r="V44" s="46"/>
      <c r="W44" s="46"/>
      <c r="X44" s="46"/>
      <c r="Y44" s="46"/>
      <c r="Z44" s="46"/>
    </row>
    <row r="45" spans="1:26" x14ac:dyDescent="0.25">
      <c r="A45" s="46"/>
      <c r="B45" s="63" t="s">
        <v>506</v>
      </c>
      <c r="C45" s="71">
        <f>'Workload Planner'!C32</f>
        <v>4</v>
      </c>
      <c r="D45" s="352" t="s">
        <v>507</v>
      </c>
      <c r="E45" s="46"/>
      <c r="F45" s="134" t="str">
        <f>IF('Workload Planner'!C8="No","","Bottleneck: "&amp;IF(INT('Workload Planner'!C27/'Workload Planner'!C30)&lt;INT('Workload Planner'!C28/'Workload Planner'!C31),"vCPU",IF(INT('Workload Planner'!C27/'Workload Planner'!C30)&gt;INT('Workload Planner'!C28/'Workload Planner'!C31),"RAM","Both equal")))</f>
        <v>Bottleneck: vCPU</v>
      </c>
      <c r="G45" s="46"/>
      <c r="H45" s="46"/>
      <c r="I45" s="46"/>
      <c r="J45" s="46"/>
      <c r="K45" s="46"/>
      <c r="L45" s="46"/>
      <c r="M45" s="46"/>
      <c r="N45" s="46"/>
      <c r="O45" s="46"/>
      <c r="P45" s="46"/>
      <c r="Q45" s="46"/>
      <c r="R45" s="46"/>
      <c r="S45" s="46"/>
      <c r="T45" s="46"/>
      <c r="U45" s="46"/>
      <c r="V45" s="46"/>
      <c r="W45" s="46"/>
      <c r="X45" s="46"/>
      <c r="Y45" s="46"/>
      <c r="Z45" s="46"/>
    </row>
    <row r="46" spans="1:26" x14ac:dyDescent="0.25">
      <c r="A46" s="46"/>
      <c r="B46" s="46"/>
      <c r="C46" s="46"/>
      <c r="D46" s="46"/>
      <c r="E46" s="46"/>
      <c r="F46" s="46"/>
      <c r="G46" s="46"/>
      <c r="H46" s="46"/>
      <c r="I46" s="46"/>
      <c r="J46" s="46"/>
      <c r="K46" s="46"/>
      <c r="L46" s="46"/>
      <c r="M46" s="46"/>
      <c r="N46" s="46"/>
      <c r="O46" s="46"/>
      <c r="P46" s="46"/>
      <c r="Q46" s="46"/>
      <c r="R46" s="46"/>
      <c r="S46" s="46"/>
      <c r="T46" s="46"/>
      <c r="U46" s="46"/>
      <c r="V46" s="46"/>
      <c r="W46" s="46"/>
      <c r="X46" s="46"/>
      <c r="Y46" s="46"/>
      <c r="Z46" s="46"/>
    </row>
    <row r="47" spans="1:26" ht="15.75" thickBot="1" x14ac:dyDescent="0.3">
      <c r="A47" s="46"/>
      <c r="B47" s="384" t="s">
        <v>607</v>
      </c>
      <c r="C47" s="385">
        <f>'Workload Planner'!C19</f>
        <v>300</v>
      </c>
      <c r="D47" s="386" t="s">
        <v>128</v>
      </c>
      <c r="E47" s="46"/>
      <c r="F47" s="46"/>
      <c r="G47" s="46"/>
      <c r="H47" s="46"/>
      <c r="I47" s="46"/>
      <c r="J47" s="46"/>
      <c r="K47" s="46"/>
      <c r="L47" s="46"/>
      <c r="M47" s="46"/>
      <c r="N47" s="46"/>
      <c r="O47" s="46"/>
      <c r="P47" s="46"/>
      <c r="Q47" s="46"/>
      <c r="R47" s="46"/>
      <c r="S47" s="46"/>
      <c r="T47" s="46"/>
      <c r="U47" s="46"/>
      <c r="V47" s="46"/>
      <c r="W47" s="46"/>
      <c r="X47" s="46"/>
      <c r="Y47" s="46"/>
      <c r="Z47" s="46"/>
    </row>
    <row r="48" spans="1:26" ht="18" x14ac:dyDescent="0.25">
      <c r="A48" s="46"/>
      <c r="B48" s="387" t="s">
        <v>608</v>
      </c>
      <c r="C48" s="388">
        <f>'Workload Planner'!C33</f>
        <v>75</v>
      </c>
      <c r="D48" s="387" t="s">
        <v>125</v>
      </c>
      <c r="E48" s="46"/>
      <c r="F48" s="134" t="str">
        <f>"⌈ "&amp;'Workload Planner'!C19&amp;" users ÷ "&amp;'Workload Planner'!C32&amp;" users/host ⌉"</f>
        <v>⌈ 300 users ÷ 4 users/host ⌉</v>
      </c>
      <c r="G48" s="46"/>
      <c r="H48" s="46"/>
      <c r="I48" s="46"/>
      <c r="J48" s="46"/>
      <c r="K48" s="46"/>
      <c r="L48" s="46"/>
      <c r="M48" s="46"/>
      <c r="N48" s="46"/>
      <c r="O48" s="46"/>
      <c r="P48" s="46"/>
      <c r="Q48" s="46"/>
      <c r="R48" s="46"/>
      <c r="S48" s="46"/>
      <c r="T48" s="46"/>
      <c r="U48" s="46"/>
      <c r="V48" s="46"/>
      <c r="W48" s="46"/>
      <c r="X48" s="46"/>
      <c r="Y48" s="46"/>
      <c r="Z48" s="46"/>
    </row>
    <row r="49" spans="1:26" ht="18" x14ac:dyDescent="0.25">
      <c r="A49" s="46"/>
      <c r="B49" s="389" t="s">
        <v>609</v>
      </c>
      <c r="C49" s="390">
        <f>'Workload Planner'!C10</f>
        <v>32</v>
      </c>
      <c r="D49" s="391" t="s">
        <v>125</v>
      </c>
      <c r="E49" s="46"/>
      <c r="F49" s="257" t="str">
        <f>'Workload Planner'!C34</f>
        <v>✗ FAIL — Need 75 VMs but only 32 configured</v>
      </c>
      <c r="G49" s="46"/>
      <c r="H49" s="46"/>
      <c r="I49" s="46"/>
      <c r="J49" s="46"/>
      <c r="K49" s="46"/>
      <c r="L49" s="46"/>
      <c r="M49" s="46"/>
      <c r="N49" s="46"/>
      <c r="O49" s="46"/>
      <c r="P49" s="46"/>
      <c r="Q49" s="46"/>
      <c r="R49" s="46"/>
      <c r="S49" s="46"/>
      <c r="T49" s="46"/>
      <c r="U49" s="46"/>
      <c r="V49" s="46"/>
      <c r="W49" s="46"/>
      <c r="X49" s="46"/>
      <c r="Y49" s="46"/>
      <c r="Z49" s="46"/>
    </row>
    <row r="50" spans="1:26" x14ac:dyDescent="0.25">
      <c r="A50" s="46"/>
      <c r="B50" s="46"/>
      <c r="C50" s="46"/>
      <c r="D50" s="46"/>
      <c r="E50" s="46"/>
      <c r="F50" s="46"/>
      <c r="G50" s="46"/>
      <c r="H50" s="46"/>
      <c r="I50" s="46"/>
      <c r="J50" s="46"/>
      <c r="K50" s="46"/>
      <c r="L50" s="46"/>
      <c r="M50" s="46"/>
      <c r="N50" s="46"/>
      <c r="O50" s="46"/>
      <c r="P50" s="46"/>
      <c r="Q50" s="46"/>
      <c r="R50" s="46"/>
      <c r="S50" s="46"/>
      <c r="T50" s="46"/>
      <c r="U50" s="46"/>
      <c r="V50" s="46"/>
      <c r="W50" s="46"/>
      <c r="X50" s="46"/>
      <c r="Y50" s="46"/>
      <c r="Z50" s="46"/>
    </row>
    <row r="51" spans="1:26" x14ac:dyDescent="0.25">
      <c r="A51" s="46"/>
      <c r="B51" s="126" t="s">
        <v>922</v>
      </c>
      <c r="C51" s="127"/>
      <c r="D51" s="127"/>
      <c r="E51" s="127"/>
      <c r="F51" s="127"/>
      <c r="G51" s="127"/>
      <c r="H51" s="46"/>
      <c r="I51" s="46"/>
      <c r="J51" s="46"/>
      <c r="K51" s="46"/>
      <c r="L51" s="46"/>
      <c r="M51" s="46"/>
      <c r="N51" s="46"/>
      <c r="O51" s="46"/>
      <c r="P51" s="46"/>
      <c r="Q51" s="46"/>
      <c r="R51" s="46"/>
      <c r="S51" s="46"/>
      <c r="T51" s="46"/>
      <c r="U51" s="46"/>
      <c r="V51" s="46"/>
      <c r="W51" s="46"/>
      <c r="X51" s="46"/>
      <c r="Y51" s="46"/>
      <c r="Z51" s="46"/>
    </row>
    <row r="52" spans="1:26" x14ac:dyDescent="0.25">
      <c r="A52" s="46"/>
      <c r="B52" s="359" t="s">
        <v>552</v>
      </c>
      <c r="C52" s="359" t="s">
        <v>923</v>
      </c>
      <c r="D52" s="359" t="s">
        <v>924</v>
      </c>
      <c r="E52" s="359" t="s">
        <v>925</v>
      </c>
      <c r="F52" s="359" t="s">
        <v>553</v>
      </c>
      <c r="G52" s="392" t="s">
        <v>610</v>
      </c>
      <c r="H52" s="46"/>
      <c r="I52" s="46"/>
      <c r="J52" s="46"/>
      <c r="K52" s="46"/>
      <c r="L52" s="46"/>
      <c r="M52" s="46"/>
      <c r="N52" s="46"/>
      <c r="O52" s="46"/>
      <c r="P52" s="46"/>
      <c r="Q52" s="46"/>
      <c r="R52" s="46"/>
      <c r="S52" s="46"/>
      <c r="T52" s="46"/>
      <c r="U52" s="46"/>
      <c r="V52" s="46"/>
      <c r="W52" s="46"/>
      <c r="X52" s="46"/>
      <c r="Y52" s="46"/>
      <c r="Z52" s="46"/>
    </row>
    <row r="53" spans="1:26" x14ac:dyDescent="0.25">
      <c r="A53" s="46"/>
      <c r="B53" s="393" t="s">
        <v>555</v>
      </c>
      <c r="C53" s="394">
        <f>'Workload Planner'!C156</f>
        <v>256</v>
      </c>
      <c r="D53" s="378">
        <f>'Workload Planner'!D156</f>
        <v>280</v>
      </c>
      <c r="E53" s="378" t="str">
        <f>'Workload Planner'!E156</f>
        <v>✗ FAIL</v>
      </c>
      <c r="F53" s="395" t="str">
        <f>'Workload Planner'!F156</f>
        <v>✗ FAIL</v>
      </c>
      <c r="G53" s="181" t="s">
        <v>640</v>
      </c>
      <c r="H53" s="46"/>
      <c r="I53" s="46"/>
      <c r="J53" s="46"/>
      <c r="K53" s="46"/>
      <c r="L53" s="46"/>
      <c r="M53" s="46"/>
      <c r="N53" s="46"/>
      <c r="O53" s="46"/>
      <c r="P53" s="46"/>
      <c r="Q53" s="46"/>
      <c r="R53" s="46"/>
      <c r="S53" s="46"/>
      <c r="T53" s="46"/>
      <c r="U53" s="46"/>
      <c r="V53" s="46"/>
      <c r="W53" s="46"/>
      <c r="X53" s="46"/>
      <c r="Y53" s="46"/>
      <c r="Z53" s="46"/>
    </row>
    <row r="54" spans="1:26" x14ac:dyDescent="0.25">
      <c r="A54" s="46"/>
      <c r="B54" s="396" t="s">
        <v>583</v>
      </c>
      <c r="C54" s="397">
        <f>'Workload Planner'!C157</f>
        <v>128</v>
      </c>
      <c r="D54" s="380">
        <f>'Workload Planner'!D157</f>
        <v>152</v>
      </c>
      <c r="E54" s="380" t="str">
        <f>'Workload Planner'!E157</f>
        <v>✓ PASS</v>
      </c>
      <c r="F54" s="166" t="str">
        <f>'Workload Planner'!F157</f>
        <v>✗ FAIL</v>
      </c>
      <c r="G54" s="181" t="s">
        <v>641</v>
      </c>
      <c r="H54" s="46"/>
      <c r="I54" s="46"/>
      <c r="J54" s="46"/>
      <c r="K54" s="46"/>
      <c r="L54" s="46"/>
      <c r="M54" s="46"/>
      <c r="N54" s="46"/>
      <c r="O54" s="46"/>
      <c r="P54" s="46"/>
      <c r="Q54" s="46"/>
      <c r="R54" s="46"/>
      <c r="S54" s="46"/>
      <c r="T54" s="46"/>
      <c r="U54" s="46"/>
      <c r="V54" s="46"/>
      <c r="W54" s="46"/>
      <c r="X54" s="46"/>
      <c r="Y54" s="46"/>
      <c r="Z54" s="46"/>
    </row>
    <row r="55" spans="1:26" x14ac:dyDescent="0.25">
      <c r="A55" s="46"/>
      <c r="B55" s="393" t="s">
        <v>584</v>
      </c>
      <c r="C55" s="394">
        <f>'Workload Planner'!C158</f>
        <v>85</v>
      </c>
      <c r="D55" s="378">
        <f>'Workload Planner'!D158</f>
        <v>109</v>
      </c>
      <c r="E55" s="378" t="str">
        <f>'Workload Planner'!E158</f>
        <v>✓ PASS</v>
      </c>
      <c r="F55" s="395" t="str">
        <f>'Workload Planner'!F158</f>
        <v>✓ PASS</v>
      </c>
      <c r="G55" s="181" t="s">
        <v>556</v>
      </c>
      <c r="H55" s="46"/>
      <c r="I55" s="46"/>
      <c r="J55" s="46"/>
      <c r="K55" s="46"/>
      <c r="L55" s="46"/>
      <c r="M55" s="46"/>
      <c r="N55" s="46"/>
      <c r="O55" s="46"/>
      <c r="P55" s="46"/>
      <c r="Q55" s="46"/>
      <c r="R55" s="46"/>
      <c r="S55" s="46"/>
      <c r="T55" s="46"/>
      <c r="U55" s="46"/>
      <c r="V55" s="46"/>
      <c r="W55" s="46"/>
      <c r="X55" s="46"/>
      <c r="Y55" s="46"/>
      <c r="Z55" s="46"/>
    </row>
    <row r="56" spans="1:26" x14ac:dyDescent="0.25">
      <c r="A56" s="46"/>
      <c r="B56" s="396" t="s">
        <v>515</v>
      </c>
      <c r="C56" s="397">
        <f>'Workload Planner'!C159</f>
        <v>64</v>
      </c>
      <c r="D56" s="380">
        <f>'Workload Planner'!D159</f>
        <v>88</v>
      </c>
      <c r="E56" s="380" t="str">
        <f>'Workload Planner'!E159</f>
        <v>✓ PASS</v>
      </c>
      <c r="F56" s="166" t="str">
        <f>'Workload Planner'!F159</f>
        <v>✓ PASS</v>
      </c>
      <c r="G56" s="215" t="s">
        <v>642</v>
      </c>
      <c r="H56" s="46"/>
      <c r="I56" s="46"/>
      <c r="J56" s="46"/>
      <c r="K56" s="46"/>
      <c r="L56" s="46"/>
      <c r="M56" s="46"/>
      <c r="N56" s="46"/>
      <c r="O56" s="46"/>
      <c r="P56" s="46"/>
      <c r="Q56" s="46"/>
      <c r="R56" s="46"/>
      <c r="S56" s="46"/>
      <c r="T56" s="46"/>
      <c r="U56" s="46"/>
      <c r="V56" s="46"/>
      <c r="W56" s="46"/>
      <c r="X56" s="46"/>
      <c r="Y56" s="46"/>
      <c r="Z56" s="46"/>
    </row>
    <row r="57" spans="1:26" x14ac:dyDescent="0.25">
      <c r="A57" s="46"/>
      <c r="B57" s="46"/>
      <c r="C57" s="46"/>
      <c r="D57" s="46"/>
      <c r="E57" s="46"/>
      <c r="F57" s="46"/>
      <c r="G57" s="46"/>
      <c r="H57" s="46"/>
      <c r="I57" s="46"/>
      <c r="J57" s="46"/>
      <c r="K57" s="46"/>
      <c r="L57" s="46"/>
      <c r="M57" s="46"/>
      <c r="N57" s="46"/>
      <c r="O57" s="46"/>
      <c r="P57" s="46"/>
      <c r="Q57" s="46"/>
      <c r="R57" s="46"/>
      <c r="S57" s="46"/>
      <c r="T57" s="46"/>
      <c r="U57" s="46"/>
      <c r="V57" s="46"/>
      <c r="W57" s="46"/>
      <c r="X57" s="46"/>
      <c r="Y57" s="46"/>
      <c r="Z57" s="46"/>
    </row>
    <row r="58" spans="1:26" x14ac:dyDescent="0.25">
      <c r="A58" s="46"/>
      <c r="B58" s="134" t="s">
        <v>643</v>
      </c>
      <c r="C58" s="46"/>
      <c r="D58" s="46"/>
      <c r="E58" s="46"/>
      <c r="F58" s="46"/>
      <c r="G58" s="46"/>
      <c r="H58" s="46"/>
      <c r="I58" s="46"/>
      <c r="J58" s="46"/>
      <c r="K58" s="46"/>
      <c r="L58" s="46"/>
      <c r="M58" s="46"/>
      <c r="N58" s="46"/>
      <c r="O58" s="46"/>
      <c r="P58" s="46"/>
      <c r="Q58" s="46"/>
      <c r="R58" s="46"/>
      <c r="S58" s="46"/>
      <c r="T58" s="46"/>
      <c r="U58" s="46"/>
      <c r="V58" s="46"/>
      <c r="W58" s="46"/>
      <c r="X58" s="46"/>
      <c r="Y58" s="46"/>
      <c r="Z58" s="46"/>
    </row>
    <row r="59" spans="1:26" x14ac:dyDescent="0.25">
      <c r="A59" s="46"/>
      <c r="B59" s="46"/>
      <c r="C59" s="46"/>
      <c r="D59" s="46"/>
      <c r="E59" s="46"/>
      <c r="F59" s="46"/>
      <c r="G59" s="46"/>
      <c r="H59" s="46"/>
      <c r="I59" s="46"/>
      <c r="J59" s="46"/>
      <c r="K59" s="46"/>
      <c r="L59" s="46"/>
      <c r="M59" s="46"/>
      <c r="N59" s="46"/>
      <c r="O59" s="46"/>
      <c r="P59" s="46"/>
      <c r="Q59" s="46"/>
      <c r="R59" s="46"/>
      <c r="S59" s="46"/>
      <c r="T59" s="46"/>
      <c r="U59" s="46"/>
      <c r="V59" s="46"/>
      <c r="W59" s="46"/>
      <c r="X59" s="46"/>
      <c r="Y59" s="46"/>
      <c r="Z59" s="46"/>
    </row>
    <row r="60" spans="1:26" x14ac:dyDescent="0.25">
      <c r="A60" s="46"/>
      <c r="B60" s="46"/>
      <c r="C60" s="46"/>
      <c r="D60" s="46"/>
      <c r="E60" s="46"/>
      <c r="F60" s="46"/>
      <c r="G60" s="46"/>
      <c r="H60" s="46"/>
      <c r="I60" s="46"/>
      <c r="J60" s="46"/>
      <c r="K60" s="46"/>
      <c r="L60" s="46"/>
      <c r="M60" s="46"/>
      <c r="N60" s="46"/>
      <c r="O60" s="46"/>
      <c r="P60" s="46"/>
      <c r="Q60" s="46"/>
      <c r="R60" s="46"/>
      <c r="S60" s="46"/>
      <c r="T60" s="46"/>
      <c r="U60" s="46"/>
      <c r="V60" s="46"/>
      <c r="W60" s="46"/>
      <c r="X60" s="46"/>
      <c r="Y60" s="46"/>
      <c r="Z60" s="46"/>
    </row>
    <row r="61" spans="1:26" x14ac:dyDescent="0.25">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row>
    <row r="62" spans="1:26" x14ac:dyDescent="0.25">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row>
    <row r="63" spans="1:26" x14ac:dyDescent="0.25">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row>
    <row r="64" spans="1:26" x14ac:dyDescent="0.25">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spans="1:26" x14ac:dyDescent="0.25">
      <c r="A65" s="46"/>
      <c r="B65" s="46"/>
      <c r="C65" s="46"/>
      <c r="D65" s="46"/>
      <c r="E65" s="46"/>
      <c r="F65" s="46"/>
      <c r="G65" s="46"/>
      <c r="H65" s="46"/>
      <c r="I65" s="46"/>
      <c r="J65" s="46"/>
      <c r="K65" s="46"/>
      <c r="L65" s="46"/>
      <c r="M65" s="46"/>
      <c r="N65" s="46"/>
      <c r="O65" s="46"/>
      <c r="P65" s="46"/>
      <c r="Q65" s="46"/>
      <c r="R65" s="46"/>
      <c r="S65" s="46"/>
      <c r="T65" s="46"/>
      <c r="U65" s="46"/>
      <c r="V65" s="46"/>
      <c r="W65" s="46"/>
      <c r="X65" s="46"/>
      <c r="Y65" s="46"/>
      <c r="Z65" s="46"/>
    </row>
    <row r="66" spans="1:26" x14ac:dyDescent="0.25">
      <c r="A66" s="46"/>
      <c r="B66" s="46"/>
      <c r="C66" s="46"/>
      <c r="D66" s="46"/>
      <c r="E66" s="46"/>
      <c r="F66" s="46"/>
      <c r="G66" s="46"/>
      <c r="H66" s="46"/>
      <c r="I66" s="46"/>
      <c r="J66" s="46"/>
      <c r="K66" s="46"/>
      <c r="L66" s="46"/>
      <c r="M66" s="46"/>
      <c r="N66" s="46"/>
      <c r="O66" s="46"/>
      <c r="P66" s="46"/>
      <c r="Q66" s="46"/>
      <c r="R66" s="46"/>
      <c r="S66" s="46"/>
      <c r="T66" s="46"/>
      <c r="U66" s="46"/>
      <c r="V66" s="46"/>
      <c r="W66" s="46"/>
      <c r="X66" s="46"/>
      <c r="Y66" s="46"/>
      <c r="Z66" s="46"/>
    </row>
    <row r="67" spans="1:26" x14ac:dyDescent="0.25">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row>
    <row r="68" spans="1:26" x14ac:dyDescent="0.25">
      <c r="A68" s="46"/>
      <c r="B68" s="46"/>
      <c r="C68" s="46"/>
      <c r="D68" s="46"/>
      <c r="E68" s="46"/>
      <c r="F68" s="46"/>
      <c r="G68" s="46"/>
      <c r="H68" s="46"/>
      <c r="I68" s="46"/>
      <c r="J68" s="46"/>
      <c r="K68" s="46"/>
      <c r="L68" s="46"/>
      <c r="M68" s="46"/>
      <c r="N68" s="46"/>
      <c r="O68" s="46"/>
      <c r="P68" s="46"/>
      <c r="Q68" s="46"/>
      <c r="R68" s="46"/>
      <c r="S68" s="46"/>
      <c r="T68" s="46"/>
      <c r="U68" s="46"/>
      <c r="V68" s="46"/>
      <c r="W68" s="46"/>
      <c r="X68" s="46"/>
      <c r="Y68" s="46"/>
      <c r="Z68" s="46"/>
    </row>
    <row r="69" spans="1:26" x14ac:dyDescent="0.25">
      <c r="A69" s="46"/>
      <c r="B69" s="46"/>
      <c r="C69" s="46"/>
      <c r="D69" s="46"/>
      <c r="E69" s="46"/>
      <c r="F69" s="46"/>
      <c r="G69" s="46"/>
      <c r="H69" s="46"/>
      <c r="I69" s="46"/>
      <c r="J69" s="46"/>
      <c r="K69" s="46"/>
      <c r="L69" s="46"/>
      <c r="M69" s="46"/>
      <c r="N69" s="46"/>
      <c r="O69" s="46"/>
      <c r="P69" s="46"/>
      <c r="Q69" s="46"/>
      <c r="R69" s="46"/>
      <c r="S69" s="46"/>
      <c r="T69" s="46"/>
      <c r="U69" s="46"/>
      <c r="V69" s="46"/>
      <c r="W69" s="46"/>
      <c r="X69" s="46"/>
      <c r="Y69" s="46"/>
      <c r="Z69" s="46"/>
    </row>
    <row r="70" spans="1:26" x14ac:dyDescent="0.25">
      <c r="A70" s="46"/>
      <c r="B70" s="46"/>
      <c r="C70" s="46"/>
      <c r="D70" s="46"/>
      <c r="E70" s="46"/>
      <c r="F70" s="46"/>
      <c r="G70" s="46"/>
      <c r="H70" s="46"/>
      <c r="I70" s="46"/>
      <c r="J70" s="46"/>
      <c r="K70" s="46"/>
      <c r="L70" s="46"/>
      <c r="M70" s="46"/>
      <c r="N70" s="46"/>
      <c r="O70" s="46"/>
      <c r="P70" s="46"/>
      <c r="Q70" s="46"/>
      <c r="R70" s="46"/>
      <c r="S70" s="46"/>
      <c r="T70" s="46"/>
      <c r="U70" s="46"/>
      <c r="V70" s="46"/>
      <c r="W70" s="46"/>
      <c r="X70" s="46"/>
      <c r="Y70" s="46"/>
      <c r="Z70" s="46"/>
    </row>
    <row r="71" spans="1:26" x14ac:dyDescent="0.25">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row>
    <row r="72" spans="1:26" x14ac:dyDescent="0.25">
      <c r="A72" s="46"/>
      <c r="B72" s="46"/>
      <c r="C72" s="46"/>
      <c r="D72" s="46"/>
      <c r="E72" s="46"/>
      <c r="F72" s="46"/>
      <c r="G72" s="46"/>
      <c r="H72" s="46"/>
      <c r="I72" s="46"/>
      <c r="J72" s="46"/>
      <c r="K72" s="46"/>
      <c r="L72" s="46"/>
      <c r="M72" s="46"/>
      <c r="N72" s="46"/>
      <c r="O72" s="46"/>
      <c r="P72" s="46"/>
      <c r="Q72" s="46"/>
      <c r="R72" s="46"/>
      <c r="S72" s="46"/>
      <c r="T72" s="46"/>
      <c r="U72" s="46"/>
      <c r="V72" s="46"/>
      <c r="W72" s="46"/>
      <c r="X72" s="46"/>
      <c r="Y72" s="46"/>
      <c r="Z72" s="46"/>
    </row>
    <row r="73" spans="1:26" x14ac:dyDescent="0.25">
      <c r="A73" s="46"/>
      <c r="B73" s="46"/>
      <c r="C73" s="46"/>
      <c r="D73" s="46"/>
      <c r="E73" s="46"/>
      <c r="F73" s="46"/>
      <c r="G73" s="46"/>
      <c r="H73" s="46"/>
      <c r="I73" s="46"/>
      <c r="J73" s="46"/>
      <c r="K73" s="46"/>
      <c r="L73" s="46"/>
      <c r="M73" s="46"/>
      <c r="N73" s="46"/>
      <c r="O73" s="46"/>
      <c r="P73" s="46"/>
      <c r="Q73" s="46"/>
      <c r="R73" s="46"/>
      <c r="S73" s="46"/>
      <c r="T73" s="46"/>
      <c r="U73" s="46"/>
      <c r="V73" s="46"/>
      <c r="W73" s="46"/>
      <c r="X73" s="46"/>
      <c r="Y73" s="46"/>
      <c r="Z73" s="46"/>
    </row>
    <row r="74" spans="1:26" x14ac:dyDescent="0.25">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spans="1:26" x14ac:dyDescent="0.25">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row>
    <row r="76" spans="1:26" x14ac:dyDescent="0.25">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row>
    <row r="77" spans="1:26" x14ac:dyDescent="0.25">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row>
    <row r="78" spans="1:26" x14ac:dyDescent="0.25">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row>
    <row r="79" spans="1:26" x14ac:dyDescent="0.25">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row>
    <row r="80" spans="1:26" x14ac:dyDescent="0.25">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x14ac:dyDescent="0.25">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row>
    <row r="83" spans="1:26" x14ac:dyDescent="0.25">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row>
    <row r="84" spans="1:26" x14ac:dyDescent="0.25">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spans="1:26" x14ac:dyDescent="0.25">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row>
    <row r="86" spans="1:26" x14ac:dyDescent="0.25">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row>
    <row r="87" spans="1:26" x14ac:dyDescent="0.25">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spans="1:26" x14ac:dyDescent="0.25">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row>
    <row r="89" spans="1:26" x14ac:dyDescent="0.25">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row>
    <row r="90" spans="1:26" x14ac:dyDescent="0.25">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row>
    <row r="91" spans="1:26"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spans="1:26"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spans="1:26" x14ac:dyDescent="0.25">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x14ac:dyDescent="0.25">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x14ac:dyDescent="0.25">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x14ac:dyDescent="0.25">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spans="1:26" x14ac:dyDescent="0.25">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0" spans="1:26" x14ac:dyDescent="0.25">
      <c r="A100" s="46"/>
      <c r="B100" s="46"/>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row>
    <row r="101" spans="1:26" x14ac:dyDescent="0.25">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row>
    <row r="102" spans="1:26" x14ac:dyDescent="0.25">
      <c r="A102" s="46"/>
      <c r="B102" s="46"/>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row>
    <row r="103" spans="1:26" x14ac:dyDescent="0.25">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row>
    <row r="104" spans="1:26" x14ac:dyDescent="0.2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row>
    <row r="105" spans="1:26" x14ac:dyDescent="0.25">
      <c r="A105" s="46"/>
      <c r="B105" s="46"/>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row>
    <row r="106" spans="1:26" x14ac:dyDescent="0.25">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row>
    <row r="107" spans="1:26" x14ac:dyDescent="0.25">
      <c r="A107" s="46"/>
      <c r="B107" s="46"/>
      <c r="C107" s="46"/>
      <c r="D107" s="46"/>
      <c r="E107" s="46"/>
      <c r="F107" s="46"/>
      <c r="G107" s="46"/>
      <c r="H107" s="46"/>
      <c r="I107" s="46"/>
      <c r="J107" s="46"/>
      <c r="K107" s="46"/>
      <c r="L107" s="46"/>
      <c r="M107" s="46"/>
      <c r="N107" s="46"/>
      <c r="O107" s="46"/>
      <c r="P107" s="46"/>
      <c r="Q107" s="46"/>
      <c r="R107" s="46"/>
      <c r="S107" s="46"/>
      <c r="T107" s="46"/>
      <c r="U107" s="46"/>
      <c r="V107" s="46"/>
      <c r="W107" s="46"/>
      <c r="X107" s="46"/>
      <c r="Y107" s="46"/>
      <c r="Z107" s="46"/>
    </row>
    <row r="108" spans="1:26" x14ac:dyDescent="0.25">
      <c r="A108" s="46"/>
      <c r="B108" s="46"/>
      <c r="C108" s="46"/>
      <c r="D108" s="46"/>
      <c r="E108" s="46"/>
      <c r="F108" s="46"/>
      <c r="G108" s="46"/>
      <c r="H108" s="46"/>
      <c r="I108" s="46"/>
      <c r="J108" s="46"/>
      <c r="K108" s="46"/>
      <c r="L108" s="46"/>
      <c r="M108" s="46"/>
      <c r="N108" s="46"/>
      <c r="O108" s="46"/>
      <c r="P108" s="46"/>
      <c r="Q108" s="46"/>
      <c r="R108" s="46"/>
      <c r="S108" s="46"/>
      <c r="T108" s="46"/>
      <c r="U108" s="46"/>
      <c r="V108" s="46"/>
      <c r="W108" s="46"/>
      <c r="X108" s="46"/>
      <c r="Y108" s="46"/>
      <c r="Z108" s="46"/>
    </row>
    <row r="109" spans="1:26" x14ac:dyDescent="0.25">
      <c r="A109" s="46"/>
      <c r="B109" s="46"/>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row>
    <row r="110" spans="1:26" x14ac:dyDescent="0.25">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row>
    <row r="111" spans="1:26" x14ac:dyDescent="0.25">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spans="1:26" x14ac:dyDescent="0.25">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spans="1:26" x14ac:dyDescent="0.25">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row>
    <row r="114" spans="1:26" x14ac:dyDescent="0.25">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row>
    <row r="115" spans="1:26" x14ac:dyDescent="0.2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spans="1:26" x14ac:dyDescent="0.25">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spans="1:26" x14ac:dyDescent="0.25">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spans="1:26" x14ac:dyDescent="0.25">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spans="1:26" x14ac:dyDescent="0.25">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spans="1:26" x14ac:dyDescent="0.25">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spans="1:26" x14ac:dyDescent="0.25">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spans="1:26" x14ac:dyDescent="0.25">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spans="1:26" x14ac:dyDescent="0.25">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spans="1:26" x14ac:dyDescent="0.25">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spans="1:26" x14ac:dyDescent="0.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spans="1:26" x14ac:dyDescent="0.25">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spans="1:26" x14ac:dyDescent="0.25">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spans="1:26" x14ac:dyDescent="0.25">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spans="1:26" x14ac:dyDescent="0.25">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spans="1:26" x14ac:dyDescent="0.25">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spans="1:26" x14ac:dyDescent="0.25">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spans="1:26" x14ac:dyDescent="0.25">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spans="1:26" x14ac:dyDescent="0.25">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spans="1:26" x14ac:dyDescent="0.25">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spans="1:26" x14ac:dyDescent="0.2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spans="1:26" x14ac:dyDescent="0.25">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spans="1:26" x14ac:dyDescent="0.25">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spans="1:26" x14ac:dyDescent="0.25">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spans="1:26" x14ac:dyDescent="0.25">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spans="1:26" x14ac:dyDescent="0.25">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spans="1:26" x14ac:dyDescent="0.25">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spans="1:26" x14ac:dyDescent="0.25">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spans="1:26" x14ac:dyDescent="0.25">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spans="1:26" x14ac:dyDescent="0.25">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spans="1:26" x14ac:dyDescent="0.2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spans="1:26" x14ac:dyDescent="0.25">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spans="1:26" x14ac:dyDescent="0.25">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spans="1:26" x14ac:dyDescent="0.25">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spans="1:26" x14ac:dyDescent="0.25">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spans="1:26" x14ac:dyDescent="0.25">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spans="1:26" x14ac:dyDescent="0.25">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spans="1:26" x14ac:dyDescent="0.25">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spans="1:26" x14ac:dyDescent="0.25">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spans="1:26" x14ac:dyDescent="0.25">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spans="1:26" x14ac:dyDescent="0.2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spans="1:26" x14ac:dyDescent="0.25">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spans="1:26" x14ac:dyDescent="0.25">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spans="1:26" x14ac:dyDescent="0.25">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spans="1:26" x14ac:dyDescent="0.25">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spans="1:26" x14ac:dyDescent="0.25">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spans="1:26" x14ac:dyDescent="0.25">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spans="1:26" x14ac:dyDescent="0.25">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spans="1:26" x14ac:dyDescent="0.25">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spans="1:26" x14ac:dyDescent="0.25">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spans="1:26" x14ac:dyDescent="0.2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spans="1:26" x14ac:dyDescent="0.25">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spans="1:26" x14ac:dyDescent="0.25">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spans="1:26" x14ac:dyDescent="0.25">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spans="1:26" x14ac:dyDescent="0.25">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spans="1:26" x14ac:dyDescent="0.25">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spans="1:26" x14ac:dyDescent="0.25">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spans="1:26" x14ac:dyDescent="0.25">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spans="1:26" x14ac:dyDescent="0.25">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spans="1:26" x14ac:dyDescent="0.25">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spans="1:26" x14ac:dyDescent="0.2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spans="1:26" x14ac:dyDescent="0.25">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spans="1:26" x14ac:dyDescent="0.25">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spans="1:26" x14ac:dyDescent="0.25">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spans="1:26" x14ac:dyDescent="0.25">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spans="1:26" x14ac:dyDescent="0.25">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spans="1:26" x14ac:dyDescent="0.25">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spans="1:26" x14ac:dyDescent="0.25">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spans="1:26" x14ac:dyDescent="0.25">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spans="1:26" x14ac:dyDescent="0.25">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spans="1:26" x14ac:dyDescent="0.2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spans="1:26" x14ac:dyDescent="0.25">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spans="1:26" x14ac:dyDescent="0.25">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spans="1:26" x14ac:dyDescent="0.25">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spans="1:26" x14ac:dyDescent="0.25">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spans="1:26" x14ac:dyDescent="0.25">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spans="1:26" x14ac:dyDescent="0.25">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spans="1:26" x14ac:dyDescent="0.25">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spans="1:26" x14ac:dyDescent="0.25">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spans="1:26" x14ac:dyDescent="0.25">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spans="1:26" x14ac:dyDescent="0.2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spans="1:26" x14ac:dyDescent="0.25">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spans="1:26" x14ac:dyDescent="0.25">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spans="1:26" x14ac:dyDescent="0.25">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spans="1:26" x14ac:dyDescent="0.25">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spans="1:26" x14ac:dyDescent="0.25">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spans="1:26" x14ac:dyDescent="0.25">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spans="1:26" x14ac:dyDescent="0.25">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spans="1:26" x14ac:dyDescent="0.25">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spans="1:26" x14ac:dyDescent="0.25">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spans="1:26" x14ac:dyDescent="0.2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spans="1:26" x14ac:dyDescent="0.25">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spans="1:26" x14ac:dyDescent="0.25">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spans="1:26" x14ac:dyDescent="0.25">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spans="1:26" x14ac:dyDescent="0.25">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spans="1:26" x14ac:dyDescent="0.25">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spans="1:26" x14ac:dyDescent="0.25">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spans="1:26" x14ac:dyDescent="0.25">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spans="1:26" x14ac:dyDescent="0.25">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spans="1:26" x14ac:dyDescent="0.25">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spans="1:26" x14ac:dyDescent="0.2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spans="1:26" x14ac:dyDescent="0.25">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spans="1:26" x14ac:dyDescent="0.25">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spans="1:26" x14ac:dyDescent="0.25">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spans="1:26" x14ac:dyDescent="0.25">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spans="1:26" x14ac:dyDescent="0.25">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spans="1:26" x14ac:dyDescent="0.25">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spans="1:26" x14ac:dyDescent="0.25">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spans="1:26" x14ac:dyDescent="0.25">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spans="1:26" x14ac:dyDescent="0.25">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spans="1:26" x14ac:dyDescent="0.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spans="1:26" x14ac:dyDescent="0.25">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spans="1:26" x14ac:dyDescent="0.25">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spans="1:26" x14ac:dyDescent="0.25">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spans="1:26" x14ac:dyDescent="0.25">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spans="1:26" x14ac:dyDescent="0.25">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spans="1:26" x14ac:dyDescent="0.25">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spans="1:26" x14ac:dyDescent="0.25">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spans="1:26" x14ac:dyDescent="0.25">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spans="1:26" x14ac:dyDescent="0.25">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spans="1:26" x14ac:dyDescent="0.2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spans="1:26" x14ac:dyDescent="0.25">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spans="1:26" x14ac:dyDescent="0.25">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spans="1:26" x14ac:dyDescent="0.25">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spans="1:26" x14ac:dyDescent="0.25">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spans="1:26" x14ac:dyDescent="0.25">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spans="1:26" x14ac:dyDescent="0.25">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spans="1:26" x14ac:dyDescent="0.25">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spans="1:26" x14ac:dyDescent="0.25">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spans="1:26" x14ac:dyDescent="0.25">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spans="1:26" x14ac:dyDescent="0.2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spans="1:26" x14ac:dyDescent="0.25">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spans="1:26" x14ac:dyDescent="0.25">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spans="1:26" x14ac:dyDescent="0.25">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spans="1:26" x14ac:dyDescent="0.25">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spans="1:26" x14ac:dyDescent="0.25">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spans="1:26" x14ac:dyDescent="0.25">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spans="1:26" x14ac:dyDescent="0.25">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spans="1:26" x14ac:dyDescent="0.25">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spans="1:26" x14ac:dyDescent="0.25">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spans="1:26" x14ac:dyDescent="0.2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spans="1:26" x14ac:dyDescent="0.25">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spans="1:26" x14ac:dyDescent="0.25">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spans="1:26" x14ac:dyDescent="0.25">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spans="1:26" x14ac:dyDescent="0.25">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spans="1:26" x14ac:dyDescent="0.25">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spans="1:26" x14ac:dyDescent="0.25">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spans="1:26" x14ac:dyDescent="0.25">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spans="1:26" x14ac:dyDescent="0.25">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spans="1:26" x14ac:dyDescent="0.25">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spans="1:26" x14ac:dyDescent="0.2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spans="1:26" x14ac:dyDescent="0.25">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spans="1:26" x14ac:dyDescent="0.25">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spans="1:26" x14ac:dyDescent="0.25">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spans="1:26" x14ac:dyDescent="0.25">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spans="1:26" x14ac:dyDescent="0.25">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spans="1:26" x14ac:dyDescent="0.25">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spans="1:26" x14ac:dyDescent="0.25">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spans="1:26" x14ac:dyDescent="0.25">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spans="1:26" x14ac:dyDescent="0.25">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spans="1:26" x14ac:dyDescent="0.2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spans="1:26" x14ac:dyDescent="0.25">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spans="1:26" x14ac:dyDescent="0.25">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spans="1:26" x14ac:dyDescent="0.25">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spans="1:26" x14ac:dyDescent="0.25">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spans="1:26" x14ac:dyDescent="0.25">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spans="1:26" x14ac:dyDescent="0.25">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spans="1:26" x14ac:dyDescent="0.25">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spans="1:26" x14ac:dyDescent="0.25">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spans="1:26" x14ac:dyDescent="0.25">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spans="1:26" x14ac:dyDescent="0.2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spans="1:26" x14ac:dyDescent="0.25">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spans="1:26" x14ac:dyDescent="0.25">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spans="1:26" x14ac:dyDescent="0.25">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spans="1:26" x14ac:dyDescent="0.25">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spans="1:26" x14ac:dyDescent="0.25">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spans="1:26" x14ac:dyDescent="0.25">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spans="1:26" x14ac:dyDescent="0.25">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spans="1:26" x14ac:dyDescent="0.25">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spans="1:26" x14ac:dyDescent="0.25">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spans="1:26" x14ac:dyDescent="0.2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spans="1:26" x14ac:dyDescent="0.25">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spans="1:26" x14ac:dyDescent="0.25">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spans="1:26" x14ac:dyDescent="0.25">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spans="1:26" x14ac:dyDescent="0.25">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spans="1:26" x14ac:dyDescent="0.25">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spans="1:26" x14ac:dyDescent="0.25">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spans="1:26" x14ac:dyDescent="0.25">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spans="1:26" x14ac:dyDescent="0.25">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spans="1:26" x14ac:dyDescent="0.25">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spans="1:26" x14ac:dyDescent="0.2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spans="1:26" x14ac:dyDescent="0.25">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spans="1:26" x14ac:dyDescent="0.25">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spans="1:26" x14ac:dyDescent="0.25">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spans="1:26" x14ac:dyDescent="0.25">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spans="1:26" x14ac:dyDescent="0.25">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spans="1:26" x14ac:dyDescent="0.25">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spans="1:26" x14ac:dyDescent="0.25">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spans="1:26" x14ac:dyDescent="0.25">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spans="1:26" x14ac:dyDescent="0.25">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spans="1:26" x14ac:dyDescent="0.2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spans="1:26" x14ac:dyDescent="0.25">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spans="1:26" x14ac:dyDescent="0.25">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spans="1:26" x14ac:dyDescent="0.25">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spans="1:26" x14ac:dyDescent="0.25">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spans="1:26" x14ac:dyDescent="0.25">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spans="1:26" x14ac:dyDescent="0.25">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spans="1:26" x14ac:dyDescent="0.25">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spans="1:26" x14ac:dyDescent="0.25">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spans="1:26" x14ac:dyDescent="0.25">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spans="1:26" x14ac:dyDescent="0.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spans="1:26" x14ac:dyDescent="0.25">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spans="1:26" x14ac:dyDescent="0.25">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spans="1:26" x14ac:dyDescent="0.25">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spans="1:26" x14ac:dyDescent="0.25">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spans="1:26" x14ac:dyDescent="0.25">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spans="1:26" x14ac:dyDescent="0.25">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spans="1:26" x14ac:dyDescent="0.25">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spans="1:26" x14ac:dyDescent="0.25">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spans="1:26" x14ac:dyDescent="0.25">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spans="1:26" x14ac:dyDescent="0.2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spans="1:26" x14ac:dyDescent="0.25">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spans="1:26" x14ac:dyDescent="0.25">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spans="1:26" x14ac:dyDescent="0.25">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spans="1:26" x14ac:dyDescent="0.25">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spans="1:26" x14ac:dyDescent="0.25">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spans="1:26" x14ac:dyDescent="0.25">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spans="1:26" x14ac:dyDescent="0.25">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spans="1:26" x14ac:dyDescent="0.25">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spans="1:26" x14ac:dyDescent="0.25">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spans="1:26" x14ac:dyDescent="0.2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spans="1:26" x14ac:dyDescent="0.25">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spans="1:26" x14ac:dyDescent="0.25">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spans="1:26" x14ac:dyDescent="0.25">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spans="1:26" x14ac:dyDescent="0.25">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spans="1:26" x14ac:dyDescent="0.25">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spans="1:26" x14ac:dyDescent="0.25">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spans="1:26" x14ac:dyDescent="0.25">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spans="1:26" x14ac:dyDescent="0.25">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spans="1:26" x14ac:dyDescent="0.25">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spans="1:26" x14ac:dyDescent="0.2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spans="1:26" x14ac:dyDescent="0.25">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spans="1:26" x14ac:dyDescent="0.25">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spans="1:26" x14ac:dyDescent="0.25">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spans="1:26" x14ac:dyDescent="0.25">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spans="1:26" x14ac:dyDescent="0.25">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spans="1:26" x14ac:dyDescent="0.25">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spans="1:26" x14ac:dyDescent="0.25">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spans="1:26" x14ac:dyDescent="0.25">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spans="1:26" x14ac:dyDescent="0.25">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spans="1:26" x14ac:dyDescent="0.2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spans="1:26" x14ac:dyDescent="0.25">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spans="1:26" x14ac:dyDescent="0.25">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spans="1:26" x14ac:dyDescent="0.25">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spans="1:26" x14ac:dyDescent="0.25">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spans="1:26" x14ac:dyDescent="0.25">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spans="1:26" x14ac:dyDescent="0.25">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spans="1:26" x14ac:dyDescent="0.25">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spans="1:26" x14ac:dyDescent="0.25">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spans="1:26" x14ac:dyDescent="0.25">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spans="1:26" x14ac:dyDescent="0.2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spans="1:26" x14ac:dyDescent="0.25">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spans="1:26" x14ac:dyDescent="0.25">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spans="1:26" x14ac:dyDescent="0.25">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spans="1:26" x14ac:dyDescent="0.25">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spans="1:26" x14ac:dyDescent="0.25">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spans="1:26" x14ac:dyDescent="0.25">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spans="1:26" x14ac:dyDescent="0.25">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spans="1:26" x14ac:dyDescent="0.25">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spans="1:26" x14ac:dyDescent="0.25">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spans="1:26" x14ac:dyDescent="0.2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spans="1:26" x14ac:dyDescent="0.25">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spans="1:26" x14ac:dyDescent="0.25">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spans="1:26" x14ac:dyDescent="0.25">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spans="1:26" x14ac:dyDescent="0.25">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spans="1:26" x14ac:dyDescent="0.25">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spans="1:26" x14ac:dyDescent="0.25">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spans="1:26" x14ac:dyDescent="0.25">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spans="1:26" x14ac:dyDescent="0.25">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spans="1:26" x14ac:dyDescent="0.25">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spans="1:26" x14ac:dyDescent="0.2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spans="1:26" x14ac:dyDescent="0.25">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spans="1:26" x14ac:dyDescent="0.25">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spans="1:26" x14ac:dyDescent="0.25">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spans="1:26" x14ac:dyDescent="0.25">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spans="1:26" x14ac:dyDescent="0.25">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spans="1:26" x14ac:dyDescent="0.25">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spans="1:26" x14ac:dyDescent="0.25">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spans="1:26" x14ac:dyDescent="0.25">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spans="1:26" x14ac:dyDescent="0.25">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spans="1:26" x14ac:dyDescent="0.2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spans="1:26" x14ac:dyDescent="0.25">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spans="1:26" x14ac:dyDescent="0.25">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spans="1:26" x14ac:dyDescent="0.25">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spans="1:26" x14ac:dyDescent="0.25">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spans="1:26" x14ac:dyDescent="0.25">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spans="1:26" x14ac:dyDescent="0.25">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spans="1:26" x14ac:dyDescent="0.25">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spans="1:26" x14ac:dyDescent="0.25">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spans="1:26" x14ac:dyDescent="0.25">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spans="1:26" x14ac:dyDescent="0.2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spans="1:26" x14ac:dyDescent="0.25">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spans="1:26" x14ac:dyDescent="0.25">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spans="1:26" x14ac:dyDescent="0.25">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spans="1:26" x14ac:dyDescent="0.25">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spans="1:26" x14ac:dyDescent="0.25">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spans="1:26" x14ac:dyDescent="0.25">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spans="1:26" x14ac:dyDescent="0.25">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spans="1:26" x14ac:dyDescent="0.25">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spans="1:26" x14ac:dyDescent="0.25">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spans="1:26" x14ac:dyDescent="0.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spans="1:26" x14ac:dyDescent="0.25">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spans="1:26" x14ac:dyDescent="0.25">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spans="1:26" x14ac:dyDescent="0.25">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spans="1:26" x14ac:dyDescent="0.25">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spans="1:26" x14ac:dyDescent="0.25">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spans="1:26" x14ac:dyDescent="0.25">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spans="1:26" x14ac:dyDescent="0.25">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spans="1:26" x14ac:dyDescent="0.25">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spans="1:26" x14ac:dyDescent="0.25">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spans="1:26" x14ac:dyDescent="0.2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spans="1:26" x14ac:dyDescent="0.25">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spans="1:26" x14ac:dyDescent="0.25">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spans="1:26" x14ac:dyDescent="0.25">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spans="1:26" x14ac:dyDescent="0.25">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spans="1:26" x14ac:dyDescent="0.25">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spans="1:26" x14ac:dyDescent="0.25">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spans="1:26" x14ac:dyDescent="0.25">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spans="1:26" x14ac:dyDescent="0.25">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spans="1:26" x14ac:dyDescent="0.25">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spans="1:26" x14ac:dyDescent="0.2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spans="1:26" x14ac:dyDescent="0.25">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spans="1:26" x14ac:dyDescent="0.25">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spans="1:26" x14ac:dyDescent="0.25">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spans="1:26" x14ac:dyDescent="0.25">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spans="1:26" x14ac:dyDescent="0.25">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spans="1:26" x14ac:dyDescent="0.25">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spans="1:26" x14ac:dyDescent="0.25">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spans="1:26" x14ac:dyDescent="0.25">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spans="1:26" x14ac:dyDescent="0.25">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spans="1:26" x14ac:dyDescent="0.2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spans="1:26" x14ac:dyDescent="0.25">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spans="1:26" x14ac:dyDescent="0.25">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spans="1:26" x14ac:dyDescent="0.25">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spans="1:26" x14ac:dyDescent="0.25">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spans="1:26" x14ac:dyDescent="0.25">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spans="1:26" x14ac:dyDescent="0.25">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spans="1:26" x14ac:dyDescent="0.25">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spans="1:26" x14ac:dyDescent="0.25">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spans="1:26" x14ac:dyDescent="0.25">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spans="1:26" x14ac:dyDescent="0.2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spans="1:26" x14ac:dyDescent="0.25">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spans="1:26" x14ac:dyDescent="0.25">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spans="1:26" x14ac:dyDescent="0.25">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spans="1:26" x14ac:dyDescent="0.25">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spans="1:26" x14ac:dyDescent="0.25">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spans="1:26" x14ac:dyDescent="0.25">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spans="1:26" x14ac:dyDescent="0.25">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spans="1:26" x14ac:dyDescent="0.25">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spans="1:26" x14ac:dyDescent="0.25">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spans="1:26" x14ac:dyDescent="0.2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spans="1:26" x14ac:dyDescent="0.25">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spans="1:26" x14ac:dyDescent="0.25">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spans="1:26" x14ac:dyDescent="0.25">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spans="1:26" x14ac:dyDescent="0.25">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spans="1:26" x14ac:dyDescent="0.25">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spans="1:26" x14ac:dyDescent="0.25">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spans="1:26" x14ac:dyDescent="0.25">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spans="1:26" x14ac:dyDescent="0.25">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spans="1:26" x14ac:dyDescent="0.25">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spans="1:26" x14ac:dyDescent="0.2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spans="1:26" x14ac:dyDescent="0.25">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spans="1:26" x14ac:dyDescent="0.25">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spans="1:26" x14ac:dyDescent="0.25">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spans="1:26" x14ac:dyDescent="0.25">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spans="1:26" x14ac:dyDescent="0.25">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spans="1:26" x14ac:dyDescent="0.25">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spans="1:26" x14ac:dyDescent="0.25">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spans="1:26" x14ac:dyDescent="0.25">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spans="1:26" x14ac:dyDescent="0.25">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spans="1:26" x14ac:dyDescent="0.2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spans="1:26" x14ac:dyDescent="0.25">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spans="1:26" x14ac:dyDescent="0.25">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spans="1:26" x14ac:dyDescent="0.25">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spans="1:26" x14ac:dyDescent="0.25">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spans="1:26" x14ac:dyDescent="0.25">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sheetData>
  <sheetProtection sheet="1" objects="1" scenarios="1"/>
  <conditionalFormatting sqref="D53:E56">
    <cfRule type="containsText" dxfId="51" priority="4" operator="containsText" text="PASS">
      <formula>NOT(ISERROR(SEARCH("PASS",D53)))</formula>
    </cfRule>
    <cfRule type="containsText" dxfId="50" priority="5" operator="containsText" text="FAIL">
      <formula>NOT(ISERROR(SEARCH("FAIL",D53)))</formula>
    </cfRule>
    <cfRule type="containsText" dxfId="49" priority="6" operator="containsText" text="WARNING">
      <formula>NOT(ISERROR(SEARCH("WARNING",D53)))</formula>
    </cfRule>
  </conditionalFormatting>
  <conditionalFormatting sqref="F35:F38">
    <cfRule type="containsText" dxfId="48" priority="1" operator="containsText" text="PASS">
      <formula>NOT(ISERROR(SEARCH("PASS",F35)))</formula>
    </cfRule>
    <cfRule type="containsText" dxfId="47" priority="2" operator="containsText" text="FAIL">
      <formula>NOT(ISERROR(SEARCH("FAIL",F35)))</formula>
    </cfRule>
    <cfRule type="containsText" dxfId="46" priority="3" operator="containsText" text="WARNING">
      <formula>NOT(ISERROR(SEARCH("WARNING",F35)))</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07E92-0288-455E-B2D1-00281C127365}">
  <sheetPr>
    <tabColor rgb="FF00B050"/>
  </sheetPr>
  <dimension ref="A1:Z500"/>
  <sheetViews>
    <sheetView workbookViewId="0">
      <pane ySplit="3" topLeftCell="A4" activePane="bottomLeft" state="frozen"/>
      <selection pane="bottomLeft" activeCell="F30" sqref="F30"/>
    </sheetView>
  </sheetViews>
  <sheetFormatPr defaultRowHeight="15" x14ac:dyDescent="0.25"/>
  <cols>
    <col min="1" max="1" width="0.7109375" customWidth="1"/>
    <col min="2" max="2" width="41.7109375" bestFit="1" customWidth="1"/>
    <col min="3" max="3" width="36.85546875" bestFit="1" customWidth="1"/>
    <col min="4" max="4" width="21.5703125" bestFit="1" customWidth="1"/>
    <col min="5" max="5" width="24.28515625" bestFit="1" customWidth="1"/>
    <col min="6" max="6" width="18.28515625" bestFit="1" customWidth="1"/>
    <col min="7" max="7" width="13.42578125" bestFit="1" customWidth="1"/>
    <col min="8" max="8" width="11.5703125" bestFit="1" customWidth="1"/>
  </cols>
  <sheetData>
    <row r="1" spans="1:26" x14ac:dyDescent="0.25">
      <c r="A1" s="293"/>
      <c r="B1" s="293"/>
      <c r="C1" s="293"/>
      <c r="D1" s="293"/>
      <c r="E1" s="293"/>
      <c r="F1" s="293"/>
      <c r="G1" s="293"/>
      <c r="H1" s="293"/>
      <c r="I1" s="46"/>
      <c r="J1" s="46"/>
      <c r="K1" s="46"/>
      <c r="L1" s="46"/>
      <c r="M1" s="46"/>
      <c r="N1" s="46"/>
      <c r="O1" s="46"/>
      <c r="P1" s="46"/>
      <c r="Q1" s="46"/>
      <c r="R1" s="46"/>
      <c r="S1" s="46"/>
      <c r="T1" s="46"/>
      <c r="U1" s="46"/>
      <c r="V1" s="46"/>
      <c r="W1" s="46"/>
      <c r="X1" s="46"/>
      <c r="Y1" s="46"/>
      <c r="Z1" s="46"/>
    </row>
    <row r="2" spans="1:26" ht="30" customHeight="1" x14ac:dyDescent="0.3">
      <c r="A2" s="293"/>
      <c r="B2" s="398" t="s">
        <v>419</v>
      </c>
      <c r="C2" s="399"/>
      <c r="D2" s="399"/>
      <c r="E2" s="399"/>
      <c r="F2" s="399"/>
      <c r="G2" s="399"/>
      <c r="H2" s="399"/>
      <c r="I2" s="46"/>
      <c r="J2" s="46"/>
      <c r="K2" s="46"/>
      <c r="L2" s="46"/>
      <c r="M2" s="46"/>
      <c r="N2" s="46"/>
      <c r="O2" s="46"/>
      <c r="P2" s="46"/>
      <c r="Q2" s="46"/>
      <c r="R2" s="46"/>
      <c r="S2" s="46"/>
      <c r="T2" s="46"/>
      <c r="U2" s="46"/>
      <c r="V2" s="46"/>
      <c r="W2" s="46"/>
      <c r="X2" s="46"/>
      <c r="Y2" s="46"/>
      <c r="Z2" s="46"/>
    </row>
    <row r="3" spans="1:26" x14ac:dyDescent="0.25">
      <c r="A3" s="293"/>
      <c r="B3" s="400" t="str">
        <f ca="1">"Generated from calculator inputs. All values linked to source tabs. Last updated: "&amp;TEXT(NOW(),"mm/dd/yyyy hh:mm AM/PM")</f>
        <v>Generated from calculator inputs. All values linked to source tabs. Last updated: 04/01/2026 09:11 AM</v>
      </c>
      <c r="C3" s="401"/>
      <c r="D3" s="401"/>
      <c r="E3" s="401"/>
      <c r="F3" s="401"/>
      <c r="G3" s="401"/>
      <c r="H3" s="401"/>
      <c r="I3" s="46"/>
      <c r="J3" s="46"/>
      <c r="K3" s="46"/>
      <c r="L3" s="46"/>
      <c r="M3" s="46"/>
      <c r="N3" s="46"/>
      <c r="O3" s="46"/>
      <c r="P3" s="46"/>
      <c r="Q3" s="46"/>
      <c r="R3" s="46"/>
      <c r="S3" s="46"/>
      <c r="T3" s="46"/>
      <c r="U3" s="46"/>
      <c r="V3" s="46"/>
      <c r="W3" s="46"/>
      <c r="X3" s="46"/>
      <c r="Y3" s="46"/>
      <c r="Z3" s="46"/>
    </row>
    <row r="4" spans="1:26" x14ac:dyDescent="0.25">
      <c r="A4" s="293"/>
      <c r="B4" s="293"/>
      <c r="C4" s="293"/>
      <c r="D4" s="293"/>
      <c r="E4" s="293"/>
      <c r="F4" s="293"/>
      <c r="G4" s="293"/>
      <c r="H4" s="293"/>
      <c r="I4" s="46"/>
      <c r="J4" s="46"/>
      <c r="K4" s="46"/>
      <c r="L4" s="46"/>
      <c r="M4" s="46"/>
      <c r="N4" s="46"/>
      <c r="O4" s="46"/>
      <c r="P4" s="46"/>
      <c r="Q4" s="46"/>
      <c r="R4" s="46"/>
      <c r="S4" s="46"/>
      <c r="T4" s="46"/>
      <c r="U4" s="46"/>
      <c r="V4" s="46"/>
      <c r="W4" s="46"/>
      <c r="X4" s="46"/>
      <c r="Y4" s="46"/>
      <c r="Z4" s="46"/>
    </row>
    <row r="5" spans="1:26" x14ac:dyDescent="0.25">
      <c r="A5" s="293"/>
      <c r="B5" s="402" t="s">
        <v>420</v>
      </c>
      <c r="C5" s="403"/>
      <c r="D5" s="403"/>
      <c r="E5" s="403"/>
      <c r="F5" s="403"/>
      <c r="G5" s="403"/>
      <c r="H5" s="403"/>
      <c r="I5" s="46"/>
      <c r="J5" s="46"/>
      <c r="K5" s="46"/>
      <c r="L5" s="46"/>
      <c r="M5" s="46"/>
      <c r="N5" s="46"/>
      <c r="O5" s="46"/>
      <c r="P5" s="46"/>
      <c r="Q5" s="46"/>
      <c r="R5" s="46"/>
      <c r="S5" s="46"/>
      <c r="T5" s="46"/>
      <c r="U5" s="46"/>
      <c r="V5" s="46"/>
      <c r="W5" s="46"/>
      <c r="X5" s="46"/>
      <c r="Y5" s="46"/>
      <c r="Z5" s="46"/>
    </row>
    <row r="6" spans="1:26" x14ac:dyDescent="0.25">
      <c r="A6" s="293"/>
      <c r="B6" s="404" t="s">
        <v>173</v>
      </c>
      <c r="C6" s="405">
        <f>'Hardware Inputs'!C8</f>
        <v>3</v>
      </c>
      <c r="D6" s="406" t="s">
        <v>303</v>
      </c>
      <c r="E6" s="293"/>
      <c r="F6" s="293"/>
      <c r="G6" s="293"/>
      <c r="H6" s="293"/>
      <c r="I6" s="46"/>
      <c r="J6" s="46"/>
      <c r="K6" s="46"/>
      <c r="L6" s="46"/>
      <c r="M6" s="46"/>
      <c r="N6" s="46"/>
      <c r="O6" s="46"/>
      <c r="P6" s="46"/>
      <c r="Q6" s="46"/>
      <c r="R6" s="46"/>
      <c r="S6" s="46"/>
      <c r="T6" s="46"/>
      <c r="U6" s="46"/>
      <c r="V6" s="46"/>
      <c r="W6" s="46"/>
      <c r="X6" s="46"/>
      <c r="Y6" s="46"/>
      <c r="Z6" s="46"/>
    </row>
    <row r="7" spans="1:26" x14ac:dyDescent="0.25">
      <c r="A7" s="293"/>
      <c r="B7" s="407" t="s">
        <v>421</v>
      </c>
      <c r="C7" s="408" t="str">
        <f>'Hardware Inputs'!C9</f>
        <v>All-NVMe (No Cache)</v>
      </c>
      <c r="D7" s="319"/>
      <c r="E7" s="293"/>
      <c r="F7" s="293"/>
      <c r="G7" s="293"/>
      <c r="H7" s="293"/>
      <c r="I7" s="46"/>
      <c r="J7" s="46"/>
      <c r="K7" s="46"/>
      <c r="L7" s="46"/>
      <c r="M7" s="46"/>
      <c r="N7" s="46"/>
      <c r="O7" s="46"/>
      <c r="P7" s="46"/>
      <c r="Q7" s="46"/>
      <c r="R7" s="46"/>
      <c r="S7" s="46"/>
      <c r="T7" s="46"/>
      <c r="U7" s="46"/>
      <c r="V7" s="46"/>
      <c r="W7" s="46"/>
      <c r="X7" s="46"/>
      <c r="Y7" s="46"/>
      <c r="Z7" s="46"/>
    </row>
    <row r="8" spans="1:26" x14ac:dyDescent="0.25">
      <c r="A8" s="293"/>
      <c r="B8" s="407" t="s">
        <v>69</v>
      </c>
      <c r="C8" s="408">
        <f>'Hardware Inputs'!C10</f>
        <v>4</v>
      </c>
      <c r="D8" s="319" t="s">
        <v>425</v>
      </c>
      <c r="E8" s="293"/>
      <c r="F8" s="293"/>
      <c r="G8" s="293"/>
      <c r="H8" s="293"/>
      <c r="I8" s="46"/>
      <c r="J8" s="46"/>
      <c r="K8" s="46"/>
      <c r="L8" s="46"/>
      <c r="M8" s="46"/>
      <c r="N8" s="46"/>
      <c r="O8" s="46"/>
      <c r="P8" s="46"/>
      <c r="Q8" s="46"/>
      <c r="R8" s="46"/>
      <c r="S8" s="46"/>
      <c r="T8" s="46"/>
      <c r="U8" s="46"/>
      <c r="V8" s="46"/>
      <c r="W8" s="46"/>
      <c r="X8" s="46"/>
      <c r="Y8" s="46"/>
      <c r="Z8" s="46"/>
    </row>
    <row r="9" spans="1:26" x14ac:dyDescent="0.25">
      <c r="A9" s="293"/>
      <c r="B9" s="407" t="s">
        <v>304</v>
      </c>
      <c r="C9" s="409">
        <f>'Hardware Inputs'!C11</f>
        <v>3.84</v>
      </c>
      <c r="D9" s="319" t="s">
        <v>87</v>
      </c>
      <c r="E9" s="293"/>
      <c r="F9" s="293"/>
      <c r="G9" s="293"/>
      <c r="H9" s="293"/>
      <c r="I9" s="46"/>
      <c r="J9" s="46"/>
      <c r="K9" s="46"/>
      <c r="L9" s="46"/>
      <c r="M9" s="46"/>
      <c r="N9" s="46"/>
      <c r="O9" s="46"/>
      <c r="P9" s="46"/>
      <c r="Q9" s="46"/>
      <c r="R9" s="46"/>
      <c r="S9" s="46"/>
      <c r="T9" s="46"/>
      <c r="U9" s="46"/>
      <c r="V9" s="46"/>
      <c r="W9" s="46"/>
      <c r="X9" s="46"/>
      <c r="Y9" s="46"/>
      <c r="Z9" s="46"/>
    </row>
    <row r="10" spans="1:26" x14ac:dyDescent="0.25">
      <c r="A10" s="293"/>
      <c r="B10" s="407" t="s">
        <v>81</v>
      </c>
      <c r="C10" s="410">
        <f>'Hardware Inputs'!C16</f>
        <v>12</v>
      </c>
      <c r="D10" s="319" t="s">
        <v>82</v>
      </c>
      <c r="E10" s="293"/>
      <c r="F10" s="293"/>
      <c r="G10" s="293"/>
      <c r="H10" s="293"/>
      <c r="I10" s="46"/>
      <c r="J10" s="46"/>
      <c r="K10" s="46"/>
      <c r="L10" s="46"/>
      <c r="M10" s="46"/>
      <c r="N10" s="46"/>
      <c r="O10" s="46"/>
      <c r="P10" s="46"/>
      <c r="Q10" s="46"/>
      <c r="R10" s="46"/>
      <c r="S10" s="46"/>
      <c r="T10" s="46"/>
      <c r="U10" s="46"/>
      <c r="V10" s="46"/>
      <c r="W10" s="46"/>
      <c r="X10" s="46"/>
      <c r="Y10" s="46"/>
      <c r="Z10" s="46"/>
    </row>
    <row r="11" spans="1:26" x14ac:dyDescent="0.25">
      <c r="A11" s="293"/>
      <c r="B11" s="407" t="s">
        <v>305</v>
      </c>
      <c r="C11" s="409">
        <f>'Hardware Inputs'!C18</f>
        <v>46.08</v>
      </c>
      <c r="D11" s="319" t="s">
        <v>87</v>
      </c>
      <c r="E11" s="293"/>
      <c r="F11" s="293"/>
      <c r="G11" s="293"/>
      <c r="H11" s="293"/>
      <c r="I11" s="46"/>
      <c r="J11" s="46"/>
      <c r="K11" s="46"/>
      <c r="L11" s="46"/>
      <c r="M11" s="46"/>
      <c r="N11" s="46"/>
      <c r="O11" s="46"/>
      <c r="P11" s="46"/>
      <c r="Q11" s="46"/>
      <c r="R11" s="46"/>
      <c r="S11" s="46"/>
      <c r="T11" s="46"/>
      <c r="U11" s="46"/>
      <c r="V11" s="46"/>
      <c r="W11" s="46"/>
      <c r="X11" s="46"/>
      <c r="Y11" s="46"/>
      <c r="Z11" s="46"/>
    </row>
    <row r="12" spans="1:26" x14ac:dyDescent="0.25">
      <c r="A12" s="293"/>
      <c r="B12" s="407" t="s">
        <v>422</v>
      </c>
      <c r="C12" s="409">
        <f>'Hardware Inputs'!C20</f>
        <v>42.393599999999999</v>
      </c>
      <c r="D12" s="319" t="s">
        <v>87</v>
      </c>
      <c r="E12" s="293"/>
      <c r="F12" s="293"/>
      <c r="G12" s="293"/>
      <c r="H12" s="293"/>
      <c r="I12" s="46"/>
      <c r="J12" s="46"/>
      <c r="K12" s="46"/>
      <c r="L12" s="46"/>
      <c r="M12" s="46"/>
      <c r="N12" s="46"/>
      <c r="O12" s="46"/>
      <c r="P12" s="46"/>
      <c r="Q12" s="46"/>
      <c r="R12" s="46"/>
      <c r="S12" s="46"/>
      <c r="T12" s="46"/>
      <c r="U12" s="46"/>
      <c r="V12" s="46"/>
      <c r="W12" s="46"/>
      <c r="X12" s="46"/>
      <c r="Y12" s="46"/>
      <c r="Z12" s="46"/>
    </row>
    <row r="13" spans="1:26" x14ac:dyDescent="0.25">
      <c r="A13" s="293"/>
      <c r="B13" s="407" t="s">
        <v>93</v>
      </c>
      <c r="C13" s="409">
        <f>'Hardware Inputs'!C21</f>
        <v>10.5984</v>
      </c>
      <c r="D13" s="319" t="s">
        <v>87</v>
      </c>
      <c r="E13" s="293"/>
      <c r="F13" s="293"/>
      <c r="G13" s="293"/>
      <c r="H13" s="293"/>
      <c r="I13" s="46"/>
      <c r="J13" s="46"/>
      <c r="K13" s="46"/>
      <c r="L13" s="46"/>
      <c r="M13" s="46"/>
      <c r="N13" s="46"/>
      <c r="O13" s="46"/>
      <c r="P13" s="46"/>
      <c r="Q13" s="46"/>
      <c r="R13" s="46"/>
      <c r="S13" s="46"/>
      <c r="T13" s="46"/>
      <c r="U13" s="46"/>
      <c r="V13" s="46"/>
      <c r="W13" s="46"/>
      <c r="X13" s="46"/>
      <c r="Y13" s="46"/>
      <c r="Z13" s="46"/>
    </row>
    <row r="14" spans="1:26" x14ac:dyDescent="0.25">
      <c r="A14" s="293"/>
      <c r="B14" s="407" t="s">
        <v>423</v>
      </c>
      <c r="C14" s="409">
        <f>'Hardware Inputs'!C22</f>
        <v>0.75</v>
      </c>
      <c r="D14" s="319" t="s">
        <v>87</v>
      </c>
      <c r="E14" s="293"/>
      <c r="F14" s="293"/>
      <c r="G14" s="293"/>
      <c r="H14" s="293"/>
      <c r="I14" s="46"/>
      <c r="J14" s="46"/>
      <c r="K14" s="46"/>
      <c r="L14" s="46"/>
      <c r="M14" s="46"/>
      <c r="N14" s="46"/>
      <c r="O14" s="46"/>
      <c r="P14" s="46"/>
      <c r="Q14" s="46"/>
      <c r="R14" s="46"/>
      <c r="S14" s="46"/>
      <c r="T14" s="46"/>
      <c r="U14" s="46"/>
      <c r="V14" s="46"/>
      <c r="W14" s="46"/>
      <c r="X14" s="46"/>
      <c r="Y14" s="46"/>
      <c r="Z14" s="46"/>
    </row>
    <row r="15" spans="1:26" ht="15.75" x14ac:dyDescent="0.25">
      <c r="A15" s="293"/>
      <c r="B15" s="411" t="s">
        <v>424</v>
      </c>
      <c r="C15" s="412">
        <f>'Hardware Inputs'!C24</f>
        <v>31.045200000000001</v>
      </c>
      <c r="D15" s="413" t="s">
        <v>87</v>
      </c>
      <c r="E15" s="134" t="str">
        <f>"(WAC shows: "&amp;ROUND('Hardware Inputs'!C24*(1000/1024)^3,2)&amp;" TiB)"</f>
        <v>(WAC shows: 28.91 TiB)</v>
      </c>
      <c r="F15" s="293"/>
      <c r="G15" s="293"/>
      <c r="H15" s="293"/>
      <c r="I15" s="46"/>
      <c r="J15" s="46"/>
      <c r="K15" s="46"/>
      <c r="L15" s="46"/>
      <c r="M15" s="46"/>
      <c r="N15" s="46"/>
      <c r="O15" s="46"/>
      <c r="P15" s="46"/>
      <c r="Q15" s="46"/>
      <c r="R15" s="46"/>
      <c r="S15" s="46"/>
      <c r="T15" s="46"/>
      <c r="U15" s="46"/>
      <c r="V15" s="46"/>
      <c r="W15" s="46"/>
      <c r="X15" s="46"/>
      <c r="Y15" s="46"/>
      <c r="Z15" s="46"/>
    </row>
    <row r="16" spans="1:26" x14ac:dyDescent="0.25">
      <c r="A16" s="293"/>
      <c r="B16" s="293"/>
      <c r="C16" s="293"/>
      <c r="D16" s="293"/>
      <c r="E16" s="293"/>
      <c r="F16" s="293"/>
      <c r="G16" s="293"/>
      <c r="H16" s="293"/>
      <c r="I16" s="46"/>
      <c r="J16" s="46"/>
      <c r="K16" s="46"/>
      <c r="L16" s="46"/>
      <c r="M16" s="46"/>
      <c r="N16" s="46"/>
      <c r="O16" s="46"/>
      <c r="P16" s="46"/>
      <c r="Q16" s="46"/>
      <c r="R16" s="46"/>
      <c r="S16" s="46"/>
      <c r="T16" s="46"/>
      <c r="U16" s="46"/>
      <c r="V16" s="46"/>
      <c r="W16" s="46"/>
      <c r="X16" s="46"/>
      <c r="Y16" s="46"/>
      <c r="Z16" s="46"/>
    </row>
    <row r="17" spans="1:26" x14ac:dyDescent="0.25">
      <c r="A17" s="293"/>
      <c r="B17" s="402" t="s">
        <v>426</v>
      </c>
      <c r="C17" s="403"/>
      <c r="D17" s="403"/>
      <c r="E17" s="403"/>
      <c r="F17" s="403"/>
      <c r="G17" s="403"/>
      <c r="H17" s="403"/>
      <c r="I17" s="46"/>
      <c r="J17" s="46"/>
      <c r="K17" s="46"/>
      <c r="L17" s="46"/>
      <c r="M17" s="46"/>
      <c r="N17" s="46"/>
      <c r="O17" s="46"/>
      <c r="P17" s="46"/>
      <c r="Q17" s="46"/>
      <c r="R17" s="46"/>
      <c r="S17" s="46"/>
      <c r="T17" s="46"/>
      <c r="U17" s="46"/>
      <c r="V17" s="46"/>
      <c r="W17" s="46"/>
      <c r="X17" s="46"/>
      <c r="Y17" s="46"/>
      <c r="Z17" s="46"/>
    </row>
    <row r="18" spans="1:26" x14ac:dyDescent="0.25">
      <c r="A18" s="293"/>
      <c r="B18" s="404" t="s">
        <v>134</v>
      </c>
      <c r="C18" s="414">
        <f>'Workload Planner'!C114</f>
        <v>31.045200000000001</v>
      </c>
      <c r="D18" s="406" t="s">
        <v>87</v>
      </c>
      <c r="E18" s="293"/>
      <c r="F18" s="293"/>
      <c r="G18" s="293"/>
      <c r="H18" s="293"/>
      <c r="I18" s="46"/>
      <c r="J18" s="46"/>
      <c r="K18" s="46"/>
      <c r="L18" s="46"/>
      <c r="M18" s="46"/>
      <c r="N18" s="46"/>
      <c r="O18" s="46"/>
      <c r="P18" s="46"/>
      <c r="Q18" s="46"/>
      <c r="R18" s="46"/>
      <c r="S18" s="46"/>
      <c r="T18" s="46"/>
      <c r="U18" s="46"/>
      <c r="V18" s="46"/>
      <c r="W18" s="46"/>
      <c r="X18" s="46"/>
      <c r="Y18" s="46"/>
      <c r="Z18" s="46"/>
    </row>
    <row r="19" spans="1:26" x14ac:dyDescent="0.25">
      <c r="A19" s="293"/>
      <c r="B19" s="407" t="s">
        <v>427</v>
      </c>
      <c r="C19" s="409">
        <f>'Workload Planner'!C124</f>
        <v>85.31</v>
      </c>
      <c r="D19" s="319" t="s">
        <v>87</v>
      </c>
      <c r="E19" s="293"/>
      <c r="F19" s="293"/>
      <c r="G19" s="293"/>
      <c r="H19" s="293"/>
      <c r="I19" s="46"/>
      <c r="J19" s="46"/>
      <c r="K19" s="46"/>
      <c r="L19" s="46"/>
      <c r="M19" s="46"/>
      <c r="N19" s="46"/>
      <c r="O19" s="46"/>
      <c r="P19" s="46"/>
      <c r="Q19" s="46"/>
      <c r="R19" s="46"/>
      <c r="S19" s="46"/>
      <c r="T19" s="46"/>
      <c r="U19" s="46"/>
      <c r="V19" s="46"/>
      <c r="W19" s="46"/>
      <c r="X19" s="46"/>
      <c r="Y19" s="46"/>
      <c r="Z19" s="46"/>
    </row>
    <row r="20" spans="1:26" x14ac:dyDescent="0.25">
      <c r="A20" s="293"/>
      <c r="B20" s="407" t="s">
        <v>428</v>
      </c>
      <c r="C20" s="409">
        <f>'Workload Planner'!C125</f>
        <v>38.53</v>
      </c>
      <c r="D20" s="319" t="s">
        <v>87</v>
      </c>
      <c r="E20" s="293"/>
      <c r="F20" s="293"/>
      <c r="G20" s="293"/>
      <c r="H20" s="293"/>
      <c r="I20" s="46"/>
      <c r="J20" s="46"/>
      <c r="K20" s="46"/>
      <c r="L20" s="46"/>
      <c r="M20" s="46"/>
      <c r="N20" s="46"/>
      <c r="O20" s="46"/>
      <c r="P20" s="46"/>
      <c r="Q20" s="46"/>
      <c r="R20" s="46"/>
      <c r="S20" s="46"/>
      <c r="T20" s="46"/>
      <c r="U20" s="46"/>
      <c r="V20" s="46"/>
      <c r="W20" s="46"/>
      <c r="X20" s="46"/>
      <c r="Y20" s="46"/>
      <c r="Z20" s="46"/>
    </row>
    <row r="21" spans="1:26" x14ac:dyDescent="0.25">
      <c r="A21" s="293"/>
      <c r="B21" s="407" t="s">
        <v>140</v>
      </c>
      <c r="C21" s="410">
        <f>'Workload Planner'!C126</f>
        <v>5</v>
      </c>
      <c r="D21" s="319" t="s">
        <v>141</v>
      </c>
      <c r="E21" s="293"/>
      <c r="F21" s="293"/>
      <c r="G21" s="293"/>
      <c r="H21" s="293"/>
      <c r="I21" s="46"/>
      <c r="J21" s="46"/>
      <c r="K21" s="46"/>
      <c r="L21" s="46"/>
      <c r="M21" s="46"/>
      <c r="N21" s="46"/>
      <c r="O21" s="46"/>
      <c r="P21" s="46"/>
      <c r="Q21" s="46"/>
      <c r="R21" s="46"/>
      <c r="S21" s="46"/>
      <c r="T21" s="46"/>
      <c r="U21" s="46"/>
      <c r="V21" s="46"/>
      <c r="W21" s="46"/>
      <c r="X21" s="46"/>
      <c r="Y21" s="46"/>
      <c r="Z21" s="46"/>
    </row>
    <row r="22" spans="1:26" x14ac:dyDescent="0.25">
      <c r="A22" s="293"/>
      <c r="B22" s="407"/>
      <c r="C22" s="319"/>
      <c r="D22" s="319"/>
      <c r="E22" s="293"/>
      <c r="F22" s="293"/>
      <c r="G22" s="293"/>
      <c r="H22" s="293"/>
      <c r="I22" s="46"/>
      <c r="J22" s="46"/>
      <c r="K22" s="46"/>
      <c r="L22" s="46"/>
      <c r="M22" s="46"/>
      <c r="N22" s="46"/>
      <c r="O22" s="46"/>
      <c r="P22" s="46"/>
      <c r="Q22" s="46"/>
      <c r="R22" s="46"/>
      <c r="S22" s="46"/>
      <c r="T22" s="46"/>
      <c r="U22" s="46"/>
      <c r="V22" s="46"/>
      <c r="W22" s="46"/>
      <c r="X22" s="46"/>
      <c r="Y22" s="46"/>
      <c r="Z22" s="46"/>
    </row>
    <row r="23" spans="1:26" ht="15.75" x14ac:dyDescent="0.25">
      <c r="A23" s="293"/>
      <c r="B23" s="415" t="s">
        <v>142</v>
      </c>
      <c r="C23" s="416">
        <f>'Workload Planner'!C128</f>
        <v>-54.264800000000001</v>
      </c>
      <c r="D23" s="417" t="s">
        <v>87</v>
      </c>
      <c r="E23" s="293"/>
      <c r="F23" s="293"/>
      <c r="G23" s="293"/>
      <c r="H23" s="293"/>
      <c r="I23" s="46"/>
      <c r="J23" s="46"/>
      <c r="K23" s="46"/>
      <c r="L23" s="46"/>
      <c r="M23" s="46"/>
      <c r="N23" s="46"/>
      <c r="O23" s="46"/>
      <c r="P23" s="46"/>
      <c r="Q23" s="46"/>
      <c r="R23" s="46"/>
      <c r="S23" s="46"/>
      <c r="T23" s="46"/>
      <c r="U23" s="46"/>
      <c r="V23" s="46"/>
      <c r="W23" s="46"/>
      <c r="X23" s="46"/>
      <c r="Y23" s="46"/>
      <c r="Z23" s="46"/>
    </row>
    <row r="24" spans="1:26" x14ac:dyDescent="0.25">
      <c r="A24" s="293"/>
      <c r="B24" s="415" t="s">
        <v>143</v>
      </c>
      <c r="C24" s="418">
        <f>'Workload Planner'!C129</f>
        <v>2.7479288263564094</v>
      </c>
      <c r="D24" s="417"/>
      <c r="E24" s="293"/>
      <c r="F24" s="293"/>
      <c r="G24" s="293"/>
      <c r="H24" s="293"/>
      <c r="I24" s="46"/>
      <c r="J24" s="46"/>
      <c r="K24" s="46"/>
      <c r="L24" s="46"/>
      <c r="M24" s="46"/>
      <c r="N24" s="46"/>
      <c r="O24" s="46"/>
      <c r="P24" s="46"/>
      <c r="Q24" s="46"/>
      <c r="R24" s="46"/>
      <c r="S24" s="46"/>
      <c r="T24" s="46"/>
      <c r="U24" s="46"/>
      <c r="V24" s="46"/>
      <c r="W24" s="46"/>
      <c r="X24" s="46"/>
      <c r="Y24" s="46"/>
      <c r="Z24" s="46"/>
    </row>
    <row r="25" spans="1:26" x14ac:dyDescent="0.25">
      <c r="A25" s="293"/>
      <c r="B25" s="419" t="s">
        <v>429</v>
      </c>
      <c r="C25" s="420" t="str">
        <f>IF('Workload Planner'!C128&lt;0,"FAIL — OVER CAPACITY",IF('Workload Planner'!C129&gt;0.7,"WARNING — Above 70% utilization","PASS — Healthy headroom"))</f>
        <v>FAIL — OVER CAPACITY</v>
      </c>
      <c r="D25" s="317"/>
      <c r="E25" s="293"/>
      <c r="F25" s="293"/>
      <c r="G25" s="293"/>
      <c r="H25" s="293"/>
      <c r="I25" s="46"/>
      <c r="J25" s="46"/>
      <c r="K25" s="46"/>
      <c r="L25" s="46"/>
      <c r="M25" s="46"/>
      <c r="N25" s="46"/>
      <c r="O25" s="46"/>
      <c r="P25" s="46"/>
      <c r="Q25" s="46"/>
      <c r="R25" s="46"/>
      <c r="S25" s="46"/>
      <c r="T25" s="46"/>
      <c r="U25" s="46"/>
      <c r="V25" s="46"/>
      <c r="W25" s="46"/>
      <c r="X25" s="46"/>
      <c r="Y25" s="46"/>
      <c r="Z25" s="46"/>
    </row>
    <row r="26" spans="1:26" ht="0.95" customHeight="1" x14ac:dyDescent="0.25">
      <c r="A26" s="293"/>
      <c r="B26" s="421"/>
      <c r="C26" s="422" t="s">
        <v>459</v>
      </c>
      <c r="D26" s="422" t="s">
        <v>460</v>
      </c>
      <c r="E26" s="293"/>
      <c r="F26" s="293"/>
      <c r="G26" s="293"/>
      <c r="H26" s="293"/>
      <c r="I26" s="46"/>
      <c r="J26" s="46"/>
      <c r="K26" s="46"/>
      <c r="L26" s="46"/>
      <c r="M26" s="46"/>
      <c r="N26" s="46"/>
      <c r="O26" s="46"/>
      <c r="P26" s="46"/>
      <c r="Q26" s="46"/>
      <c r="R26" s="46"/>
      <c r="S26" s="46"/>
      <c r="T26" s="46"/>
      <c r="U26" s="46"/>
      <c r="V26" s="46"/>
      <c r="W26" s="46"/>
      <c r="X26" s="46"/>
      <c r="Y26" s="46"/>
      <c r="Z26" s="46"/>
    </row>
    <row r="27" spans="1:26" ht="0.95" customHeight="1" x14ac:dyDescent="0.25">
      <c r="A27" s="293"/>
      <c r="B27" s="423" t="s">
        <v>193</v>
      </c>
      <c r="C27" s="424">
        <f>'Workload Planner'!C124</f>
        <v>85.31</v>
      </c>
      <c r="D27" s="425">
        <f>IF('Workload Planner'!C128&gt;0,'Workload Planner'!C128,0)</f>
        <v>0</v>
      </c>
      <c r="E27" s="293"/>
      <c r="F27" s="293"/>
      <c r="G27" s="293"/>
      <c r="H27" s="293"/>
      <c r="I27" s="46"/>
      <c r="J27" s="46"/>
      <c r="K27" s="46"/>
      <c r="L27" s="46"/>
      <c r="M27" s="46"/>
      <c r="N27" s="46"/>
      <c r="O27" s="46"/>
      <c r="P27" s="46"/>
      <c r="Q27" s="46"/>
      <c r="R27" s="46"/>
      <c r="S27" s="46"/>
      <c r="T27" s="46"/>
      <c r="U27" s="46"/>
      <c r="V27" s="46"/>
      <c r="W27" s="46"/>
      <c r="X27" s="46"/>
      <c r="Y27" s="46"/>
      <c r="Z27" s="46"/>
    </row>
    <row r="28" spans="1:26" x14ac:dyDescent="0.25">
      <c r="A28" s="293"/>
      <c r="B28" s="421"/>
      <c r="C28" s="426"/>
      <c r="D28" s="293"/>
      <c r="E28" s="293"/>
      <c r="F28" s="293"/>
      <c r="G28" s="293"/>
      <c r="H28" s="293"/>
      <c r="I28" s="46"/>
      <c r="J28" s="46"/>
      <c r="K28" s="46"/>
      <c r="L28" s="46"/>
      <c r="M28" s="46"/>
      <c r="N28" s="46"/>
      <c r="O28" s="46"/>
      <c r="P28" s="46"/>
      <c r="Q28" s="46"/>
      <c r="R28" s="46"/>
      <c r="S28" s="46"/>
      <c r="T28" s="46"/>
      <c r="U28" s="46"/>
      <c r="V28" s="46"/>
      <c r="W28" s="46"/>
      <c r="X28" s="46"/>
      <c r="Y28" s="46"/>
      <c r="Z28" s="46"/>
    </row>
    <row r="29" spans="1:26" x14ac:dyDescent="0.25">
      <c r="A29" s="293"/>
      <c r="B29" s="421"/>
      <c r="C29" s="426"/>
      <c r="D29" s="293"/>
      <c r="E29" s="293"/>
      <c r="F29" s="293"/>
      <c r="G29" s="293"/>
      <c r="H29" s="293"/>
      <c r="I29" s="46"/>
      <c r="J29" s="46"/>
      <c r="K29" s="46"/>
      <c r="L29" s="46"/>
      <c r="M29" s="46"/>
      <c r="N29" s="46"/>
      <c r="O29" s="46"/>
      <c r="P29" s="46"/>
      <c r="Q29" s="46"/>
      <c r="R29" s="46"/>
      <c r="S29" s="46"/>
      <c r="T29" s="46"/>
      <c r="U29" s="46"/>
      <c r="V29" s="46"/>
      <c r="W29" s="46"/>
      <c r="X29" s="46"/>
      <c r="Y29" s="46"/>
      <c r="Z29" s="46"/>
    </row>
    <row r="30" spans="1:26" x14ac:dyDescent="0.25">
      <c r="A30" s="293"/>
      <c r="B30" s="421"/>
      <c r="C30" s="426"/>
      <c r="D30" s="293"/>
      <c r="E30" s="293"/>
      <c r="F30" s="293"/>
      <c r="G30" s="293"/>
      <c r="H30" s="293"/>
      <c r="I30" s="46"/>
      <c r="J30" s="46"/>
      <c r="K30" s="46"/>
      <c r="L30" s="46"/>
      <c r="M30" s="46"/>
      <c r="N30" s="46"/>
      <c r="O30" s="46"/>
      <c r="P30" s="46"/>
      <c r="Q30" s="46"/>
      <c r="R30" s="46"/>
      <c r="S30" s="46"/>
      <c r="T30" s="46"/>
      <c r="U30" s="46"/>
      <c r="V30" s="46"/>
      <c r="W30" s="46"/>
      <c r="X30" s="46"/>
      <c r="Y30" s="46"/>
      <c r="Z30" s="46"/>
    </row>
    <row r="31" spans="1:26" x14ac:dyDescent="0.25">
      <c r="A31" s="293"/>
      <c r="B31" s="421"/>
      <c r="C31" s="426"/>
      <c r="D31" s="293"/>
      <c r="E31" s="293"/>
      <c r="F31" s="293"/>
      <c r="G31" s="293"/>
      <c r="H31" s="293"/>
      <c r="I31" s="46"/>
      <c r="J31" s="46"/>
      <c r="K31" s="46"/>
      <c r="L31" s="46"/>
      <c r="M31" s="46"/>
      <c r="N31" s="46"/>
      <c r="O31" s="46"/>
      <c r="P31" s="46"/>
      <c r="Q31" s="46"/>
      <c r="R31" s="46"/>
      <c r="S31" s="46"/>
      <c r="T31" s="46"/>
      <c r="U31" s="46"/>
      <c r="V31" s="46"/>
      <c r="W31" s="46"/>
      <c r="X31" s="46"/>
      <c r="Y31" s="46"/>
      <c r="Z31" s="46"/>
    </row>
    <row r="32" spans="1:26" x14ac:dyDescent="0.25">
      <c r="A32" s="293"/>
      <c r="B32" s="421"/>
      <c r="C32" s="426"/>
      <c r="D32" s="293"/>
      <c r="E32" s="293"/>
      <c r="F32" s="293"/>
      <c r="G32" s="293"/>
      <c r="H32" s="293"/>
      <c r="I32" s="46"/>
      <c r="J32" s="46"/>
      <c r="K32" s="46"/>
      <c r="L32" s="46"/>
      <c r="M32" s="46"/>
      <c r="N32" s="46"/>
      <c r="O32" s="46"/>
      <c r="P32" s="46"/>
      <c r="Q32" s="46"/>
      <c r="R32" s="46"/>
      <c r="S32" s="46"/>
      <c r="T32" s="46"/>
      <c r="U32" s="46"/>
      <c r="V32" s="46"/>
      <c r="W32" s="46"/>
      <c r="X32" s="46"/>
      <c r="Y32" s="46"/>
      <c r="Z32" s="46"/>
    </row>
    <row r="33" spans="1:26" x14ac:dyDescent="0.25">
      <c r="A33" s="293"/>
      <c r="B33" s="421"/>
      <c r="C33" s="426"/>
      <c r="D33" s="293"/>
      <c r="E33" s="293"/>
      <c r="F33" s="293"/>
      <c r="G33" s="293"/>
      <c r="H33" s="293"/>
      <c r="I33" s="46"/>
      <c r="J33" s="46"/>
      <c r="K33" s="46"/>
      <c r="L33" s="46"/>
      <c r="M33" s="46"/>
      <c r="N33" s="46"/>
      <c r="O33" s="46"/>
      <c r="P33" s="46"/>
      <c r="Q33" s="46"/>
      <c r="R33" s="46"/>
      <c r="S33" s="46"/>
      <c r="T33" s="46"/>
      <c r="U33" s="46"/>
      <c r="V33" s="46"/>
      <c r="W33" s="46"/>
      <c r="X33" s="46"/>
      <c r="Y33" s="46"/>
      <c r="Z33" s="46"/>
    </row>
    <row r="34" spans="1:26" x14ac:dyDescent="0.25">
      <c r="A34" s="293"/>
      <c r="B34" s="421"/>
      <c r="C34" s="426"/>
      <c r="D34" s="293"/>
      <c r="E34" s="293"/>
      <c r="F34" s="293"/>
      <c r="G34" s="293"/>
      <c r="H34" s="293"/>
      <c r="I34" s="46"/>
      <c r="J34" s="46"/>
      <c r="K34" s="46"/>
      <c r="L34" s="46"/>
      <c r="M34" s="46"/>
      <c r="N34" s="46"/>
      <c r="O34" s="46"/>
      <c r="P34" s="46"/>
      <c r="Q34" s="46"/>
      <c r="R34" s="46"/>
      <c r="S34" s="46"/>
      <c r="T34" s="46"/>
      <c r="U34" s="46"/>
      <c r="V34" s="46"/>
      <c r="W34" s="46"/>
      <c r="X34" s="46"/>
      <c r="Y34" s="46"/>
      <c r="Z34" s="46"/>
    </row>
    <row r="35" spans="1:26" x14ac:dyDescent="0.25">
      <c r="A35" s="293"/>
      <c r="B35" s="421"/>
      <c r="C35" s="426"/>
      <c r="D35" s="293"/>
      <c r="E35" s="293"/>
      <c r="F35" s="293"/>
      <c r="G35" s="293"/>
      <c r="H35" s="293"/>
      <c r="I35" s="46"/>
      <c r="J35" s="46"/>
      <c r="K35" s="46"/>
      <c r="L35" s="46"/>
      <c r="M35" s="46"/>
      <c r="N35" s="46"/>
      <c r="O35" s="46"/>
      <c r="P35" s="46"/>
      <c r="Q35" s="46"/>
      <c r="R35" s="46"/>
      <c r="S35" s="46"/>
      <c r="T35" s="46"/>
      <c r="U35" s="46"/>
      <c r="V35" s="46"/>
      <c r="W35" s="46"/>
      <c r="X35" s="46"/>
      <c r="Y35" s="46"/>
      <c r="Z35" s="46"/>
    </row>
    <row r="36" spans="1:26" x14ac:dyDescent="0.25">
      <c r="A36" s="293"/>
      <c r="B36" s="421"/>
      <c r="C36" s="426"/>
      <c r="D36" s="293"/>
      <c r="E36" s="293"/>
      <c r="F36" s="293"/>
      <c r="G36" s="293"/>
      <c r="H36" s="293"/>
      <c r="I36" s="46"/>
      <c r="J36" s="46"/>
      <c r="K36" s="46"/>
      <c r="L36" s="46"/>
      <c r="M36" s="46"/>
      <c r="N36" s="46"/>
      <c r="O36" s="46"/>
      <c r="P36" s="46"/>
      <c r="Q36" s="46"/>
      <c r="R36" s="46"/>
      <c r="S36" s="46"/>
      <c r="T36" s="46"/>
      <c r="U36" s="46"/>
      <c r="V36" s="46"/>
      <c r="W36" s="46"/>
      <c r="X36" s="46"/>
      <c r="Y36" s="46"/>
      <c r="Z36" s="46"/>
    </row>
    <row r="37" spans="1:26" x14ac:dyDescent="0.25">
      <c r="A37" s="293"/>
      <c r="B37" s="421"/>
      <c r="C37" s="426"/>
      <c r="D37" s="293"/>
      <c r="E37" s="293"/>
      <c r="F37" s="293"/>
      <c r="G37" s="293"/>
      <c r="H37" s="293"/>
      <c r="I37" s="46"/>
      <c r="J37" s="46"/>
      <c r="K37" s="46"/>
      <c r="L37" s="46"/>
      <c r="M37" s="46"/>
      <c r="N37" s="46"/>
      <c r="O37" s="46"/>
      <c r="P37" s="46"/>
      <c r="Q37" s="46"/>
      <c r="R37" s="46"/>
      <c r="S37" s="46"/>
      <c r="T37" s="46"/>
      <c r="U37" s="46"/>
      <c r="V37" s="46"/>
      <c r="W37" s="46"/>
      <c r="X37" s="46"/>
      <c r="Y37" s="46"/>
      <c r="Z37" s="46"/>
    </row>
    <row r="38" spans="1:26" x14ac:dyDescent="0.25">
      <c r="A38" s="293"/>
      <c r="B38" s="421"/>
      <c r="C38" s="426"/>
      <c r="D38" s="293"/>
      <c r="E38" s="293"/>
      <c r="F38" s="293"/>
      <c r="G38" s="293"/>
      <c r="H38" s="293"/>
      <c r="I38" s="46"/>
      <c r="J38" s="46"/>
      <c r="K38" s="46"/>
      <c r="L38" s="46"/>
      <c r="M38" s="46"/>
      <c r="N38" s="46"/>
      <c r="O38" s="46"/>
      <c r="P38" s="46"/>
      <c r="Q38" s="46"/>
      <c r="R38" s="46"/>
      <c r="S38" s="46"/>
      <c r="T38" s="46"/>
      <c r="U38" s="46"/>
      <c r="V38" s="46"/>
      <c r="W38" s="46"/>
      <c r="X38" s="46"/>
      <c r="Y38" s="46"/>
      <c r="Z38" s="46"/>
    </row>
    <row r="39" spans="1:26" x14ac:dyDescent="0.25">
      <c r="A39" s="293"/>
      <c r="B39" s="421"/>
      <c r="C39" s="426"/>
      <c r="D39" s="293"/>
      <c r="E39" s="293"/>
      <c r="F39" s="293"/>
      <c r="G39" s="293"/>
      <c r="H39" s="293"/>
      <c r="I39" s="46"/>
      <c r="J39" s="46"/>
      <c r="K39" s="46"/>
      <c r="L39" s="46"/>
      <c r="M39" s="46"/>
      <c r="N39" s="46"/>
      <c r="O39" s="46"/>
      <c r="P39" s="46"/>
      <c r="Q39" s="46"/>
      <c r="R39" s="46"/>
      <c r="S39" s="46"/>
      <c r="T39" s="46"/>
      <c r="U39" s="46"/>
      <c r="V39" s="46"/>
      <c r="W39" s="46"/>
      <c r="X39" s="46"/>
      <c r="Y39" s="46"/>
      <c r="Z39" s="46"/>
    </row>
    <row r="40" spans="1:26" x14ac:dyDescent="0.25">
      <c r="A40" s="293"/>
      <c r="B40" s="293"/>
      <c r="C40" s="293"/>
      <c r="D40" s="293"/>
      <c r="E40" s="293"/>
      <c r="F40" s="293"/>
      <c r="G40" s="293"/>
      <c r="H40" s="293"/>
      <c r="I40" s="46"/>
      <c r="J40" s="46"/>
      <c r="K40" s="46"/>
      <c r="L40" s="46"/>
      <c r="M40" s="46"/>
      <c r="N40" s="46"/>
      <c r="O40" s="46"/>
      <c r="P40" s="46"/>
      <c r="Q40" s="46"/>
      <c r="R40" s="46"/>
      <c r="S40" s="46"/>
      <c r="T40" s="46"/>
      <c r="U40" s="46"/>
      <c r="V40" s="46"/>
      <c r="W40" s="46"/>
      <c r="X40" s="46"/>
      <c r="Y40" s="46"/>
      <c r="Z40" s="46"/>
    </row>
    <row r="41" spans="1:26" x14ac:dyDescent="0.25">
      <c r="A41" s="293"/>
      <c r="B41" s="402" t="s">
        <v>430</v>
      </c>
      <c r="C41" s="403"/>
      <c r="D41" s="403"/>
      <c r="E41" s="403"/>
      <c r="F41" s="403"/>
      <c r="G41" s="403"/>
      <c r="H41" s="403"/>
      <c r="I41" s="46"/>
      <c r="J41" s="46"/>
      <c r="K41" s="46"/>
      <c r="L41" s="46"/>
      <c r="M41" s="46"/>
      <c r="N41" s="46"/>
      <c r="O41" s="46"/>
      <c r="P41" s="46"/>
      <c r="Q41" s="46"/>
      <c r="R41" s="46"/>
      <c r="S41" s="46"/>
      <c r="T41" s="46"/>
      <c r="U41" s="46"/>
      <c r="V41" s="46"/>
      <c r="W41" s="46"/>
      <c r="X41" s="46"/>
      <c r="Y41" s="46"/>
      <c r="Z41" s="46"/>
    </row>
    <row r="42" spans="1:26" x14ac:dyDescent="0.25">
      <c r="A42" s="293"/>
      <c r="B42" s="427" t="s">
        <v>431</v>
      </c>
      <c r="C42" s="428" t="s">
        <v>402</v>
      </c>
      <c r="D42" s="428" t="s">
        <v>272</v>
      </c>
      <c r="E42" s="428" t="s">
        <v>400</v>
      </c>
      <c r="F42" s="428" t="s">
        <v>105</v>
      </c>
      <c r="G42" s="429" t="s">
        <v>401</v>
      </c>
      <c r="H42" s="293"/>
      <c r="I42" s="46"/>
      <c r="J42" s="46"/>
      <c r="K42" s="46"/>
      <c r="L42" s="46"/>
      <c r="M42" s="46"/>
      <c r="N42" s="46"/>
      <c r="O42" s="46"/>
      <c r="P42" s="46"/>
      <c r="Q42" s="46"/>
      <c r="R42" s="46"/>
      <c r="S42" s="46"/>
      <c r="T42" s="46"/>
      <c r="U42" s="46"/>
      <c r="V42" s="46"/>
      <c r="W42" s="46"/>
      <c r="X42" s="46"/>
      <c r="Y42" s="46"/>
      <c r="Z42" s="46"/>
    </row>
    <row r="43" spans="1:26" x14ac:dyDescent="0.25">
      <c r="A43" s="293"/>
      <c r="B43" s="430" t="s">
        <v>432</v>
      </c>
      <c r="C43" s="431" t="str">
        <f>IF('Workload Planner'!C14&gt;0,"Enabled","— Disabled")</f>
        <v>Enabled</v>
      </c>
      <c r="D43" s="431" t="str">
        <f>'Workload Planner'!C13</f>
        <v>Two-Way Mirror</v>
      </c>
      <c r="E43" s="432">
        <f>IF(C43="— Disabled","—",'Workload Planner'!C14)</f>
        <v>5.53</v>
      </c>
      <c r="F43" s="431" t="str">
        <f>'Workload Planner'!D13</f>
        <v>50% eff.</v>
      </c>
      <c r="G43" s="433">
        <f>IF(C43="— Disabled","—",'Workload Planner'!C15)</f>
        <v>11.06</v>
      </c>
      <c r="H43" s="293"/>
      <c r="I43" s="46"/>
      <c r="J43" s="46"/>
      <c r="K43" s="46"/>
      <c r="L43" s="46"/>
      <c r="M43" s="46"/>
      <c r="N43" s="46"/>
      <c r="O43" s="46"/>
      <c r="P43" s="46"/>
      <c r="Q43" s="46"/>
      <c r="R43" s="46"/>
      <c r="S43" s="46"/>
      <c r="T43" s="46"/>
      <c r="U43" s="46"/>
      <c r="V43" s="46"/>
      <c r="W43" s="46"/>
      <c r="X43" s="46"/>
      <c r="Y43" s="46"/>
      <c r="Z43" s="46"/>
    </row>
    <row r="44" spans="1:26" x14ac:dyDescent="0.25">
      <c r="A44" s="293"/>
      <c r="B44" s="434" t="s">
        <v>433</v>
      </c>
      <c r="C44" s="330" t="str">
        <f>IF('Workload Planner'!C23&gt;0,"Enabled","— Disabled")</f>
        <v>Enabled</v>
      </c>
      <c r="D44" s="330" t="str">
        <f>'Workload Planner'!C22</f>
        <v>Three-Way Mirror</v>
      </c>
      <c r="E44" s="435">
        <f>IF(C44="— Disabled","—",'Workload Planner'!C23)</f>
        <v>8.25</v>
      </c>
      <c r="F44" s="330" t="str">
        <f>'Workload Planner'!D22</f>
        <v>33% eff.</v>
      </c>
      <c r="G44" s="436">
        <f>IF(C44="— Disabled","—",'Workload Planner'!C24)</f>
        <v>24.75</v>
      </c>
      <c r="H44" s="293"/>
      <c r="I44" s="46"/>
      <c r="J44" s="46"/>
      <c r="K44" s="46"/>
      <c r="L44" s="46"/>
      <c r="M44" s="46"/>
      <c r="N44" s="46"/>
      <c r="O44" s="46"/>
      <c r="P44" s="46"/>
      <c r="Q44" s="46"/>
      <c r="R44" s="46"/>
      <c r="S44" s="46"/>
      <c r="T44" s="46"/>
      <c r="U44" s="46"/>
      <c r="V44" s="46"/>
      <c r="W44" s="46"/>
      <c r="X44" s="46"/>
      <c r="Y44" s="46"/>
      <c r="Z44" s="46"/>
    </row>
    <row r="45" spans="1:26" x14ac:dyDescent="0.25">
      <c r="A45" s="293"/>
      <c r="B45" s="430" t="s">
        <v>434</v>
      </c>
      <c r="C45" s="431" t="str">
        <f>IF('Workload Planner'!C54&gt;0,"Enabled","— Disabled")</f>
        <v>— Disabled</v>
      </c>
      <c r="D45" s="431" t="str">
        <f>'Workload Planner'!C53</f>
        <v>Three-Way Mirror</v>
      </c>
      <c r="E45" s="432" t="str">
        <f>IF(C45="— Disabled","—",'Workload Planner'!C54)</f>
        <v>—</v>
      </c>
      <c r="F45" s="431" t="str">
        <f>'Workload Planner'!D53</f>
        <v>33% eff.</v>
      </c>
      <c r="G45" s="433" t="str">
        <f>IF(C45="— Disabled","—",'Workload Planner'!C55)</f>
        <v>—</v>
      </c>
      <c r="H45" s="293"/>
      <c r="I45" s="46"/>
      <c r="J45" s="46"/>
      <c r="K45" s="46"/>
      <c r="L45" s="46"/>
      <c r="M45" s="46"/>
      <c r="N45" s="46"/>
      <c r="O45" s="46"/>
      <c r="P45" s="46"/>
      <c r="Q45" s="46"/>
      <c r="R45" s="46"/>
      <c r="S45" s="46"/>
      <c r="T45" s="46"/>
      <c r="U45" s="46"/>
      <c r="V45" s="46"/>
      <c r="W45" s="46"/>
      <c r="X45" s="46"/>
      <c r="Y45" s="46"/>
      <c r="Z45" s="46"/>
    </row>
    <row r="46" spans="1:26" x14ac:dyDescent="0.25">
      <c r="A46" s="293"/>
      <c r="B46" s="434" t="s">
        <v>435</v>
      </c>
      <c r="C46" s="330" t="str">
        <f>IF('Workload Planner'!C70&gt;0,"Enabled","— Disabled")</f>
        <v>— Disabled</v>
      </c>
      <c r="D46" s="330" t="str">
        <f>'Workload Planner'!C69</f>
        <v>Three-Way Mirror</v>
      </c>
      <c r="E46" s="435" t="str">
        <f>IF(C46="— Disabled","—",'Workload Planner'!C70)</f>
        <v>—</v>
      </c>
      <c r="F46" s="330" t="str">
        <f>'Workload Planner'!D69</f>
        <v>33% eff.</v>
      </c>
      <c r="G46" s="436" t="str">
        <f>IF(C46="— Disabled","—",'Workload Planner'!C71)</f>
        <v>—</v>
      </c>
      <c r="H46" s="293"/>
      <c r="I46" s="46"/>
      <c r="J46" s="46"/>
      <c r="K46" s="46"/>
      <c r="L46" s="46"/>
      <c r="M46" s="46"/>
      <c r="N46" s="46"/>
      <c r="O46" s="46"/>
      <c r="P46" s="46"/>
      <c r="Q46" s="46"/>
      <c r="R46" s="46"/>
      <c r="S46" s="46"/>
      <c r="T46" s="46"/>
      <c r="U46" s="46"/>
      <c r="V46" s="46"/>
      <c r="W46" s="46"/>
      <c r="X46" s="46"/>
      <c r="Y46" s="46"/>
      <c r="Z46" s="46"/>
    </row>
    <row r="47" spans="1:26" x14ac:dyDescent="0.25">
      <c r="A47" s="293"/>
      <c r="B47" s="430" t="s">
        <v>436</v>
      </c>
      <c r="C47" s="431" t="str">
        <f>IF('Workload Planner'!C87&gt;0,"Enabled","— Disabled")</f>
        <v>— Disabled</v>
      </c>
      <c r="D47" s="431" t="str">
        <f>'Workload Planner'!C86</f>
        <v>Two-Way Mirror</v>
      </c>
      <c r="E47" s="432" t="str">
        <f>IF(C47="— Disabled","—",'Workload Planner'!C87)</f>
        <v>—</v>
      </c>
      <c r="F47" s="431" t="str">
        <f>'Workload Planner'!D86</f>
        <v>50% eff.</v>
      </c>
      <c r="G47" s="433" t="str">
        <f>IF(C47="— Disabled","—",'Workload Planner'!C88)</f>
        <v>—</v>
      </c>
      <c r="H47" s="293"/>
      <c r="I47" s="46"/>
      <c r="J47" s="46"/>
      <c r="K47" s="46"/>
      <c r="L47" s="46"/>
      <c r="M47" s="46"/>
      <c r="N47" s="46"/>
      <c r="O47" s="46"/>
      <c r="P47" s="46"/>
      <c r="Q47" s="46"/>
      <c r="R47" s="46"/>
      <c r="S47" s="46"/>
      <c r="T47" s="46"/>
      <c r="U47" s="46"/>
      <c r="V47" s="46"/>
      <c r="W47" s="46"/>
      <c r="X47" s="46"/>
      <c r="Y47" s="46"/>
      <c r="Z47" s="46"/>
    </row>
    <row r="48" spans="1:26" x14ac:dyDescent="0.25">
      <c r="A48" s="293"/>
      <c r="B48" s="434" t="s">
        <v>437</v>
      </c>
      <c r="C48" s="330" t="str">
        <f>IF('Workload Planner'!C102&gt;0,"Enabled","— Disabled")</f>
        <v>— Disabled</v>
      </c>
      <c r="D48" s="330" t="str">
        <f>'Workload Planner'!C101</f>
        <v>Dual Parity</v>
      </c>
      <c r="E48" s="435" t="str">
        <f>IF(C48="— Disabled","—",'Workload Planner'!C102)</f>
        <v>—</v>
      </c>
      <c r="F48" s="330" t="str">
        <f>'Workload Planner'!D101</f>
        <v>50% eff.</v>
      </c>
      <c r="G48" s="436" t="str">
        <f>IF(C48="— Disabled","—",'Workload Planner'!C103)</f>
        <v>—</v>
      </c>
      <c r="H48" s="293"/>
      <c r="I48" s="46"/>
      <c r="J48" s="46"/>
      <c r="K48" s="46"/>
      <c r="L48" s="46"/>
      <c r="M48" s="46"/>
      <c r="N48" s="46"/>
      <c r="O48" s="46"/>
      <c r="P48" s="46"/>
      <c r="Q48" s="46"/>
      <c r="R48" s="46"/>
      <c r="S48" s="46"/>
      <c r="T48" s="46"/>
      <c r="U48" s="46"/>
      <c r="V48" s="46"/>
      <c r="W48" s="46"/>
      <c r="X48" s="46"/>
      <c r="Y48" s="46"/>
      <c r="Z48" s="46"/>
    </row>
    <row r="49" spans="1:26" x14ac:dyDescent="0.25">
      <c r="A49" s="293"/>
      <c r="B49" s="437" t="s">
        <v>438</v>
      </c>
      <c r="C49" s="438" t="str">
        <f>IF('Workload Planner'!C109&gt;0,"Enabled","— Disabled")</f>
        <v>— Disabled</v>
      </c>
      <c r="D49" s="438" t="str">
        <f>'Workload Planner'!C108</f>
        <v>Three-Way Mirror</v>
      </c>
      <c r="E49" s="439" t="str">
        <f>IF(C49="— Disabled","—",'Workload Planner'!C109)</f>
        <v>—</v>
      </c>
      <c r="F49" s="438" t="str">
        <f>'Workload Planner'!D108</f>
        <v>33% eff.</v>
      </c>
      <c r="G49" s="440" t="str">
        <f>IF(C49="— Disabled","—",'Workload Planner'!C110)</f>
        <v>—</v>
      </c>
      <c r="H49" s="293"/>
      <c r="I49" s="46"/>
      <c r="J49" s="46"/>
      <c r="K49" s="46"/>
      <c r="L49" s="46"/>
      <c r="M49" s="46"/>
      <c r="N49" s="46"/>
      <c r="O49" s="46"/>
      <c r="P49" s="46"/>
      <c r="Q49" s="46"/>
      <c r="R49" s="46"/>
      <c r="S49" s="46"/>
      <c r="T49" s="46"/>
      <c r="U49" s="46"/>
      <c r="V49" s="46"/>
      <c r="W49" s="46"/>
      <c r="X49" s="46"/>
      <c r="Y49" s="46"/>
      <c r="Z49" s="46"/>
    </row>
    <row r="50" spans="1:26" ht="15.75" thickBot="1" x14ac:dyDescent="0.3">
      <c r="A50" s="293"/>
      <c r="B50" s="441" t="s">
        <v>899</v>
      </c>
      <c r="C50" s="367" t="str">
        <f>IF('SOFS Planner'!C6&gt;=1,"Enabled","— Disabled")</f>
        <v>Enabled</v>
      </c>
      <c r="D50" s="368" t="str">
        <f>'SOFS Planner'!C13</f>
        <v>Two-Way Mirror</v>
      </c>
      <c r="E50" s="368">
        <f>IF(C50="— Disabled","—",SUM('Volume Detail'!D13:'Volume Detail'!D16))</f>
        <v>24.75</v>
      </c>
      <c r="F50" s="368" t="str">
        <f>IF(C50="— Disabled","",IF('SOFS Planner'!C13="Two-Way Mirror","50% eff.",IF('SOFS Planner'!C13="Three-Way Mirror","33% eff.","varies")))</f>
        <v>50% eff.</v>
      </c>
      <c r="G50" s="368">
        <f>IF(C50="— Disabled","—",'Workload Planner'!C123)</f>
        <v>49.5</v>
      </c>
      <c r="H50" s="293"/>
      <c r="I50" s="46"/>
      <c r="J50" s="46"/>
      <c r="K50" s="46"/>
      <c r="L50" s="46"/>
      <c r="M50" s="46"/>
      <c r="N50" s="46"/>
      <c r="O50" s="46"/>
      <c r="P50" s="46"/>
      <c r="Q50" s="46"/>
      <c r="R50" s="46"/>
      <c r="S50" s="46"/>
      <c r="T50" s="46"/>
      <c r="U50" s="46"/>
      <c r="V50" s="46"/>
      <c r="W50" s="46"/>
      <c r="X50" s="46"/>
      <c r="Y50" s="46"/>
      <c r="Z50" s="46"/>
    </row>
    <row r="51" spans="1:26" x14ac:dyDescent="0.25">
      <c r="A51" s="293"/>
      <c r="B51" s="442" t="s">
        <v>275</v>
      </c>
      <c r="C51" s="442"/>
      <c r="D51" s="442"/>
      <c r="E51" s="443">
        <f>'Workload Planner'!C125</f>
        <v>38.53</v>
      </c>
      <c r="F51" s="442"/>
      <c r="G51" s="443">
        <f>'Workload Planner'!C124</f>
        <v>85.31</v>
      </c>
      <c r="H51" s="293"/>
      <c r="I51" s="46"/>
      <c r="J51" s="46"/>
      <c r="K51" s="46"/>
      <c r="L51" s="46"/>
      <c r="M51" s="46"/>
      <c r="N51" s="46"/>
      <c r="O51" s="46"/>
      <c r="P51" s="46"/>
      <c r="Q51" s="46"/>
      <c r="R51" s="46"/>
      <c r="S51" s="46"/>
      <c r="T51" s="46"/>
      <c r="U51" s="46"/>
      <c r="V51" s="46"/>
      <c r="W51" s="46"/>
      <c r="X51" s="46"/>
      <c r="Y51" s="46"/>
      <c r="Z51" s="46"/>
    </row>
    <row r="52" spans="1:26" x14ac:dyDescent="0.25">
      <c r="A52" s="293"/>
      <c r="B52" s="444" t="s">
        <v>461</v>
      </c>
      <c r="C52" s="401"/>
      <c r="D52" s="401"/>
      <c r="E52" s="401"/>
      <c r="F52" s="401"/>
      <c r="G52" s="401"/>
      <c r="H52" s="401"/>
      <c r="I52" s="46"/>
      <c r="J52" s="46"/>
      <c r="K52" s="46"/>
      <c r="L52" s="46"/>
      <c r="M52" s="46"/>
      <c r="N52" s="46"/>
      <c r="O52" s="46"/>
      <c r="P52" s="46"/>
      <c r="Q52" s="46"/>
      <c r="R52" s="46"/>
      <c r="S52" s="46"/>
      <c r="T52" s="46"/>
      <c r="U52" s="46"/>
      <c r="V52" s="46"/>
      <c r="W52" s="46"/>
      <c r="X52" s="46"/>
      <c r="Y52" s="46"/>
      <c r="Z52" s="46"/>
    </row>
    <row r="53" spans="1:26" x14ac:dyDescent="0.25">
      <c r="A53" s="293"/>
      <c r="B53" s="445" t="s">
        <v>403</v>
      </c>
      <c r="C53" s="261"/>
      <c r="D53" s="261"/>
      <c r="E53" s="446" t="str">
        <f>IF('Workload Planner'!C8="No","(Disabled)","")</f>
        <v/>
      </c>
      <c r="F53" s="261"/>
      <c r="G53" s="42"/>
      <c r="H53" s="293"/>
      <c r="I53" s="46"/>
      <c r="J53" s="46"/>
      <c r="K53" s="46"/>
      <c r="L53" s="46"/>
      <c r="M53" s="46"/>
      <c r="N53" s="46"/>
      <c r="O53" s="46"/>
      <c r="P53" s="46"/>
      <c r="Q53" s="46"/>
      <c r="R53" s="46"/>
      <c r="S53" s="46"/>
      <c r="T53" s="46"/>
      <c r="U53" s="46"/>
      <c r="V53" s="46"/>
      <c r="W53" s="46"/>
      <c r="X53" s="46"/>
      <c r="Y53" s="46"/>
      <c r="Z53" s="46"/>
    </row>
    <row r="54" spans="1:26" x14ac:dyDescent="0.25">
      <c r="A54" s="293"/>
      <c r="B54" s="447" t="s">
        <v>462</v>
      </c>
      <c r="C54" s="448">
        <f>'Workload Planner'!C10</f>
        <v>32</v>
      </c>
      <c r="D54" s="447" t="s">
        <v>125</v>
      </c>
      <c r="E54" s="42"/>
      <c r="F54" s="261"/>
      <c r="G54" s="42"/>
      <c r="H54" s="293"/>
      <c r="I54" s="46"/>
      <c r="J54" s="46"/>
      <c r="K54" s="46"/>
      <c r="L54" s="46"/>
      <c r="M54" s="46"/>
      <c r="N54" s="46"/>
      <c r="O54" s="46"/>
      <c r="P54" s="46"/>
      <c r="Q54" s="46"/>
      <c r="R54" s="46"/>
      <c r="S54" s="46"/>
      <c r="T54" s="46"/>
      <c r="U54" s="46"/>
      <c r="V54" s="46"/>
      <c r="W54" s="46"/>
      <c r="X54" s="46"/>
      <c r="Y54" s="46"/>
      <c r="Z54" s="46"/>
    </row>
    <row r="55" spans="1:26" x14ac:dyDescent="0.25">
      <c r="A55" s="293"/>
      <c r="B55" s="449" t="s">
        <v>463</v>
      </c>
      <c r="C55" s="450">
        <f>'Workload Planner'!C11</f>
        <v>127</v>
      </c>
      <c r="D55" s="449" t="s">
        <v>126</v>
      </c>
      <c r="E55" s="42"/>
      <c r="F55" s="261"/>
      <c r="G55" s="42"/>
      <c r="H55" s="293"/>
      <c r="I55" s="46"/>
      <c r="J55" s="46"/>
      <c r="K55" s="46"/>
      <c r="L55" s="46"/>
      <c r="M55" s="46"/>
      <c r="N55" s="46"/>
      <c r="O55" s="46"/>
      <c r="P55" s="46"/>
      <c r="Q55" s="46"/>
      <c r="R55" s="46"/>
      <c r="S55" s="46"/>
      <c r="T55" s="46"/>
      <c r="U55" s="46"/>
      <c r="V55" s="46"/>
      <c r="W55" s="46"/>
      <c r="X55" s="46"/>
      <c r="Y55" s="46"/>
      <c r="Z55" s="46"/>
    </row>
    <row r="56" spans="1:26" x14ac:dyDescent="0.25">
      <c r="A56" s="293"/>
      <c r="B56" s="449" t="s">
        <v>464</v>
      </c>
      <c r="C56" s="450">
        <f>'Workload Planner'!C12</f>
        <v>50</v>
      </c>
      <c r="D56" s="449" t="s">
        <v>126</v>
      </c>
      <c r="E56" s="42"/>
      <c r="F56" s="261"/>
      <c r="G56" s="42"/>
      <c r="H56" s="293"/>
      <c r="I56" s="46"/>
      <c r="J56" s="46"/>
      <c r="K56" s="46"/>
      <c r="L56" s="46"/>
      <c r="M56" s="46"/>
      <c r="N56" s="46"/>
      <c r="O56" s="46"/>
      <c r="P56" s="46"/>
      <c r="Q56" s="46"/>
      <c r="R56" s="46"/>
      <c r="S56" s="46"/>
      <c r="T56" s="46"/>
      <c r="U56" s="46"/>
      <c r="V56" s="46"/>
      <c r="W56" s="46"/>
      <c r="X56" s="46"/>
      <c r="Y56" s="46"/>
      <c r="Z56" s="46"/>
    </row>
    <row r="57" spans="1:26" x14ac:dyDescent="0.25">
      <c r="A57" s="293"/>
      <c r="B57" s="451" t="s">
        <v>465</v>
      </c>
      <c r="C57" s="452" t="str">
        <f>'Workload Planner'!C13</f>
        <v>Two-Way Mirror</v>
      </c>
      <c r="D57" s="451"/>
      <c r="E57" s="42"/>
      <c r="F57" s="261"/>
      <c r="G57" s="42"/>
      <c r="H57" s="293"/>
      <c r="I57" s="46"/>
      <c r="J57" s="46"/>
      <c r="K57" s="46"/>
      <c r="L57" s="46"/>
      <c r="M57" s="46"/>
      <c r="N57" s="46"/>
      <c r="O57" s="46"/>
      <c r="P57" s="46"/>
      <c r="Q57" s="46"/>
      <c r="R57" s="46"/>
      <c r="S57" s="46"/>
      <c r="T57" s="46"/>
      <c r="U57" s="46"/>
      <c r="V57" s="46"/>
      <c r="W57" s="46"/>
      <c r="X57" s="46"/>
      <c r="Y57" s="46"/>
      <c r="Z57" s="46"/>
    </row>
    <row r="58" spans="1:26" x14ac:dyDescent="0.25">
      <c r="A58" s="293"/>
      <c r="B58" s="445" t="s">
        <v>404</v>
      </c>
      <c r="C58" s="261"/>
      <c r="D58" s="261"/>
      <c r="E58" s="446" t="str">
        <f>IF('Workload Planner'!C8="No","(Disabled)","")</f>
        <v/>
      </c>
      <c r="F58" s="261"/>
      <c r="G58" s="42"/>
      <c r="H58" s="293"/>
      <c r="I58" s="46"/>
      <c r="J58" s="46"/>
      <c r="K58" s="46"/>
      <c r="L58" s="46"/>
      <c r="M58" s="46"/>
      <c r="N58" s="46"/>
      <c r="O58" s="46"/>
      <c r="P58" s="46"/>
      <c r="Q58" s="46"/>
      <c r="R58" s="46"/>
      <c r="S58" s="46"/>
      <c r="T58" s="46"/>
      <c r="U58" s="46"/>
      <c r="V58" s="46"/>
      <c r="W58" s="46"/>
      <c r="X58" s="46"/>
      <c r="Y58" s="46"/>
      <c r="Z58" s="46"/>
    </row>
    <row r="59" spans="1:26" x14ac:dyDescent="0.25">
      <c r="A59" s="293"/>
      <c r="B59" s="447" t="s">
        <v>466</v>
      </c>
      <c r="C59" s="448">
        <f>'Workload Planner'!C18</f>
        <v>1300</v>
      </c>
      <c r="D59" s="447" t="s">
        <v>128</v>
      </c>
      <c r="E59" s="42"/>
      <c r="F59" s="261"/>
      <c r="G59" s="42"/>
      <c r="H59" s="293"/>
      <c r="I59" s="46"/>
      <c r="J59" s="46"/>
      <c r="K59" s="46"/>
      <c r="L59" s="46"/>
      <c r="M59" s="46"/>
      <c r="N59" s="46"/>
      <c r="O59" s="46"/>
      <c r="P59" s="46"/>
      <c r="Q59" s="46"/>
      <c r="R59" s="46"/>
      <c r="S59" s="46"/>
      <c r="T59" s="46"/>
      <c r="U59" s="46"/>
      <c r="V59" s="46"/>
      <c r="W59" s="46"/>
      <c r="X59" s="46"/>
      <c r="Y59" s="46"/>
      <c r="Z59" s="46"/>
    </row>
    <row r="60" spans="1:26" x14ac:dyDescent="0.25">
      <c r="A60" s="293"/>
      <c r="B60" s="449" t="s">
        <v>467</v>
      </c>
      <c r="C60" s="450">
        <f>'Workload Planner'!C20</f>
        <v>5</v>
      </c>
      <c r="D60" s="449" t="s">
        <v>126</v>
      </c>
      <c r="E60" s="42"/>
      <c r="F60" s="261"/>
      <c r="G60" s="42"/>
      <c r="H60" s="293"/>
      <c r="I60" s="46"/>
      <c r="J60" s="46"/>
      <c r="K60" s="46"/>
      <c r="L60" s="46"/>
      <c r="M60" s="46"/>
      <c r="N60" s="46"/>
      <c r="O60" s="46"/>
      <c r="P60" s="46"/>
      <c r="Q60" s="46"/>
      <c r="R60" s="46"/>
      <c r="S60" s="46"/>
      <c r="T60" s="46"/>
      <c r="U60" s="46"/>
      <c r="V60" s="46"/>
      <c r="W60" s="46"/>
      <c r="X60" s="46"/>
      <c r="Y60" s="46"/>
      <c r="Z60" s="46"/>
    </row>
    <row r="61" spans="1:26" x14ac:dyDescent="0.25">
      <c r="A61" s="293"/>
      <c r="B61" s="449" t="s">
        <v>468</v>
      </c>
      <c r="C61" s="453">
        <f>'Workload Planner'!C21</f>
        <v>0.3</v>
      </c>
      <c r="D61" s="449"/>
      <c r="E61" s="42"/>
      <c r="F61" s="261"/>
      <c r="G61" s="42"/>
      <c r="H61" s="293"/>
      <c r="I61" s="46"/>
      <c r="J61" s="46"/>
      <c r="K61" s="46"/>
      <c r="L61" s="46"/>
      <c r="M61" s="46"/>
      <c r="N61" s="46"/>
      <c r="O61" s="46"/>
      <c r="P61" s="46"/>
      <c r="Q61" s="46"/>
      <c r="R61" s="46"/>
      <c r="S61" s="46"/>
      <c r="T61" s="46"/>
      <c r="U61" s="46"/>
      <c r="V61" s="46"/>
      <c r="W61" s="46"/>
      <c r="X61" s="46"/>
      <c r="Y61" s="46"/>
      <c r="Z61" s="46"/>
    </row>
    <row r="62" spans="1:26" x14ac:dyDescent="0.25">
      <c r="A62" s="293"/>
      <c r="B62" s="451" t="s">
        <v>465</v>
      </c>
      <c r="C62" s="452" t="str">
        <f>'Workload Planner'!C22</f>
        <v>Three-Way Mirror</v>
      </c>
      <c r="D62" s="451"/>
      <c r="E62" s="42"/>
      <c r="F62" s="261"/>
      <c r="G62" s="42"/>
      <c r="H62" s="293"/>
      <c r="I62" s="46"/>
      <c r="J62" s="46"/>
      <c r="K62" s="46"/>
      <c r="L62" s="46"/>
      <c r="M62" s="46"/>
      <c r="N62" s="46"/>
      <c r="O62" s="46"/>
      <c r="P62" s="46"/>
      <c r="Q62" s="46"/>
      <c r="R62" s="46"/>
      <c r="S62" s="46"/>
      <c r="T62" s="46"/>
      <c r="U62" s="46"/>
      <c r="V62" s="46"/>
      <c r="W62" s="46"/>
      <c r="X62" s="46"/>
      <c r="Y62" s="46"/>
      <c r="Z62" s="46"/>
    </row>
    <row r="63" spans="1:26" x14ac:dyDescent="0.25">
      <c r="A63" s="293"/>
      <c r="B63" s="261"/>
      <c r="C63" s="261"/>
      <c r="D63" s="261"/>
      <c r="E63" s="42"/>
      <c r="F63" s="261"/>
      <c r="G63" s="42"/>
      <c r="H63" s="293"/>
      <c r="I63" s="46"/>
      <c r="J63" s="46"/>
      <c r="K63" s="46"/>
      <c r="L63" s="46"/>
      <c r="M63" s="46"/>
      <c r="N63" s="46"/>
      <c r="O63" s="46"/>
      <c r="P63" s="46"/>
      <c r="Q63" s="46"/>
      <c r="R63" s="46"/>
      <c r="S63" s="46"/>
      <c r="T63" s="46"/>
      <c r="U63" s="46"/>
      <c r="V63" s="46"/>
      <c r="W63" s="46"/>
      <c r="X63" s="46"/>
      <c r="Y63" s="46"/>
      <c r="Z63" s="46"/>
    </row>
    <row r="64" spans="1:26" x14ac:dyDescent="0.25">
      <c r="A64" s="293"/>
      <c r="B64" s="293"/>
      <c r="C64" s="293"/>
      <c r="D64" s="293"/>
      <c r="E64" s="293"/>
      <c r="F64" s="293"/>
      <c r="G64" s="293"/>
      <c r="H64" s="293"/>
      <c r="I64" s="46"/>
      <c r="J64" s="46"/>
      <c r="K64" s="46"/>
      <c r="L64" s="46"/>
      <c r="M64" s="46"/>
      <c r="N64" s="46"/>
      <c r="O64" s="46"/>
      <c r="P64" s="46"/>
      <c r="Q64" s="46"/>
      <c r="R64" s="46"/>
      <c r="S64" s="46"/>
      <c r="T64" s="46"/>
      <c r="U64" s="46"/>
      <c r="V64" s="46"/>
      <c r="W64" s="46"/>
      <c r="X64" s="46"/>
      <c r="Y64" s="46"/>
      <c r="Z64" s="46"/>
    </row>
    <row r="65" spans="1:26" x14ac:dyDescent="0.25">
      <c r="A65" s="293"/>
      <c r="B65" s="402" t="s">
        <v>439</v>
      </c>
      <c r="C65" s="403"/>
      <c r="D65" s="403"/>
      <c r="E65" s="403"/>
      <c r="F65" s="403"/>
      <c r="G65" s="403"/>
      <c r="H65" s="403"/>
      <c r="I65" s="46"/>
      <c r="J65" s="46"/>
      <c r="K65" s="46"/>
      <c r="L65" s="46"/>
      <c r="M65" s="46"/>
      <c r="N65" s="46"/>
      <c r="O65" s="46"/>
      <c r="P65" s="46"/>
      <c r="Q65" s="46"/>
      <c r="R65" s="46"/>
      <c r="S65" s="46"/>
      <c r="T65" s="46"/>
      <c r="U65" s="46"/>
      <c r="V65" s="46"/>
      <c r="W65" s="46"/>
      <c r="X65" s="46"/>
      <c r="Y65" s="46"/>
      <c r="Z65" s="46"/>
    </row>
    <row r="66" spans="1:26" x14ac:dyDescent="0.25">
      <c r="A66" s="293"/>
      <c r="B66" s="427" t="s">
        <v>407</v>
      </c>
      <c r="C66" s="428" t="s">
        <v>272</v>
      </c>
      <c r="D66" s="428" t="s">
        <v>440</v>
      </c>
      <c r="E66" s="428" t="s">
        <v>441</v>
      </c>
      <c r="F66" s="428" t="s">
        <v>442</v>
      </c>
      <c r="G66" s="428" t="s">
        <v>273</v>
      </c>
      <c r="H66" s="429" t="s">
        <v>402</v>
      </c>
      <c r="I66" s="46"/>
      <c r="J66" s="46"/>
      <c r="K66" s="46"/>
      <c r="L66" s="46"/>
      <c r="M66" s="46"/>
      <c r="N66" s="46"/>
      <c r="O66" s="46"/>
      <c r="P66" s="46"/>
      <c r="Q66" s="46"/>
      <c r="R66" s="46"/>
      <c r="S66" s="46"/>
      <c r="T66" s="46"/>
      <c r="U66" s="46"/>
      <c r="V66" s="46"/>
      <c r="W66" s="46"/>
      <c r="X66" s="46"/>
      <c r="Y66" s="46"/>
      <c r="Z66" s="46"/>
    </row>
    <row r="67" spans="1:26" x14ac:dyDescent="0.25">
      <c r="A67" s="293"/>
      <c r="B67" s="454" t="s">
        <v>411</v>
      </c>
      <c r="C67" s="431" t="str">
        <f>'Volume Detail'!C6</f>
        <v>Two-Way Mirror</v>
      </c>
      <c r="D67" s="432">
        <f>'Volume Detail'!D6</f>
        <v>5.53</v>
      </c>
      <c r="E67" s="432">
        <f>'Volume Detail'!E6</f>
        <v>5.15</v>
      </c>
      <c r="F67" s="432">
        <f>'Volume Detail'!F6</f>
        <v>11.06</v>
      </c>
      <c r="G67" s="431" t="str">
        <f>'Volume Detail'!G6</f>
        <v>2x</v>
      </c>
      <c r="H67" s="455" t="str">
        <f>'Volume Detail'!I6</f>
        <v>PASS</v>
      </c>
      <c r="I67" s="46"/>
      <c r="J67" s="46"/>
      <c r="K67" s="46"/>
      <c r="L67" s="46"/>
      <c r="M67" s="46"/>
      <c r="N67" s="46"/>
      <c r="O67" s="46"/>
      <c r="P67" s="46"/>
      <c r="Q67" s="46"/>
      <c r="R67" s="46"/>
      <c r="S67" s="46"/>
      <c r="T67" s="46"/>
      <c r="U67" s="46"/>
      <c r="V67" s="46"/>
      <c r="W67" s="46"/>
      <c r="X67" s="46"/>
      <c r="Y67" s="46"/>
      <c r="Z67" s="46"/>
    </row>
    <row r="68" spans="1:26" x14ac:dyDescent="0.25">
      <c r="A68" s="293"/>
      <c r="B68" s="456" t="s">
        <v>412</v>
      </c>
      <c r="C68" s="330" t="str">
        <f>'Volume Detail'!C7</f>
        <v>Three-Way Mirror</v>
      </c>
      <c r="D68" s="435">
        <f>'Volume Detail'!D7</f>
        <v>8.25</v>
      </c>
      <c r="E68" s="435">
        <f>'Volume Detail'!E7</f>
        <v>7.68</v>
      </c>
      <c r="F68" s="435">
        <f>'Volume Detail'!F7</f>
        <v>24.75</v>
      </c>
      <c r="G68" s="330" t="str">
        <f>'Volume Detail'!G7</f>
        <v>3x</v>
      </c>
      <c r="H68" s="457" t="str">
        <f>'Volume Detail'!I7</f>
        <v>PASS</v>
      </c>
      <c r="I68" s="46"/>
      <c r="J68" s="46"/>
      <c r="K68" s="46"/>
      <c r="L68" s="46"/>
      <c r="M68" s="46"/>
      <c r="N68" s="46"/>
      <c r="O68" s="46"/>
      <c r="P68" s="46"/>
      <c r="Q68" s="46"/>
      <c r="R68" s="46"/>
      <c r="S68" s="46"/>
      <c r="T68" s="46"/>
      <c r="U68" s="46"/>
      <c r="V68" s="46"/>
      <c r="W68" s="46"/>
      <c r="X68" s="46"/>
      <c r="Y68" s="46"/>
      <c r="Z68" s="46"/>
    </row>
    <row r="69" spans="1:26" x14ac:dyDescent="0.25">
      <c r="A69" s="293"/>
      <c r="B69" s="454" t="s">
        <v>413</v>
      </c>
      <c r="C69" s="431" t="str">
        <f>'Volume Detail'!C8</f>
        <v>Three-Way Mirror</v>
      </c>
      <c r="D69" s="432">
        <f>'Volume Detail'!D8</f>
        <v>0</v>
      </c>
      <c r="E69" s="432">
        <f>'Volume Detail'!E8</f>
        <v>0</v>
      </c>
      <c r="F69" s="432">
        <f>'Volume Detail'!F8</f>
        <v>0</v>
      </c>
      <c r="G69" s="431" t="str">
        <f>'Volume Detail'!G8</f>
        <v>3x</v>
      </c>
      <c r="H69" s="455" t="str">
        <f>'Volume Detail'!I8</f>
        <v>— Disabled</v>
      </c>
      <c r="I69" s="46"/>
      <c r="J69" s="46"/>
      <c r="K69" s="46"/>
      <c r="L69" s="46"/>
      <c r="M69" s="46"/>
      <c r="N69" s="46"/>
      <c r="O69" s="46"/>
      <c r="P69" s="46"/>
      <c r="Q69" s="46"/>
      <c r="R69" s="46"/>
      <c r="S69" s="46"/>
      <c r="T69" s="46"/>
      <c r="U69" s="46"/>
      <c r="V69" s="46"/>
      <c r="W69" s="46"/>
      <c r="X69" s="46"/>
      <c r="Y69" s="46"/>
      <c r="Z69" s="46"/>
    </row>
    <row r="70" spans="1:26" x14ac:dyDescent="0.25">
      <c r="A70" s="293"/>
      <c r="B70" s="456" t="s">
        <v>414</v>
      </c>
      <c r="C70" s="330" t="str">
        <f>'Volume Detail'!C9</f>
        <v>Three-Way Mirror</v>
      </c>
      <c r="D70" s="435">
        <f>'Volume Detail'!D9</f>
        <v>0</v>
      </c>
      <c r="E70" s="435">
        <f>'Volume Detail'!E9</f>
        <v>0</v>
      </c>
      <c r="F70" s="435">
        <f>'Volume Detail'!F9</f>
        <v>0</v>
      </c>
      <c r="G70" s="330" t="str">
        <f>'Volume Detail'!G9</f>
        <v>3x</v>
      </c>
      <c r="H70" s="457" t="str">
        <f>'Volume Detail'!I9</f>
        <v>— Disabled</v>
      </c>
      <c r="I70" s="46"/>
      <c r="J70" s="46"/>
      <c r="K70" s="46"/>
      <c r="L70" s="46"/>
      <c r="M70" s="46"/>
      <c r="N70" s="46"/>
      <c r="O70" s="46"/>
      <c r="P70" s="46"/>
      <c r="Q70" s="46"/>
      <c r="R70" s="46"/>
      <c r="S70" s="46"/>
      <c r="T70" s="46"/>
      <c r="U70" s="46"/>
      <c r="V70" s="46"/>
      <c r="W70" s="46"/>
      <c r="X70" s="46"/>
      <c r="Y70" s="46"/>
      <c r="Z70" s="46"/>
    </row>
    <row r="71" spans="1:26" x14ac:dyDescent="0.25">
      <c r="A71" s="293"/>
      <c r="B71" s="454" t="s">
        <v>415</v>
      </c>
      <c r="C71" s="431" t="str">
        <f>'Volume Detail'!C10</f>
        <v>Two-Way Mirror</v>
      </c>
      <c r="D71" s="432">
        <f>'Volume Detail'!D10</f>
        <v>0</v>
      </c>
      <c r="E71" s="432">
        <f>'Volume Detail'!E10</f>
        <v>0</v>
      </c>
      <c r="F71" s="432">
        <f>'Volume Detail'!F10</f>
        <v>0</v>
      </c>
      <c r="G71" s="431" t="str">
        <f>'Volume Detail'!G10</f>
        <v>2x</v>
      </c>
      <c r="H71" s="455" t="str">
        <f>'Volume Detail'!I10</f>
        <v>— Disabled</v>
      </c>
      <c r="I71" s="46"/>
      <c r="J71" s="46"/>
      <c r="K71" s="46"/>
      <c r="L71" s="46"/>
      <c r="M71" s="46"/>
      <c r="N71" s="46"/>
      <c r="O71" s="46"/>
      <c r="P71" s="46"/>
      <c r="Q71" s="46"/>
      <c r="R71" s="46"/>
      <c r="S71" s="46"/>
      <c r="T71" s="46"/>
      <c r="U71" s="46"/>
      <c r="V71" s="46"/>
      <c r="W71" s="46"/>
      <c r="X71" s="46"/>
      <c r="Y71" s="46"/>
      <c r="Z71" s="46"/>
    </row>
    <row r="72" spans="1:26" x14ac:dyDescent="0.25">
      <c r="A72" s="293"/>
      <c r="B72" s="456" t="s">
        <v>416</v>
      </c>
      <c r="C72" s="330" t="str">
        <f>'Volume Detail'!C11</f>
        <v>Dual Parity</v>
      </c>
      <c r="D72" s="435">
        <f>'Volume Detail'!D11</f>
        <v>0</v>
      </c>
      <c r="E72" s="435">
        <f>'Volume Detail'!E11</f>
        <v>0</v>
      </c>
      <c r="F72" s="435">
        <f>'Volume Detail'!F11</f>
        <v>0</v>
      </c>
      <c r="G72" s="330" t="str">
        <f>'Volume Detail'!G11</f>
        <v>parity</v>
      </c>
      <c r="H72" s="457" t="str">
        <f>'Volume Detail'!I11</f>
        <v>— Disabled</v>
      </c>
      <c r="I72" s="46"/>
      <c r="J72" s="46"/>
      <c r="K72" s="46"/>
      <c r="L72" s="46"/>
      <c r="M72" s="46"/>
      <c r="N72" s="46"/>
      <c r="O72" s="46"/>
      <c r="P72" s="46"/>
      <c r="Q72" s="46"/>
      <c r="R72" s="46"/>
      <c r="S72" s="46"/>
      <c r="T72" s="46"/>
      <c r="U72" s="46"/>
      <c r="V72" s="46"/>
      <c r="W72" s="46"/>
      <c r="X72" s="46"/>
      <c r="Y72" s="46"/>
      <c r="Z72" s="46"/>
    </row>
    <row r="73" spans="1:26" x14ac:dyDescent="0.25">
      <c r="A73" s="293"/>
      <c r="B73" s="458" t="s">
        <v>274</v>
      </c>
      <c r="C73" s="438" t="str">
        <f>'Volume Detail'!C12</f>
        <v>Three-Way Mirror</v>
      </c>
      <c r="D73" s="439">
        <f>'Volume Detail'!D12</f>
        <v>0</v>
      </c>
      <c r="E73" s="439">
        <f>'Volume Detail'!E12</f>
        <v>0</v>
      </c>
      <c r="F73" s="439">
        <f>'Volume Detail'!F12</f>
        <v>0</v>
      </c>
      <c r="G73" s="438" t="str">
        <f>'Volume Detail'!G12</f>
        <v>3x</v>
      </c>
      <c r="H73" s="459" t="str">
        <f>'Volume Detail'!I12</f>
        <v>— Disabled</v>
      </c>
      <c r="I73" s="46"/>
      <c r="J73" s="46"/>
      <c r="K73" s="46"/>
      <c r="L73" s="46"/>
      <c r="M73" s="46"/>
      <c r="N73" s="46"/>
      <c r="O73" s="46"/>
      <c r="P73" s="46"/>
      <c r="Q73" s="46"/>
      <c r="R73" s="46"/>
      <c r="S73" s="46"/>
      <c r="T73" s="46"/>
      <c r="U73" s="46"/>
      <c r="V73" s="46"/>
      <c r="W73" s="46"/>
      <c r="X73" s="46"/>
      <c r="Y73" s="46"/>
      <c r="Z73" s="46"/>
    </row>
    <row r="74" spans="1:26" x14ac:dyDescent="0.25">
      <c r="A74" s="293"/>
      <c r="B74" s="441" t="s">
        <v>849</v>
      </c>
      <c r="C74" s="368" t="str">
        <f>'Volume Detail'!C13</f>
        <v>Two-Way Mirror</v>
      </c>
      <c r="D74" s="460">
        <f>'Volume Detail'!D13</f>
        <v>8.25</v>
      </c>
      <c r="E74" s="460">
        <f>'Volume Detail'!E13</f>
        <v>7.68</v>
      </c>
      <c r="F74" s="460">
        <f>'Volume Detail'!F13</f>
        <v>16.5</v>
      </c>
      <c r="G74" s="368" t="str">
        <f>'Volume Detail'!G13</f>
        <v>2x</v>
      </c>
      <c r="H74" s="461" t="str">
        <f>'Volume Detail'!I13</f>
        <v>PASS</v>
      </c>
      <c r="I74" s="46"/>
      <c r="J74" s="46"/>
      <c r="K74" s="46"/>
      <c r="L74" s="46"/>
      <c r="M74" s="46"/>
      <c r="N74" s="46"/>
      <c r="O74" s="46"/>
      <c r="P74" s="46"/>
      <c r="Q74" s="46"/>
      <c r="R74" s="46"/>
      <c r="S74" s="46"/>
      <c r="T74" s="46"/>
      <c r="U74" s="46"/>
      <c r="V74" s="46"/>
      <c r="W74" s="46"/>
      <c r="X74" s="46"/>
      <c r="Y74" s="46"/>
      <c r="Z74" s="46"/>
    </row>
    <row r="75" spans="1:26" x14ac:dyDescent="0.25">
      <c r="A75" s="293"/>
      <c r="B75" s="462" t="str">
        <f>IF('Volume Detail'!B14&lt;&gt;"","SOFS-Node2-Vol","")</f>
        <v>SOFS-Node2-Vol</v>
      </c>
      <c r="C75" s="463" t="str">
        <f>IF(B75&lt;&gt;"",'Volume Detail'!C14,"")</f>
        <v>Two-Way Mirror</v>
      </c>
      <c r="D75" s="464">
        <f>IF(B75&lt;&gt;"",'Volume Detail'!D14,"")</f>
        <v>8.25</v>
      </c>
      <c r="E75" s="464">
        <f>IF(B75&lt;&gt;"",'Volume Detail'!E14,"")</f>
        <v>7.68</v>
      </c>
      <c r="F75" s="464">
        <f>IF(B75&lt;&gt;"",'Volume Detail'!F14,"")</f>
        <v>16.5</v>
      </c>
      <c r="G75" s="463" t="str">
        <f>IF(B75&lt;&gt;"",'Volume Detail'!G14,"")</f>
        <v>2x</v>
      </c>
      <c r="H75" s="463" t="str">
        <f>IF(B75&lt;&gt;"",'Volume Detail'!I14,"")</f>
        <v>PASS</v>
      </c>
      <c r="I75" s="46"/>
      <c r="J75" s="46"/>
      <c r="K75" s="46"/>
      <c r="L75" s="46"/>
      <c r="M75" s="46"/>
      <c r="N75" s="46"/>
      <c r="O75" s="46"/>
      <c r="P75" s="46"/>
      <c r="Q75" s="46"/>
      <c r="R75" s="46"/>
      <c r="S75" s="46"/>
      <c r="T75" s="46"/>
      <c r="U75" s="46"/>
      <c r="V75" s="46"/>
      <c r="W75" s="46"/>
      <c r="X75" s="46"/>
      <c r="Y75" s="46"/>
      <c r="Z75" s="46"/>
    </row>
    <row r="76" spans="1:26" x14ac:dyDescent="0.25">
      <c r="A76" s="293"/>
      <c r="B76" s="366" t="str">
        <f>IF('Volume Detail'!B15&lt;&gt;"","SOFS-Node3-Vol","")</f>
        <v>SOFS-Node3-Vol</v>
      </c>
      <c r="C76" s="368" t="str">
        <f>IF(B76&lt;&gt;"",'Volume Detail'!C15,"")</f>
        <v>Two-Way Mirror</v>
      </c>
      <c r="D76" s="460">
        <f>IF(B76&lt;&gt;"",'Volume Detail'!D15,"")</f>
        <v>8.25</v>
      </c>
      <c r="E76" s="460">
        <f>IF(B76&lt;&gt;"",'Volume Detail'!E15,"")</f>
        <v>7.68</v>
      </c>
      <c r="F76" s="460">
        <f>IF(B76&lt;&gt;"",'Volume Detail'!F15,"")</f>
        <v>16.5</v>
      </c>
      <c r="G76" s="368" t="str">
        <f>IF(B76&lt;&gt;"",'Volume Detail'!G15,"")</f>
        <v>2x</v>
      </c>
      <c r="H76" s="368" t="str">
        <f>IF(B76&lt;&gt;"",'Volume Detail'!I15,"")</f>
        <v>PASS</v>
      </c>
      <c r="I76" s="46"/>
      <c r="J76" s="46"/>
      <c r="K76" s="46"/>
      <c r="L76" s="46"/>
      <c r="M76" s="46"/>
      <c r="N76" s="46"/>
      <c r="O76" s="46"/>
      <c r="P76" s="46"/>
      <c r="Q76" s="46"/>
      <c r="R76" s="46"/>
      <c r="S76" s="46"/>
      <c r="T76" s="46"/>
      <c r="U76" s="46"/>
      <c r="V76" s="46"/>
      <c r="W76" s="46"/>
      <c r="X76" s="46"/>
      <c r="Y76" s="46"/>
      <c r="Z76" s="46"/>
    </row>
    <row r="77" spans="1:26" ht="15.75" thickBot="1" x14ac:dyDescent="0.3">
      <c r="A77" s="293"/>
      <c r="B77" s="462" t="str">
        <f>IF('Volume Detail'!B16&lt;&gt;"","SOFS-Node4-Vol","")</f>
        <v/>
      </c>
      <c r="C77" s="463" t="str">
        <f>IF(B77&lt;&gt;"",'Volume Detail'!C16,"")</f>
        <v/>
      </c>
      <c r="D77" s="464" t="str">
        <f>IF(B77&lt;&gt;"",'Volume Detail'!D16,"")</f>
        <v/>
      </c>
      <c r="E77" s="464" t="str">
        <f>IF(B77&lt;&gt;"",'Volume Detail'!E16,"")</f>
        <v/>
      </c>
      <c r="F77" s="464" t="str">
        <f>IF(B77&lt;&gt;"",'Volume Detail'!F16,"")</f>
        <v/>
      </c>
      <c r="G77" s="463" t="str">
        <f>IF(B77&lt;&gt;"",'Volume Detail'!G16,"")</f>
        <v/>
      </c>
      <c r="H77" s="463" t="str">
        <f>IF(B77&lt;&gt;"",'Volume Detail'!I16,"")</f>
        <v/>
      </c>
      <c r="I77" s="46"/>
      <c r="J77" s="46"/>
      <c r="K77" s="46"/>
      <c r="L77" s="46"/>
      <c r="M77" s="46"/>
      <c r="N77" s="46"/>
      <c r="O77" s="46"/>
      <c r="P77" s="46"/>
      <c r="Q77" s="46"/>
      <c r="R77" s="46"/>
      <c r="S77" s="46"/>
      <c r="T77" s="46"/>
      <c r="U77" s="46"/>
      <c r="V77" s="46"/>
      <c r="W77" s="46"/>
      <c r="X77" s="46"/>
      <c r="Y77" s="46"/>
      <c r="Z77" s="46"/>
    </row>
    <row r="78" spans="1:26" x14ac:dyDescent="0.25">
      <c r="A78" s="293"/>
      <c r="B78" s="442" t="s">
        <v>275</v>
      </c>
      <c r="C78" s="442"/>
      <c r="D78" s="443">
        <f>'Volume Detail'!D23</f>
        <v>38.53</v>
      </c>
      <c r="E78" s="443">
        <f>'Volume Detail'!E23</f>
        <v>35.869999999999997</v>
      </c>
      <c r="F78" s="443">
        <f>'Volume Detail'!F23</f>
        <v>85.31</v>
      </c>
      <c r="G78" s="442"/>
      <c r="H78" s="465" t="str">
        <f>'Volume Detail'!I23</f>
        <v>5 of 5 PASS</v>
      </c>
      <c r="I78" s="46"/>
      <c r="J78" s="46"/>
      <c r="K78" s="46"/>
      <c r="L78" s="46"/>
      <c r="M78" s="46"/>
      <c r="N78" s="46"/>
      <c r="O78" s="46"/>
      <c r="P78" s="46"/>
      <c r="Q78" s="46"/>
      <c r="R78" s="46"/>
      <c r="S78" s="46"/>
      <c r="T78" s="46"/>
      <c r="U78" s="46"/>
      <c r="V78" s="46"/>
      <c r="W78" s="46"/>
      <c r="X78" s="46"/>
      <c r="Y78" s="46"/>
      <c r="Z78" s="46"/>
    </row>
    <row r="79" spans="1:26" x14ac:dyDescent="0.25">
      <c r="A79" s="293"/>
      <c r="B79" s="466" t="s">
        <v>443</v>
      </c>
      <c r="C79" s="401"/>
      <c r="D79" s="401"/>
      <c r="E79" s="401"/>
      <c r="F79" s="401"/>
      <c r="G79" s="401"/>
      <c r="H79" s="401"/>
      <c r="I79" s="46"/>
      <c r="J79" s="46"/>
      <c r="K79" s="46"/>
      <c r="L79" s="46"/>
      <c r="M79" s="46"/>
      <c r="N79" s="46"/>
      <c r="O79" s="46"/>
      <c r="P79" s="46"/>
      <c r="Q79" s="46"/>
      <c r="R79" s="46"/>
      <c r="S79" s="46"/>
      <c r="T79" s="46"/>
      <c r="U79" s="46"/>
      <c r="V79" s="46"/>
      <c r="W79" s="46"/>
      <c r="X79" s="46"/>
      <c r="Y79" s="46"/>
      <c r="Z79" s="46"/>
    </row>
    <row r="80" spans="1:26" x14ac:dyDescent="0.25">
      <c r="A80" s="293"/>
      <c r="B80" s="467"/>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293"/>
      <c r="B81" s="468" t="s">
        <v>469</v>
      </c>
      <c r="C81" s="401"/>
      <c r="D81" s="401"/>
      <c r="E81" s="401"/>
      <c r="F81" s="401"/>
      <c r="G81" s="401"/>
      <c r="H81" s="401"/>
      <c r="I81" s="46"/>
      <c r="J81" s="46"/>
      <c r="K81" s="46"/>
      <c r="L81" s="46"/>
      <c r="M81" s="46"/>
      <c r="N81" s="46"/>
      <c r="O81" s="46"/>
      <c r="P81" s="46"/>
      <c r="Q81" s="46"/>
      <c r="R81" s="46"/>
      <c r="S81" s="46"/>
      <c r="T81" s="46"/>
      <c r="U81" s="46"/>
      <c r="V81" s="46"/>
      <c r="W81" s="46"/>
      <c r="X81" s="46"/>
      <c r="Y81" s="46"/>
      <c r="Z81" s="46"/>
    </row>
    <row r="82" spans="1:26" x14ac:dyDescent="0.25">
      <c r="A82" s="293"/>
      <c r="B82" s="469" t="str">
        <f>IF('Workload Planner'!C8="No","# AVD-SessionHosts — Disabled (skip)","New-Volume -FriendlyName ""AVD-SessionHosts"" -Size "&amp;TEXT('Volume Detail'!E6,"0.00")&amp;"TB -StoragePoolFriendlyName S2D* -ResiliencySettingName "&amp;IF(OR('Volume Detail'!C6="Dual Parity"),"Parity","Mirror")&amp;IF(OR('Volume Detail'!C6="Dual Parity"),""," -NumberOfDataCopies "&amp;IF('Volume Detail'!C6="Three-Way Mirror","3","2")))</f>
        <v>New-Volume -FriendlyName "AVD-SessionHosts" -Size 5.15TB -StoragePoolFriendlyName S2D* -ResiliencySettingName Mirror -NumberOfDataCopies 2</v>
      </c>
      <c r="C82" s="466"/>
      <c r="D82" s="466"/>
      <c r="E82" s="466"/>
      <c r="F82" s="466"/>
      <c r="G82" s="466"/>
      <c r="H82" s="466"/>
      <c r="I82" s="46"/>
      <c r="J82" s="46"/>
      <c r="K82" s="46"/>
      <c r="L82" s="46"/>
      <c r="M82" s="46"/>
      <c r="N82" s="46"/>
      <c r="O82" s="46"/>
      <c r="P82" s="46"/>
      <c r="Q82" s="46"/>
      <c r="R82" s="46"/>
      <c r="S82" s="46"/>
      <c r="T82" s="46"/>
      <c r="U82" s="46"/>
      <c r="V82" s="46"/>
      <c r="W82" s="46"/>
      <c r="X82" s="46"/>
      <c r="Y82" s="46"/>
      <c r="Z82" s="46"/>
    </row>
    <row r="83" spans="1:26" x14ac:dyDescent="0.25">
      <c r="A83" s="293"/>
      <c r="B83" s="469" t="str">
        <f>IF('Workload Planner'!C8="No","# AVD-Profiles — Disabled (skip)","New-Volume -FriendlyName ""AVD-Profiles"" -Size "&amp;TEXT('Volume Detail'!E7,"0.00")&amp;"TB -StoragePoolFriendlyName S2D* -ResiliencySettingName "&amp;IF(OR('Volume Detail'!C7="Dual Parity"),"Parity","Mirror")&amp;IF(OR('Volume Detail'!C7="Dual Parity"),""," -NumberOfDataCopies "&amp;IF('Volume Detail'!C7="Three-Way Mirror","3","2")))</f>
        <v>New-Volume -FriendlyName "AVD-Profiles" -Size 7.68TB -StoragePoolFriendlyName S2D* -ResiliencySettingName Mirror -NumberOfDataCopies 3</v>
      </c>
      <c r="C83" s="466"/>
      <c r="D83" s="466"/>
      <c r="E83" s="466"/>
      <c r="F83" s="466"/>
      <c r="G83" s="466"/>
      <c r="H83" s="466"/>
      <c r="I83" s="46"/>
      <c r="J83" s="46"/>
      <c r="K83" s="46"/>
      <c r="L83" s="46"/>
      <c r="M83" s="46"/>
      <c r="N83" s="46"/>
      <c r="O83" s="46"/>
      <c r="P83" s="46"/>
      <c r="Q83" s="46"/>
      <c r="R83" s="46"/>
      <c r="S83" s="46"/>
      <c r="T83" s="46"/>
      <c r="U83" s="46"/>
      <c r="V83" s="46"/>
      <c r="W83" s="46"/>
      <c r="X83" s="46"/>
      <c r="Y83" s="46"/>
      <c r="Z83" s="46"/>
    </row>
    <row r="84" spans="1:26" x14ac:dyDescent="0.25">
      <c r="A84" s="293"/>
      <c r="B84" s="469" t="str">
        <f>IF('Workload Planner'!C44="No","# AKS-Cluster — Disabled (skip)","New-Volume -FriendlyName ""AKS-Cluster"" -Size "&amp;TEXT('Volume Detail'!E8,"0.00")&amp;"TB -StoragePoolFriendlyName S2D* -ResiliencySettingName "&amp;IF(OR('Volume Detail'!C8="Dual Parity"),"Parity","Mirror")&amp;IF(OR('Volume Detail'!C8="Dual Parity"),""," -NumberOfDataCopies "&amp;IF('Volume Detail'!C8="Three-Way Mirror","3","2")))</f>
        <v># AKS-Cluster — Disabled (skip)</v>
      </c>
      <c r="C84" s="466"/>
      <c r="D84" s="466"/>
      <c r="E84" s="466"/>
      <c r="F84" s="466"/>
      <c r="G84" s="466"/>
      <c r="H84" s="466"/>
      <c r="I84" s="46"/>
      <c r="J84" s="46"/>
      <c r="K84" s="46"/>
      <c r="L84" s="46"/>
      <c r="M84" s="46"/>
      <c r="N84" s="46"/>
      <c r="O84" s="46"/>
      <c r="P84" s="46"/>
      <c r="Q84" s="46"/>
      <c r="R84" s="46"/>
      <c r="S84" s="46"/>
      <c r="T84" s="46"/>
      <c r="U84" s="46"/>
      <c r="V84" s="46"/>
      <c r="W84" s="46"/>
      <c r="X84" s="46"/>
      <c r="Y84" s="46"/>
      <c r="Z84" s="46"/>
    </row>
    <row r="85" spans="1:26" x14ac:dyDescent="0.25">
      <c r="A85" s="293"/>
      <c r="B85" s="469" t="str">
        <f>IF('Workload Planner'!C66="No","# Infra-VMs — Disabled (skip)","New-Volume -FriendlyName ""Infra-VMs"" -Size "&amp;TEXT('Volume Detail'!E9,"0.00")&amp;"TB -StoragePoolFriendlyName S2D* -ResiliencySettingName "&amp;IF(OR('Volume Detail'!C9="Dual Parity"),"Parity","Mirror")&amp;IF(OR('Volume Detail'!C9="Dual Parity"),""," -NumberOfDataCopies "&amp;IF('Volume Detail'!C9="Three-Way Mirror","3","2")))</f>
        <v># Infra-VMs — Disabled (skip)</v>
      </c>
      <c r="C85" s="466"/>
      <c r="D85" s="466"/>
      <c r="E85" s="466"/>
      <c r="F85" s="466"/>
      <c r="G85" s="466"/>
      <c r="H85" s="466"/>
      <c r="I85" s="46"/>
      <c r="J85" s="46"/>
      <c r="K85" s="46"/>
      <c r="L85" s="46"/>
      <c r="M85" s="46"/>
      <c r="N85" s="46"/>
      <c r="O85" s="46"/>
      <c r="P85" s="46"/>
      <c r="Q85" s="46"/>
      <c r="R85" s="46"/>
      <c r="S85" s="46"/>
      <c r="T85" s="46"/>
      <c r="U85" s="46"/>
      <c r="V85" s="46"/>
      <c r="W85" s="46"/>
      <c r="X85" s="46"/>
      <c r="Y85" s="46"/>
      <c r="Z85" s="46"/>
    </row>
    <row r="86" spans="1:26" x14ac:dyDescent="0.25">
      <c r="A86" s="293"/>
      <c r="B86" s="469" t="str">
        <f>IF('Workload Planner'!C83="No","# DevTest-VMs — Disabled (skip)","New-Volume -FriendlyName ""DevTest-VMs"" -Size "&amp;TEXT('Volume Detail'!E10,"0.00")&amp;"TB -StoragePoolFriendlyName S2D* -ResiliencySettingName "&amp;IF(OR('Volume Detail'!C10="Dual Parity"),"Parity","Mirror")&amp;IF(OR('Volume Detail'!C10="Dual Parity"),""," -NumberOfDataCopies "&amp;IF('Volume Detail'!C10="Three-Way Mirror","3","2")))</f>
        <v># DevTest-VMs — Disabled (skip)</v>
      </c>
      <c r="C86" s="466"/>
      <c r="D86" s="466"/>
      <c r="E86" s="466"/>
      <c r="F86" s="466"/>
      <c r="G86" s="466"/>
      <c r="H86" s="466"/>
      <c r="I86" s="46"/>
      <c r="J86" s="46"/>
      <c r="K86" s="46"/>
      <c r="L86" s="46"/>
      <c r="M86" s="46"/>
      <c r="N86" s="46"/>
      <c r="O86" s="46"/>
      <c r="P86" s="46"/>
      <c r="Q86" s="46"/>
      <c r="R86" s="46"/>
      <c r="S86" s="46"/>
      <c r="T86" s="46"/>
      <c r="U86" s="46"/>
      <c r="V86" s="46"/>
      <c r="W86" s="46"/>
      <c r="X86" s="46"/>
      <c r="Y86" s="46"/>
      <c r="Z86" s="46"/>
    </row>
    <row r="87" spans="1:26" x14ac:dyDescent="0.25">
      <c r="A87" s="293"/>
      <c r="B87" s="469" t="str">
        <f>IF('Workload Planner'!C99="No","# Backup-Archive — Disabled (skip)","New-Volume -FriendlyName ""Backup-Archive"" -Size "&amp;TEXT('Volume Detail'!E11,"0.00")&amp;"TB -StoragePoolFriendlyName S2D* -ResiliencySettingName "&amp;IF(OR('Volume Detail'!C11="Dual Parity"),"Parity","Mirror")&amp;IF(OR('Volume Detail'!C11="Dual Parity"),""," -NumberOfDataCopies "&amp;IF('Volume Detail'!C11="Three-Way Mirror","3","2")))</f>
        <v># Backup-Archive — Disabled (skip)</v>
      </c>
      <c r="C87" s="466"/>
      <c r="D87" s="466"/>
      <c r="E87" s="466"/>
      <c r="F87" s="466"/>
      <c r="G87" s="466"/>
      <c r="H87" s="466"/>
      <c r="I87" s="46"/>
      <c r="J87" s="46"/>
      <c r="K87" s="46"/>
      <c r="L87" s="46"/>
      <c r="M87" s="46"/>
      <c r="N87" s="46"/>
      <c r="O87" s="46"/>
      <c r="P87" s="46"/>
      <c r="Q87" s="46"/>
      <c r="R87" s="46"/>
      <c r="S87" s="46"/>
      <c r="T87" s="46"/>
      <c r="U87" s="46"/>
      <c r="V87" s="46"/>
      <c r="W87" s="46"/>
      <c r="X87" s="46"/>
      <c r="Y87" s="46"/>
      <c r="Z87" s="46"/>
    </row>
    <row r="88" spans="1:26" x14ac:dyDescent="0.25">
      <c r="A88" s="293"/>
      <c r="B88" s="469" t="str">
        <f>IF('Workload Planner'!C106="No","# Custom — Disabled (skip)","New-Volume -FriendlyName ""Custom"" -Size "&amp;TEXT('Volume Detail'!E12,"0.00")&amp;"TB -StoragePoolFriendlyName S2D* -ResiliencySettingName "&amp;IF(OR('Volume Detail'!C12="Dual Parity"),"Parity","Mirror")&amp;IF(OR('Volume Detail'!C12="Dual Parity"),""," -NumberOfDataCopies "&amp;IF('Volume Detail'!C12="Three-Way Mirror","3","2")))</f>
        <v># Custom — Disabled (skip)</v>
      </c>
      <c r="C88" s="466"/>
      <c r="D88" s="466"/>
      <c r="E88" s="466"/>
      <c r="F88" s="466"/>
      <c r="G88" s="466"/>
      <c r="H88" s="466"/>
      <c r="I88" s="46"/>
      <c r="J88" s="46"/>
      <c r="K88" s="46"/>
      <c r="L88" s="46"/>
      <c r="M88" s="46"/>
      <c r="N88" s="46"/>
      <c r="O88" s="46"/>
      <c r="P88" s="46"/>
      <c r="Q88" s="46"/>
      <c r="R88" s="46"/>
      <c r="S88" s="46"/>
      <c r="T88" s="46"/>
      <c r="U88" s="46"/>
      <c r="V88" s="46"/>
      <c r="W88" s="46"/>
      <c r="X88" s="46"/>
      <c r="Y88" s="46"/>
      <c r="Z88" s="46"/>
    </row>
    <row r="89" spans="1:26" x14ac:dyDescent="0.25">
      <c r="A89" s="293"/>
      <c r="B89" s="470" t="str">
        <f>IF('Volume Detail'!D13=0,"# SOFS-Node1-Vol — Disabled (skip)","New-Volume -FriendlyName ""SOFS-Node1-Vol"" -Size "&amp;TEXT('Volume Detail'!E13,"0.00")&amp;"TB -StoragePoolFriendlyName S2D* -ResiliencySettingName "&amp;IF('Volume Detail'!C13="Dual Parity","Parity","Mirror")&amp;IF('Volume Detail'!C13="Dual Parity",""," -NumberOfDataCopies "&amp;IF('Volume Detail'!C13="Three-Way Mirror","3","2")))</f>
        <v>New-Volume -FriendlyName "SOFS-Node1-Vol" -Size 7.68TB -StoragePoolFriendlyName S2D* -ResiliencySettingName Mirror -NumberOfDataCopies 2</v>
      </c>
      <c r="C89" s="467"/>
      <c r="D89" s="467"/>
      <c r="E89" s="467"/>
      <c r="F89" s="467"/>
      <c r="G89" s="467"/>
      <c r="H89" s="467"/>
      <c r="I89" s="46"/>
      <c r="J89" s="46"/>
      <c r="K89" s="46"/>
      <c r="L89" s="46"/>
      <c r="M89" s="46"/>
      <c r="N89" s="46"/>
      <c r="O89" s="46"/>
      <c r="P89" s="46"/>
      <c r="Q89" s="46"/>
      <c r="R89" s="46"/>
      <c r="S89" s="46"/>
      <c r="T89" s="46"/>
      <c r="U89" s="46"/>
      <c r="V89" s="46"/>
      <c r="W89" s="46"/>
      <c r="X89" s="46"/>
      <c r="Y89" s="46"/>
      <c r="Z89" s="46"/>
    </row>
    <row r="90" spans="1:26" x14ac:dyDescent="0.25">
      <c r="A90" s="293"/>
      <c r="B90" s="470" t="str">
        <f>IF('Volume Detail'!D14=0,"# SOFS-Node2-Vol — Disabled (skip)","New-Volume -FriendlyName ""SOFS-Node2-Vol"" -Size "&amp;TEXT('Volume Detail'!E14,"0.00")&amp;"TB -StoragePoolFriendlyName S2D* -ResiliencySettingName "&amp;IF('Volume Detail'!C14="Dual Parity","Parity","Mirror")&amp;IF('Volume Detail'!C14="Dual Parity",""," -NumberOfDataCopies "&amp;IF('Volume Detail'!C14="Three-Way Mirror","3","2")))</f>
        <v>New-Volume -FriendlyName "SOFS-Node2-Vol" -Size 7.68TB -StoragePoolFriendlyName S2D* -ResiliencySettingName Mirror -NumberOfDataCopies 2</v>
      </c>
      <c r="C90" s="467"/>
      <c r="D90" s="467"/>
      <c r="E90" s="467"/>
      <c r="F90" s="467"/>
      <c r="G90" s="467"/>
      <c r="H90" s="467"/>
      <c r="I90" s="46"/>
      <c r="J90" s="46"/>
      <c r="K90" s="46"/>
      <c r="L90" s="46"/>
      <c r="M90" s="46"/>
      <c r="N90" s="46"/>
      <c r="O90" s="46"/>
      <c r="P90" s="46"/>
      <c r="Q90" s="46"/>
      <c r="R90" s="46"/>
      <c r="S90" s="46"/>
      <c r="T90" s="46"/>
      <c r="U90" s="46"/>
      <c r="V90" s="46"/>
      <c r="W90" s="46"/>
      <c r="X90" s="46"/>
      <c r="Y90" s="46"/>
      <c r="Z90" s="46"/>
    </row>
    <row r="91" spans="1:26" x14ac:dyDescent="0.25">
      <c r="A91" s="293"/>
      <c r="B91" s="470" t="str">
        <f>IF('Volume Detail'!D15=0,"# SOFS-Node3-Vol — Disabled (skip)","New-Volume -FriendlyName ""SOFS-Node3-Vol"" -Size "&amp;TEXT('Volume Detail'!E15,"0.00")&amp;"TB -StoragePoolFriendlyName S2D* -ResiliencySettingName "&amp;IF('Volume Detail'!C15="Dual Parity","Parity","Mirror")&amp;IF('Volume Detail'!C15="Dual Parity",""," -NumberOfDataCopies "&amp;IF('Volume Detail'!C15="Three-Way Mirror","3","2")))</f>
        <v>New-Volume -FriendlyName "SOFS-Node3-Vol" -Size 7.68TB -StoragePoolFriendlyName S2D* -ResiliencySettingName Mirror -NumberOfDataCopies 2</v>
      </c>
      <c r="C91" s="467"/>
      <c r="D91" s="467"/>
      <c r="E91" s="467"/>
      <c r="F91" s="467"/>
      <c r="G91" s="467"/>
      <c r="H91" s="467"/>
      <c r="I91" s="46"/>
      <c r="J91" s="46"/>
      <c r="K91" s="46"/>
      <c r="L91" s="46"/>
      <c r="M91" s="46"/>
      <c r="N91" s="46"/>
      <c r="O91" s="46"/>
      <c r="P91" s="46"/>
      <c r="Q91" s="46"/>
      <c r="R91" s="46"/>
      <c r="S91" s="46"/>
      <c r="T91" s="46"/>
      <c r="U91" s="46"/>
      <c r="V91" s="46"/>
      <c r="W91" s="46"/>
      <c r="X91" s="46"/>
      <c r="Y91" s="46"/>
      <c r="Z91" s="46"/>
    </row>
    <row r="92" spans="1:26" x14ac:dyDescent="0.25">
      <c r="A92" s="293"/>
      <c r="B92" s="470" t="str">
        <f>IF('Volume Detail'!D16=0,"# SOFS-Node4-Vol — Disabled (skip)","New-Volume -FriendlyName ""SOFS-Node4-Vol"" -Size "&amp;TEXT('Volume Detail'!E16,"0.00")&amp;"TB -StoragePoolFriendlyName S2D* -ResiliencySettingName "&amp;IF('Volume Detail'!C16="Dual Parity","Parity","Mirror")&amp;IF('Volume Detail'!C16="Dual Parity",""," -NumberOfDataCopies "&amp;IF('Volume Detail'!C16="Three-Way Mirror","3","2")))</f>
        <v># SOFS-Node4-Vol — Disabled (skip)</v>
      </c>
      <c r="C92" s="467"/>
      <c r="D92" s="467"/>
      <c r="E92" s="467"/>
      <c r="F92" s="467"/>
      <c r="G92" s="467"/>
      <c r="H92" s="467"/>
      <c r="I92" s="46"/>
      <c r="J92" s="46"/>
      <c r="K92" s="46"/>
      <c r="L92" s="46"/>
      <c r="M92" s="46"/>
      <c r="N92" s="46"/>
      <c r="O92" s="46"/>
      <c r="P92" s="46"/>
      <c r="Q92" s="46"/>
      <c r="R92" s="46"/>
      <c r="S92" s="46"/>
      <c r="T92" s="46"/>
      <c r="U92" s="46"/>
      <c r="V92" s="46"/>
      <c r="W92" s="46"/>
      <c r="X92" s="46"/>
      <c r="Y92" s="46"/>
      <c r="Z92" s="46"/>
    </row>
    <row r="93" spans="1:26" x14ac:dyDescent="0.25">
      <c r="A93" s="293"/>
      <c r="B93" s="466" t="s">
        <v>470</v>
      </c>
      <c r="C93" s="401"/>
      <c r="D93" s="401"/>
      <c r="E93" s="401"/>
      <c r="F93" s="401"/>
      <c r="G93" s="401"/>
      <c r="H93" s="401"/>
      <c r="I93" s="46"/>
      <c r="J93" s="46"/>
      <c r="K93" s="46"/>
      <c r="L93" s="46"/>
      <c r="M93" s="46"/>
      <c r="N93" s="46"/>
      <c r="O93" s="46"/>
      <c r="P93" s="46"/>
      <c r="Q93" s="46"/>
      <c r="R93" s="46"/>
      <c r="S93" s="46"/>
      <c r="T93" s="46"/>
      <c r="U93" s="46"/>
      <c r="V93" s="46"/>
      <c r="W93" s="46"/>
      <c r="X93" s="46"/>
      <c r="Y93" s="46"/>
      <c r="Z93" s="46"/>
    </row>
    <row r="94" spans="1:26" x14ac:dyDescent="0.25">
      <c r="A94" s="293"/>
      <c r="B94" s="467"/>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x14ac:dyDescent="0.25">
      <c r="A95" s="293"/>
      <c r="B95" s="467"/>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293"/>
      <c r="B96" s="293"/>
      <c r="C96" s="293"/>
      <c r="D96" s="293"/>
      <c r="E96" s="293"/>
      <c r="F96" s="293"/>
      <c r="G96" s="293"/>
      <c r="H96" s="293"/>
      <c r="I96" s="46"/>
      <c r="J96" s="46"/>
      <c r="K96" s="46"/>
      <c r="L96" s="46"/>
      <c r="M96" s="46"/>
      <c r="N96" s="46"/>
      <c r="O96" s="46"/>
      <c r="P96" s="46"/>
      <c r="Q96" s="46"/>
      <c r="R96" s="46"/>
      <c r="S96" s="46"/>
      <c r="T96" s="46"/>
      <c r="U96" s="46"/>
      <c r="V96" s="46"/>
      <c r="W96" s="46"/>
      <c r="X96" s="46"/>
      <c r="Y96" s="46"/>
      <c r="Z96" s="46"/>
    </row>
    <row r="97" spans="1:26" x14ac:dyDescent="0.25">
      <c r="A97" s="293"/>
      <c r="B97" s="402" t="s">
        <v>444</v>
      </c>
      <c r="C97" s="403"/>
      <c r="D97" s="403"/>
      <c r="E97" s="403"/>
      <c r="F97" s="403"/>
      <c r="G97" s="403"/>
      <c r="H97" s="403"/>
      <c r="I97" s="46"/>
      <c r="J97" s="46"/>
      <c r="K97" s="46"/>
      <c r="L97" s="46"/>
      <c r="M97" s="46"/>
      <c r="N97" s="46"/>
      <c r="O97" s="46"/>
      <c r="P97" s="46"/>
      <c r="Q97" s="46"/>
      <c r="R97" s="46"/>
      <c r="S97" s="46"/>
      <c r="T97" s="46"/>
      <c r="U97" s="46"/>
      <c r="V97" s="46"/>
      <c r="W97" s="46"/>
      <c r="X97" s="46"/>
      <c r="Y97" s="46"/>
      <c r="Z97" s="46"/>
    </row>
    <row r="98" spans="1:26" x14ac:dyDescent="0.25">
      <c r="A98" s="293"/>
      <c r="B98" s="279" t="s">
        <v>445</v>
      </c>
      <c r="C98" s="293"/>
      <c r="D98" s="293"/>
      <c r="E98" s="293"/>
      <c r="F98" s="293"/>
      <c r="G98" s="293"/>
      <c r="H98" s="293"/>
      <c r="I98" s="46"/>
      <c r="J98" s="46"/>
      <c r="K98" s="46"/>
      <c r="L98" s="46"/>
      <c r="M98" s="46"/>
      <c r="N98" s="46"/>
      <c r="O98" s="46"/>
      <c r="P98" s="46"/>
      <c r="Q98" s="46"/>
      <c r="R98" s="46"/>
      <c r="S98" s="46"/>
      <c r="T98" s="46"/>
      <c r="U98" s="46"/>
      <c r="V98" s="46"/>
      <c r="W98" s="46"/>
      <c r="X98" s="46"/>
      <c r="Y98" s="46"/>
      <c r="Z98" s="46"/>
    </row>
    <row r="99" spans="1:26" x14ac:dyDescent="0.25">
      <c r="A99" s="293"/>
      <c r="B99" s="404" t="s">
        <v>446</v>
      </c>
      <c r="C99" s="405">
        <f>'Drive Layout Comparison'!C7</f>
        <v>4</v>
      </c>
      <c r="D99" s="406" t="s">
        <v>425</v>
      </c>
      <c r="E99" s="293"/>
      <c r="F99" s="293"/>
      <c r="G99" s="293"/>
      <c r="H99" s="293"/>
      <c r="I99" s="46"/>
      <c r="J99" s="46"/>
      <c r="K99" s="46"/>
      <c r="L99" s="46"/>
      <c r="M99" s="46"/>
      <c r="N99" s="46"/>
      <c r="O99" s="46"/>
      <c r="P99" s="46"/>
      <c r="Q99" s="46"/>
      <c r="R99" s="46"/>
      <c r="S99" s="46"/>
      <c r="T99" s="46"/>
      <c r="U99" s="46"/>
      <c r="V99" s="46"/>
      <c r="W99" s="46"/>
      <c r="X99" s="46"/>
      <c r="Y99" s="46"/>
      <c r="Z99" s="46"/>
    </row>
    <row r="100" spans="1:26" x14ac:dyDescent="0.25">
      <c r="A100" s="293"/>
      <c r="B100" s="407" t="s">
        <v>177</v>
      </c>
      <c r="C100" s="409">
        <f>'Drive Layout Comparison'!C8</f>
        <v>3.84</v>
      </c>
      <c r="D100" s="319" t="s">
        <v>87</v>
      </c>
      <c r="E100" s="293"/>
      <c r="F100" s="293"/>
      <c r="G100" s="293"/>
      <c r="H100" s="293"/>
      <c r="I100" s="46"/>
      <c r="J100" s="46"/>
      <c r="K100" s="46"/>
      <c r="L100" s="46"/>
      <c r="M100" s="46"/>
      <c r="N100" s="46"/>
      <c r="O100" s="46"/>
      <c r="P100" s="46"/>
      <c r="Q100" s="46"/>
      <c r="R100" s="46"/>
      <c r="S100" s="46"/>
      <c r="T100" s="46"/>
      <c r="U100" s="46"/>
      <c r="V100" s="46"/>
      <c r="W100" s="46"/>
      <c r="X100" s="46"/>
      <c r="Y100" s="46"/>
      <c r="Z100" s="46"/>
    </row>
    <row r="101" spans="1:26" x14ac:dyDescent="0.25">
      <c r="A101" s="293"/>
      <c r="B101" s="407" t="s">
        <v>195</v>
      </c>
      <c r="C101" s="409">
        <f>'Drive Layout Comparison'!F14</f>
        <v>10.5984</v>
      </c>
      <c r="D101" s="319" t="s">
        <v>87</v>
      </c>
      <c r="E101" s="293"/>
      <c r="F101" s="293"/>
      <c r="G101" s="293"/>
      <c r="H101" s="293"/>
      <c r="I101" s="46"/>
      <c r="J101" s="46"/>
      <c r="K101" s="46"/>
      <c r="L101" s="46"/>
      <c r="M101" s="46"/>
      <c r="N101" s="46"/>
      <c r="O101" s="46"/>
      <c r="P101" s="46"/>
      <c r="Q101" s="46"/>
      <c r="R101" s="46"/>
      <c r="S101" s="46"/>
      <c r="T101" s="46"/>
      <c r="U101" s="46"/>
      <c r="V101" s="46"/>
      <c r="W101" s="46"/>
      <c r="X101" s="46"/>
      <c r="Y101" s="46"/>
      <c r="Z101" s="46"/>
    </row>
    <row r="102" spans="1:26" x14ac:dyDescent="0.25">
      <c r="A102" s="293"/>
      <c r="B102" s="419" t="s">
        <v>447</v>
      </c>
      <c r="C102" s="471">
        <f>'Drive Layout Comparison'!G14</f>
        <v>31.045200000000001</v>
      </c>
      <c r="D102" s="317" t="s">
        <v>87</v>
      </c>
      <c r="E102" s="293"/>
      <c r="F102" s="293"/>
      <c r="G102" s="293"/>
      <c r="H102" s="293"/>
      <c r="I102" s="46"/>
      <c r="J102" s="46"/>
      <c r="K102" s="46"/>
      <c r="L102" s="46"/>
      <c r="M102" s="46"/>
      <c r="N102" s="46"/>
      <c r="O102" s="46"/>
      <c r="P102" s="46"/>
      <c r="Q102" s="46"/>
      <c r="R102" s="46"/>
      <c r="S102" s="46"/>
      <c r="T102" s="46"/>
      <c r="U102" s="46"/>
      <c r="V102" s="46"/>
      <c r="W102" s="46"/>
      <c r="X102" s="46"/>
      <c r="Y102" s="46"/>
      <c r="Z102" s="46"/>
    </row>
    <row r="103" spans="1:26" x14ac:dyDescent="0.25">
      <c r="A103" s="293"/>
      <c r="B103" s="293"/>
      <c r="C103" s="293"/>
      <c r="D103" s="293"/>
      <c r="E103" s="293"/>
      <c r="F103" s="293"/>
      <c r="G103" s="293"/>
      <c r="H103" s="293"/>
      <c r="I103" s="46"/>
      <c r="J103" s="46"/>
      <c r="K103" s="46"/>
      <c r="L103" s="46"/>
      <c r="M103" s="46"/>
      <c r="N103" s="46"/>
      <c r="O103" s="46"/>
      <c r="P103" s="46"/>
      <c r="Q103" s="46"/>
      <c r="R103" s="46"/>
      <c r="S103" s="46"/>
      <c r="T103" s="46"/>
      <c r="U103" s="46"/>
      <c r="V103" s="46"/>
      <c r="W103" s="46"/>
      <c r="X103" s="46"/>
      <c r="Y103" s="46"/>
      <c r="Z103" s="46"/>
    </row>
    <row r="104" spans="1:26" x14ac:dyDescent="0.25">
      <c r="A104" s="293"/>
      <c r="B104" s="279" t="s">
        <v>448</v>
      </c>
      <c r="C104" s="293"/>
      <c r="D104" s="293"/>
      <c r="E104" s="293"/>
      <c r="F104" s="293"/>
      <c r="G104" s="293"/>
      <c r="H104" s="293"/>
      <c r="I104" s="46"/>
      <c r="J104" s="46"/>
      <c r="K104" s="46"/>
      <c r="L104" s="46"/>
      <c r="M104" s="46"/>
      <c r="N104" s="46"/>
      <c r="O104" s="46"/>
      <c r="P104" s="46"/>
      <c r="Q104" s="46"/>
      <c r="R104" s="46"/>
      <c r="S104" s="46"/>
      <c r="T104" s="46"/>
      <c r="U104" s="46"/>
      <c r="V104" s="46"/>
      <c r="W104" s="46"/>
      <c r="X104" s="46"/>
      <c r="Y104" s="46"/>
      <c r="Z104" s="46"/>
    </row>
    <row r="105" spans="1:26" x14ac:dyDescent="0.25">
      <c r="A105" s="293"/>
      <c r="B105" s="404" t="s">
        <v>449</v>
      </c>
      <c r="C105" s="405">
        <f>'Drive Layout Comparison'!B21</f>
        <v>10</v>
      </c>
      <c r="D105" s="406" t="s">
        <v>425</v>
      </c>
      <c r="E105" s="293"/>
      <c r="F105" s="293"/>
      <c r="G105" s="293"/>
      <c r="H105" s="293"/>
      <c r="I105" s="46"/>
      <c r="J105" s="46"/>
      <c r="K105" s="46"/>
      <c r="L105" s="46"/>
      <c r="M105" s="46"/>
      <c r="N105" s="46"/>
      <c r="O105" s="46"/>
      <c r="P105" s="46"/>
      <c r="Q105" s="46"/>
      <c r="R105" s="46"/>
      <c r="S105" s="46"/>
      <c r="T105" s="46"/>
      <c r="U105" s="46"/>
      <c r="V105" s="46"/>
      <c r="W105" s="46"/>
      <c r="X105" s="46"/>
      <c r="Y105" s="46"/>
      <c r="Z105" s="46"/>
    </row>
    <row r="106" spans="1:26" x14ac:dyDescent="0.25">
      <c r="A106" s="293"/>
      <c r="B106" s="407" t="s">
        <v>450</v>
      </c>
      <c r="C106" s="409">
        <f>'Drive Layout Comparison'!C21</f>
        <v>1.54</v>
      </c>
      <c r="D106" s="319" t="s">
        <v>87</v>
      </c>
      <c r="E106" s="293"/>
      <c r="F106" s="293"/>
      <c r="G106" s="293"/>
      <c r="H106" s="293"/>
      <c r="I106" s="46"/>
      <c r="J106" s="46"/>
      <c r="K106" s="46"/>
      <c r="L106" s="46"/>
      <c r="M106" s="46"/>
      <c r="N106" s="46"/>
      <c r="O106" s="46"/>
      <c r="P106" s="46"/>
      <c r="Q106" s="46"/>
      <c r="R106" s="46"/>
      <c r="S106" s="46"/>
      <c r="T106" s="46"/>
      <c r="U106" s="46"/>
      <c r="V106" s="46"/>
      <c r="W106" s="46"/>
      <c r="X106" s="46"/>
      <c r="Y106" s="46"/>
      <c r="Z106" s="46"/>
    </row>
    <row r="107" spans="1:26" x14ac:dyDescent="0.25">
      <c r="A107" s="293"/>
      <c r="B107" s="407" t="s">
        <v>195</v>
      </c>
      <c r="C107" s="409">
        <f>'Drive Layout Comparison'!F21</f>
        <v>4.2504</v>
      </c>
      <c r="D107" s="319" t="s">
        <v>87</v>
      </c>
      <c r="E107" s="293"/>
      <c r="F107" s="293"/>
      <c r="G107" s="293"/>
      <c r="H107" s="293"/>
      <c r="I107" s="46"/>
      <c r="J107" s="46"/>
      <c r="K107" s="46"/>
      <c r="L107" s="46"/>
      <c r="M107" s="46"/>
      <c r="N107" s="46"/>
      <c r="O107" s="46"/>
      <c r="P107" s="46"/>
      <c r="Q107" s="46"/>
      <c r="R107" s="46"/>
      <c r="S107" s="46"/>
      <c r="T107" s="46"/>
      <c r="U107" s="46"/>
      <c r="V107" s="46"/>
      <c r="W107" s="46"/>
      <c r="X107" s="46"/>
      <c r="Y107" s="46"/>
      <c r="Z107" s="46"/>
    </row>
    <row r="108" spans="1:26" x14ac:dyDescent="0.25">
      <c r="A108" s="293"/>
      <c r="B108" s="407" t="s">
        <v>447</v>
      </c>
      <c r="C108" s="409">
        <f>'Drive Layout Comparison'!G21</f>
        <v>37.503600000000006</v>
      </c>
      <c r="D108" s="319" t="s">
        <v>87</v>
      </c>
      <c r="E108" s="293"/>
      <c r="F108" s="293"/>
      <c r="G108" s="293"/>
      <c r="H108" s="293"/>
      <c r="I108" s="46"/>
      <c r="J108" s="46"/>
      <c r="K108" s="46"/>
      <c r="L108" s="46"/>
      <c r="M108" s="46"/>
      <c r="N108" s="46"/>
      <c r="O108" s="46"/>
      <c r="P108" s="46"/>
      <c r="Q108" s="46"/>
      <c r="R108" s="46"/>
      <c r="S108" s="46"/>
      <c r="T108" s="46"/>
      <c r="U108" s="46"/>
      <c r="V108" s="46"/>
      <c r="W108" s="46"/>
      <c r="X108" s="46"/>
      <c r="Y108" s="46"/>
      <c r="Z108" s="46"/>
    </row>
    <row r="109" spans="1:26" x14ac:dyDescent="0.25">
      <c r="A109" s="293"/>
      <c r="B109" s="472" t="s">
        <v>451</v>
      </c>
      <c r="C109" s="473">
        <f>'Drive Layout Comparison'!H21</f>
        <v>6.4584000000000046</v>
      </c>
      <c r="D109" s="474" t="s">
        <v>452</v>
      </c>
      <c r="E109" s="293"/>
      <c r="F109" s="293"/>
      <c r="G109" s="293"/>
      <c r="H109" s="293"/>
      <c r="I109" s="46"/>
      <c r="J109" s="46"/>
      <c r="K109" s="46"/>
      <c r="L109" s="46"/>
      <c r="M109" s="46"/>
      <c r="N109" s="46"/>
      <c r="O109" s="46"/>
      <c r="P109" s="46"/>
      <c r="Q109" s="46"/>
      <c r="R109" s="46"/>
      <c r="S109" s="46"/>
      <c r="T109" s="46"/>
      <c r="U109" s="46"/>
      <c r="V109" s="46"/>
      <c r="W109" s="46"/>
      <c r="X109" s="46"/>
      <c r="Y109" s="46"/>
      <c r="Z109" s="46"/>
    </row>
    <row r="110" spans="1:26" x14ac:dyDescent="0.25">
      <c r="A110" s="293"/>
      <c r="B110" s="466" t="s">
        <v>453</v>
      </c>
      <c r="C110" s="401"/>
      <c r="D110" s="401"/>
      <c r="E110" s="401"/>
      <c r="F110" s="401"/>
      <c r="G110" s="401"/>
      <c r="H110" s="401"/>
      <c r="I110" s="46"/>
      <c r="J110" s="46"/>
      <c r="K110" s="46"/>
      <c r="L110" s="46"/>
      <c r="M110" s="46"/>
      <c r="N110" s="46"/>
      <c r="O110" s="46"/>
      <c r="P110" s="46"/>
      <c r="Q110" s="46"/>
      <c r="R110" s="46"/>
      <c r="S110" s="46"/>
      <c r="T110" s="46"/>
      <c r="U110" s="46"/>
      <c r="V110" s="46"/>
      <c r="W110" s="46"/>
      <c r="X110" s="46"/>
      <c r="Y110" s="46"/>
      <c r="Z110" s="46"/>
    </row>
    <row r="111" spans="1:26" x14ac:dyDescent="0.25">
      <c r="A111" s="293"/>
      <c r="B111" s="293"/>
      <c r="C111" s="293"/>
      <c r="D111" s="293"/>
      <c r="E111" s="293"/>
      <c r="F111" s="293"/>
      <c r="G111" s="293"/>
      <c r="H111" s="293"/>
      <c r="I111" s="46"/>
      <c r="J111" s="46"/>
      <c r="K111" s="46"/>
      <c r="L111" s="46"/>
      <c r="M111" s="46"/>
      <c r="N111" s="46"/>
      <c r="O111" s="46"/>
      <c r="P111" s="46"/>
      <c r="Q111" s="46"/>
      <c r="R111" s="46"/>
      <c r="S111" s="46"/>
      <c r="T111" s="46"/>
      <c r="U111" s="46"/>
      <c r="V111" s="46"/>
      <c r="W111" s="46"/>
      <c r="X111" s="46"/>
      <c r="Y111" s="46"/>
      <c r="Z111" s="46"/>
    </row>
    <row r="112" spans="1:26" x14ac:dyDescent="0.25">
      <c r="A112" s="293"/>
      <c r="B112" s="402" t="s">
        <v>454</v>
      </c>
      <c r="C112" s="403"/>
      <c r="D112" s="403"/>
      <c r="E112" s="403"/>
      <c r="F112" s="403"/>
      <c r="G112" s="403"/>
      <c r="H112" s="403"/>
      <c r="I112" s="46"/>
      <c r="J112" s="46"/>
      <c r="K112" s="46"/>
      <c r="L112" s="46"/>
      <c r="M112" s="46"/>
      <c r="N112" s="46"/>
      <c r="O112" s="46"/>
      <c r="P112" s="46"/>
      <c r="Q112" s="46"/>
      <c r="R112" s="46"/>
      <c r="S112" s="46"/>
      <c r="T112" s="46"/>
      <c r="U112" s="46"/>
      <c r="V112" s="46"/>
      <c r="W112" s="46"/>
      <c r="X112" s="46"/>
      <c r="Y112" s="46"/>
      <c r="Z112" s="46"/>
    </row>
    <row r="113" spans="1:26" x14ac:dyDescent="0.25">
      <c r="A113" s="293"/>
      <c r="B113" s="279" t="s">
        <v>140</v>
      </c>
      <c r="C113" s="475" t="str">
        <f>"Microsoft recommends volume count as a multiple of your node count ("&amp;'Hardware Inputs'!C8&amp;") for balanced data distribution across nodes."</f>
        <v>Microsoft recommends volume count as a multiple of your node count (3) for balanced data distribution across nodes.</v>
      </c>
      <c r="D113" s="401"/>
      <c r="E113" s="401"/>
      <c r="F113" s="401"/>
      <c r="G113" s="401"/>
      <c r="H113" s="401"/>
      <c r="I113" s="46"/>
      <c r="J113" s="46"/>
      <c r="K113" s="46"/>
      <c r="L113" s="46"/>
      <c r="M113" s="46"/>
      <c r="N113" s="46"/>
      <c r="O113" s="46"/>
      <c r="P113" s="46"/>
      <c r="Q113" s="46"/>
      <c r="R113" s="46"/>
      <c r="S113" s="46"/>
      <c r="T113" s="46"/>
      <c r="U113" s="46"/>
      <c r="V113" s="46"/>
      <c r="W113" s="46"/>
      <c r="X113" s="46"/>
      <c r="Y113" s="46"/>
      <c r="Z113" s="46"/>
    </row>
    <row r="114" spans="1:26" x14ac:dyDescent="0.25">
      <c r="A114" s="293"/>
      <c r="B114" s="476"/>
      <c r="C114" s="477" t="str">
        <f>"Your current volume count: "&amp;'Workload Planner'!C126&amp;" volumes across "&amp;'Hardware Inputs'!C8&amp;" nodes. "&amp;IF(MOD('Workload Planner'!C126,'Hardware Inputs'!C8)=0,"✓ Multiple of node count.","Consider adjusting for balance.")</f>
        <v>Your current volume count: 5 volumes across 3 nodes. Consider adjusting for balance.</v>
      </c>
      <c r="D114" s="478"/>
      <c r="E114" s="478"/>
      <c r="F114" s="478"/>
      <c r="G114" s="478"/>
      <c r="H114" s="478"/>
      <c r="I114" s="46"/>
      <c r="J114" s="46"/>
      <c r="K114" s="46"/>
      <c r="L114" s="46"/>
      <c r="M114" s="46"/>
      <c r="N114" s="46"/>
      <c r="O114" s="46"/>
      <c r="P114" s="46"/>
      <c r="Q114" s="46"/>
      <c r="R114" s="46"/>
      <c r="S114" s="46"/>
      <c r="T114" s="46"/>
      <c r="U114" s="46"/>
      <c r="V114" s="46"/>
      <c r="W114" s="46"/>
      <c r="X114" s="46"/>
      <c r="Y114" s="46"/>
      <c r="Z114" s="46"/>
    </row>
    <row r="115" spans="1:26" x14ac:dyDescent="0.25">
      <c r="A115" s="293"/>
      <c r="B115" s="279" t="s">
        <v>455</v>
      </c>
      <c r="C115" s="475" t="str">
        <f>"Keep pool utilization below 70% to ensure enough free space for automatic drive failure repair. Current: "&amp;TEXT('Workload Planner'!C129,"0.0%")&amp;"."</f>
        <v>Keep pool utilization below 70% to ensure enough free space for automatic drive failure repair. Current: 274.8%.</v>
      </c>
      <c r="D115" s="401"/>
      <c r="E115" s="401"/>
      <c r="F115" s="401"/>
      <c r="G115" s="401"/>
      <c r="H115" s="401"/>
      <c r="I115" s="46"/>
      <c r="J115" s="46"/>
      <c r="K115" s="46"/>
      <c r="L115" s="46"/>
      <c r="M115" s="46"/>
      <c r="N115" s="46"/>
      <c r="O115" s="46"/>
      <c r="P115" s="46"/>
      <c r="Q115" s="46"/>
      <c r="R115" s="46"/>
      <c r="S115" s="46"/>
      <c r="T115" s="46"/>
      <c r="U115" s="46"/>
      <c r="V115" s="46"/>
      <c r="W115" s="46"/>
      <c r="X115" s="46"/>
      <c r="Y115" s="46"/>
      <c r="Z115" s="46"/>
    </row>
    <row r="116" spans="1:26" x14ac:dyDescent="0.25">
      <c r="A116" s="293"/>
      <c r="B116" s="476"/>
      <c r="C116" s="477" t="str">
        <f>IF('Workload Planner'!C129&gt;0.7,"⚠ Above 70% — limited rebuild headroom. Consider adding drives or reducing workloads.","✓ Healthy headroom for drive failure repair.")</f>
        <v>⚠ Above 70% — limited rebuild headroom. Consider adding drives or reducing workloads.</v>
      </c>
      <c r="D116" s="478"/>
      <c r="E116" s="478"/>
      <c r="F116" s="478"/>
      <c r="G116" s="478"/>
      <c r="H116" s="478"/>
      <c r="I116" s="46"/>
      <c r="J116" s="46"/>
      <c r="K116" s="46"/>
      <c r="L116" s="46"/>
      <c r="M116" s="46"/>
      <c r="N116" s="46"/>
      <c r="O116" s="46"/>
      <c r="P116" s="46"/>
      <c r="Q116" s="46"/>
      <c r="R116" s="46"/>
      <c r="S116" s="46"/>
      <c r="T116" s="46"/>
      <c r="U116" s="46"/>
      <c r="V116" s="46"/>
      <c r="W116" s="46"/>
      <c r="X116" s="46"/>
      <c r="Y116" s="46"/>
      <c r="Z116" s="46"/>
    </row>
    <row r="117" spans="1:26" x14ac:dyDescent="0.25">
      <c r="A117" s="293"/>
      <c r="B117" s="279" t="s">
        <v>456</v>
      </c>
      <c r="C117" s="475" t="str">
        <f>"Default provisioning: "&amp;'Hardware Inputs'!C13&amp;". Fixed (thick) is STRONGLY recommended for production. Thin risks pool exhaustion — see Thin Provisioning tab."</f>
        <v>Default provisioning: Fixed (Thick). Fixed (thick) is STRONGLY recommended for production. Thin risks pool exhaustion — see Thin Provisioning tab.</v>
      </c>
      <c r="D117" s="401"/>
      <c r="E117" s="401"/>
      <c r="F117" s="401"/>
      <c r="G117" s="401"/>
      <c r="H117" s="401"/>
      <c r="I117" s="46"/>
      <c r="J117" s="46"/>
      <c r="K117" s="46"/>
      <c r="L117" s="46"/>
      <c r="M117" s="46"/>
      <c r="N117" s="46"/>
      <c r="O117" s="46"/>
      <c r="P117" s="46"/>
      <c r="Q117" s="46"/>
      <c r="R117" s="46"/>
      <c r="S117" s="46"/>
      <c r="T117" s="46"/>
      <c r="U117" s="46"/>
      <c r="V117" s="46"/>
      <c r="W117" s="46"/>
      <c r="X117" s="46"/>
      <c r="Y117" s="46"/>
      <c r="Z117" s="46"/>
    </row>
    <row r="118" spans="1:26" x14ac:dyDescent="0.25">
      <c r="A118" s="293"/>
      <c r="B118" s="476"/>
      <c r="C118" s="477" t="str">
        <f>IF('Hardware Inputs'!C13="Fixed (Thick)","✓ Using recommended Fixed provisioning.","⚠ Thin provisioning detected — monitor pool usage closely. Set WAC alert at 60%.")</f>
        <v>✓ Using recommended Fixed provisioning.</v>
      </c>
      <c r="D118" s="478"/>
      <c r="E118" s="478"/>
      <c r="F118" s="478"/>
      <c r="G118" s="478"/>
      <c r="H118" s="478"/>
      <c r="I118" s="46"/>
      <c r="J118" s="46"/>
      <c r="K118" s="46"/>
      <c r="L118" s="46"/>
      <c r="M118" s="46"/>
      <c r="N118" s="46"/>
      <c r="O118" s="46"/>
      <c r="P118" s="46"/>
      <c r="Q118" s="46"/>
      <c r="R118" s="46"/>
      <c r="S118" s="46"/>
      <c r="T118" s="46"/>
      <c r="U118" s="46"/>
      <c r="V118" s="46"/>
      <c r="W118" s="46"/>
      <c r="X118" s="46"/>
      <c r="Y118" s="46"/>
      <c r="Z118" s="46"/>
    </row>
    <row r="119" spans="1:26" x14ac:dyDescent="0.25">
      <c r="A119" s="293"/>
      <c r="B119" s="279" t="s">
        <v>457</v>
      </c>
      <c r="C119" s="475" t="str">
        <f>"Size VM workloads to fit on "&amp;'Hardware Inputs'!C8-1&amp;" of "&amp;'Hardware Inputs'!C8&amp;" nodes. If 1 node goes down, VMs must failover. This is CPU/RAM planning, separate from storage."</f>
        <v>Size VM workloads to fit on 2 of 3 nodes. If 1 node goes down, VMs must failover. This is CPU/RAM planning, separate from storage.</v>
      </c>
      <c r="D119" s="401"/>
      <c r="E119" s="401"/>
      <c r="F119" s="401"/>
      <c r="G119" s="401"/>
      <c r="H119" s="401"/>
      <c r="I119" s="46"/>
      <c r="J119" s="46"/>
      <c r="K119" s="46"/>
      <c r="L119" s="46"/>
      <c r="M119" s="46"/>
      <c r="N119" s="46"/>
      <c r="O119" s="46"/>
      <c r="P119" s="46"/>
      <c r="Q119" s="46"/>
      <c r="R119" s="46"/>
      <c r="S119" s="46"/>
      <c r="T119" s="46"/>
      <c r="U119" s="46"/>
      <c r="V119" s="46"/>
      <c r="W119" s="46"/>
      <c r="X119" s="46"/>
      <c r="Y119" s="46"/>
      <c r="Z119" s="46"/>
    </row>
    <row r="120" spans="1:26" x14ac:dyDescent="0.25">
      <c r="A120" s="293"/>
      <c r="B120" s="476"/>
      <c r="C120" s="477" t="str">
        <f>"Plan for "&amp;'Hardware Inputs'!C8-1&amp;"-node compute capacity even though storage spans all "&amp;'Hardware Inputs'!C8&amp;" nodes."</f>
        <v>Plan for 2-node compute capacity even though storage spans all 3 nodes.</v>
      </c>
      <c r="D120" s="478"/>
      <c r="E120" s="478"/>
      <c r="F120" s="478"/>
      <c r="G120" s="478"/>
      <c r="H120" s="478"/>
      <c r="I120" s="46"/>
      <c r="J120" s="46"/>
      <c r="K120" s="46"/>
      <c r="L120" s="46"/>
      <c r="M120" s="46"/>
      <c r="N120" s="46"/>
      <c r="O120" s="46"/>
      <c r="P120" s="46"/>
      <c r="Q120" s="46"/>
      <c r="R120" s="46"/>
      <c r="S120" s="46"/>
      <c r="T120" s="46"/>
      <c r="U120" s="46"/>
      <c r="V120" s="46"/>
      <c r="W120" s="46"/>
      <c r="X120" s="46"/>
      <c r="Y120" s="46"/>
      <c r="Z120" s="46"/>
    </row>
    <row r="121" spans="1:26" x14ac:dyDescent="0.25">
      <c r="A121" s="293"/>
      <c r="B121" s="279" t="s">
        <v>458</v>
      </c>
      <c r="C121" s="475" t="str">
        <f>"Maximum single volume size: 64 TB. Current largest volume: "&amp;TEXT(MAX('Workload Planner'!C14,'Workload Planner'!C23,'Workload Planner'!C54,'Workload Planner'!C70,'Workload Planner'!C87,'Workload Planner'!C102,'Workload Planner'!C109),"0.00")&amp;" TB."</f>
        <v>Maximum single volume size: 64 TB. Current largest volume: 8.25 TB.</v>
      </c>
      <c r="D121" s="401"/>
      <c r="E121" s="401"/>
      <c r="F121" s="401"/>
      <c r="G121" s="401"/>
      <c r="H121" s="401"/>
      <c r="I121" s="46"/>
      <c r="J121" s="46"/>
      <c r="K121" s="46"/>
      <c r="L121" s="46"/>
      <c r="M121" s="46"/>
      <c r="N121" s="46"/>
      <c r="O121" s="46"/>
      <c r="P121" s="46"/>
      <c r="Q121" s="46"/>
      <c r="R121" s="46"/>
      <c r="S121" s="46"/>
      <c r="T121" s="46"/>
      <c r="U121" s="46"/>
      <c r="V121" s="46"/>
      <c r="W121" s="46"/>
      <c r="X121" s="46"/>
      <c r="Y121" s="46"/>
      <c r="Z121" s="46"/>
    </row>
    <row r="122" spans="1:26" x14ac:dyDescent="0.25">
      <c r="A122" s="293"/>
      <c r="B122" s="293"/>
      <c r="C122" s="479" t="str">
        <f>IF(MAX('Workload Planner'!C14,'Workload Planner'!C23,'Workload Planner'!C54,'Workload Planner'!C70,'Workload Planner'!C87,'Workload Planner'!C102,'Workload Planner'!C109)&gt;64,"⚠ WARNING: A volume exceeds 64 TB! Split into smaller volumes.","✓ All volumes within 64 TB limit.")</f>
        <v>✓ All volumes within 64 TB limit.</v>
      </c>
      <c r="D122" s="401"/>
      <c r="E122" s="401"/>
      <c r="F122" s="401"/>
      <c r="G122" s="401"/>
      <c r="H122" s="401"/>
      <c r="I122" s="46"/>
      <c r="J122" s="46"/>
      <c r="K122" s="46"/>
      <c r="L122" s="46"/>
      <c r="M122" s="46"/>
      <c r="N122" s="46"/>
      <c r="O122" s="46"/>
      <c r="P122" s="46"/>
      <c r="Q122" s="46"/>
      <c r="R122" s="46"/>
      <c r="S122" s="46"/>
      <c r="T122" s="46"/>
      <c r="U122" s="46"/>
      <c r="V122" s="46"/>
      <c r="W122" s="46"/>
      <c r="X122" s="46"/>
      <c r="Y122" s="46"/>
      <c r="Z122" s="46"/>
    </row>
    <row r="123" spans="1:26" x14ac:dyDescent="0.25">
      <c r="A123" s="293"/>
      <c r="B123" s="293"/>
      <c r="C123" s="293"/>
      <c r="D123" s="293"/>
      <c r="E123" s="293"/>
      <c r="F123" s="293"/>
      <c r="G123" s="293"/>
      <c r="H123" s="293"/>
      <c r="I123" s="46"/>
      <c r="J123" s="46"/>
      <c r="K123" s="46"/>
      <c r="L123" s="46"/>
      <c r="M123" s="46"/>
      <c r="N123" s="46"/>
      <c r="O123" s="46"/>
      <c r="P123" s="46"/>
      <c r="Q123" s="46"/>
      <c r="R123" s="46"/>
      <c r="S123" s="46"/>
      <c r="T123" s="46"/>
      <c r="U123" s="46"/>
      <c r="V123" s="46"/>
      <c r="W123" s="46"/>
      <c r="X123" s="46"/>
      <c r="Y123" s="46"/>
      <c r="Z123" s="46"/>
    </row>
    <row r="124" spans="1:26" x14ac:dyDescent="0.25">
      <c r="A124" s="293"/>
      <c r="B124" s="480" t="s">
        <v>557</v>
      </c>
      <c r="C124" s="481"/>
      <c r="D124" s="481"/>
      <c r="E124" s="481"/>
      <c r="F124" s="481"/>
      <c r="G124" s="481"/>
      <c r="H124" s="481"/>
      <c r="I124" s="46"/>
      <c r="J124" s="46"/>
      <c r="K124" s="46"/>
      <c r="L124" s="46"/>
      <c r="M124" s="46"/>
      <c r="N124" s="46"/>
      <c r="O124" s="46"/>
      <c r="P124" s="46"/>
      <c r="Q124" s="46"/>
      <c r="R124" s="46"/>
      <c r="S124" s="46"/>
      <c r="T124" s="46"/>
      <c r="U124" s="46"/>
      <c r="V124" s="46"/>
      <c r="W124" s="46"/>
      <c r="X124" s="46"/>
      <c r="Y124" s="46"/>
      <c r="Z124" s="46"/>
    </row>
    <row r="125" spans="1:26" x14ac:dyDescent="0.25">
      <c r="A125" s="293"/>
      <c r="B125" s="279" t="s">
        <v>558</v>
      </c>
      <c r="C125" s="293"/>
      <c r="D125" s="293"/>
      <c r="E125" s="293"/>
      <c r="F125" s="293"/>
      <c r="G125" s="293"/>
      <c r="H125" s="293"/>
      <c r="I125" s="46"/>
      <c r="J125" s="46"/>
      <c r="K125" s="46"/>
      <c r="L125" s="46"/>
      <c r="M125" s="46"/>
      <c r="N125" s="46"/>
      <c r="O125" s="46"/>
      <c r="P125" s="46"/>
      <c r="Q125" s="46"/>
      <c r="R125" s="46"/>
      <c r="S125" s="46"/>
      <c r="T125" s="46"/>
      <c r="U125" s="46"/>
      <c r="V125" s="46"/>
      <c r="W125" s="46"/>
      <c r="X125" s="46"/>
      <c r="Y125" s="46"/>
      <c r="Z125" s="46"/>
    </row>
    <row r="126" spans="1:26" x14ac:dyDescent="0.25">
      <c r="A126" s="293"/>
      <c r="B126" s="139" t="s">
        <v>559</v>
      </c>
      <c r="C126" s="482">
        <f>'Hardware Inputs'!C29</f>
        <v>32</v>
      </c>
      <c r="D126" s="139" t="s">
        <v>473</v>
      </c>
      <c r="E126" s="293"/>
      <c r="F126" s="293"/>
      <c r="G126" s="293"/>
      <c r="H126" s="293"/>
      <c r="I126" s="46"/>
      <c r="J126" s="46"/>
      <c r="K126" s="46"/>
      <c r="L126" s="46"/>
      <c r="M126" s="46"/>
      <c r="N126" s="46"/>
      <c r="O126" s="46"/>
      <c r="P126" s="46"/>
      <c r="Q126" s="46"/>
      <c r="R126" s="46"/>
      <c r="S126" s="46"/>
      <c r="T126" s="46"/>
      <c r="U126" s="46"/>
      <c r="V126" s="46"/>
      <c r="W126" s="46"/>
      <c r="X126" s="46"/>
      <c r="Y126" s="46"/>
      <c r="Z126" s="46"/>
    </row>
    <row r="127" spans="1:26" x14ac:dyDescent="0.25">
      <c r="A127" s="293"/>
      <c r="B127" s="139" t="s">
        <v>560</v>
      </c>
      <c r="C127" s="482" t="str">
        <f>'Hardware Inputs'!C30</f>
        <v>Yes</v>
      </c>
      <c r="D127" s="293"/>
      <c r="E127" s="293"/>
      <c r="F127" s="293"/>
      <c r="G127" s="293"/>
      <c r="H127" s="293"/>
      <c r="I127" s="46"/>
      <c r="J127" s="46"/>
      <c r="K127" s="46"/>
      <c r="L127" s="46"/>
      <c r="M127" s="46"/>
      <c r="N127" s="46"/>
      <c r="O127" s="46"/>
      <c r="P127" s="46"/>
      <c r="Q127" s="46"/>
      <c r="R127" s="46"/>
      <c r="S127" s="46"/>
      <c r="T127" s="46"/>
      <c r="U127" s="46"/>
      <c r="V127" s="46"/>
      <c r="W127" s="46"/>
      <c r="X127" s="46"/>
      <c r="Y127" s="46"/>
      <c r="Z127" s="46"/>
    </row>
    <row r="128" spans="1:26" x14ac:dyDescent="0.25">
      <c r="A128" s="46"/>
      <c r="B128" s="139" t="s">
        <v>561</v>
      </c>
      <c r="C128" s="289">
        <f>'Hardware Inputs'!C35</f>
        <v>64</v>
      </c>
      <c r="D128" s="139" t="s">
        <v>484</v>
      </c>
      <c r="E128" s="46"/>
      <c r="F128" s="46"/>
      <c r="G128" s="46"/>
      <c r="H128" s="46"/>
      <c r="I128" s="46"/>
      <c r="J128" s="46"/>
      <c r="K128" s="46"/>
      <c r="L128" s="46"/>
      <c r="M128" s="46"/>
      <c r="N128" s="46"/>
      <c r="O128" s="46"/>
      <c r="P128" s="46"/>
      <c r="Q128" s="46"/>
      <c r="R128" s="46"/>
      <c r="S128" s="46"/>
      <c r="T128" s="46"/>
      <c r="U128" s="46"/>
      <c r="V128" s="46"/>
      <c r="W128" s="46"/>
      <c r="X128" s="46"/>
      <c r="Y128" s="46"/>
      <c r="Z128" s="46"/>
    </row>
    <row r="129" spans="1:26" x14ac:dyDescent="0.25">
      <c r="A129" s="46"/>
      <c r="B129" s="139" t="s">
        <v>562</v>
      </c>
      <c r="C129" s="482">
        <f>'Hardware Inputs'!C31</f>
        <v>256</v>
      </c>
      <c r="D129" s="139" t="s">
        <v>563</v>
      </c>
      <c r="E129" s="134" t="str">
        <f>"("&amp;'Hardware Inputs'!C32&amp;" GB reserved for host OS)"</f>
        <v>(32 GB reserved for host OS)</v>
      </c>
      <c r="F129" s="46"/>
      <c r="G129" s="46"/>
      <c r="H129" s="46"/>
      <c r="I129" s="46"/>
      <c r="J129" s="46"/>
      <c r="K129" s="46"/>
      <c r="L129" s="46"/>
      <c r="M129" s="46"/>
      <c r="N129" s="46"/>
      <c r="O129" s="46"/>
      <c r="P129" s="46"/>
      <c r="Q129" s="46"/>
      <c r="R129" s="46"/>
      <c r="S129" s="46"/>
      <c r="T129" s="46"/>
      <c r="U129" s="46"/>
      <c r="V129" s="46"/>
      <c r="W129" s="46"/>
      <c r="X129" s="46"/>
      <c r="Y129" s="46"/>
      <c r="Z129" s="46"/>
    </row>
    <row r="130" spans="1:26" x14ac:dyDescent="0.25">
      <c r="A130" s="46"/>
      <c r="B130" s="139" t="s">
        <v>564</v>
      </c>
      <c r="C130" s="289">
        <f>'Hardware Inputs'!C36</f>
        <v>224</v>
      </c>
      <c r="D130" s="139" t="s">
        <v>126</v>
      </c>
      <c r="E130" s="46"/>
      <c r="F130" s="46"/>
      <c r="G130" s="46"/>
      <c r="H130" s="46"/>
      <c r="I130" s="46"/>
      <c r="J130" s="46"/>
      <c r="K130" s="46"/>
      <c r="L130" s="46"/>
      <c r="M130" s="46"/>
      <c r="N130" s="46"/>
      <c r="O130" s="46"/>
      <c r="P130" s="46"/>
      <c r="Q130" s="46"/>
      <c r="R130" s="46"/>
      <c r="S130" s="46"/>
      <c r="T130" s="46"/>
      <c r="U130" s="46"/>
      <c r="V130" s="46"/>
      <c r="W130" s="46"/>
      <c r="X130" s="46"/>
      <c r="Y130" s="46"/>
      <c r="Z130" s="46"/>
    </row>
    <row r="131" spans="1:26" x14ac:dyDescent="0.25">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spans="1:26" x14ac:dyDescent="0.25">
      <c r="A132" s="46"/>
      <c r="B132" s="279" t="s">
        <v>565</v>
      </c>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spans="1:26" x14ac:dyDescent="0.25">
      <c r="A133" s="46"/>
      <c r="B133" s="139" t="s">
        <v>566</v>
      </c>
      <c r="C133" s="483">
        <f>'Hardware Inputs'!C37</f>
        <v>192</v>
      </c>
      <c r="D133" s="139" t="s">
        <v>484</v>
      </c>
      <c r="E133" s="134" t="str">
        <f>'Hardware Inputs'!C8&amp;" nodes × "&amp;'Hardware Inputs'!C35&amp;" vCPU"</f>
        <v>3 nodes × 64 vCPU</v>
      </c>
      <c r="F133" s="46"/>
      <c r="G133" s="46"/>
      <c r="H133" s="46"/>
      <c r="I133" s="46"/>
      <c r="J133" s="46"/>
      <c r="K133" s="46"/>
      <c r="L133" s="46"/>
      <c r="M133" s="46"/>
      <c r="N133" s="46"/>
      <c r="O133" s="46"/>
      <c r="P133" s="46"/>
      <c r="Q133" s="46"/>
      <c r="R133" s="46"/>
      <c r="S133" s="46"/>
      <c r="T133" s="46"/>
      <c r="U133" s="46"/>
      <c r="V133" s="46"/>
      <c r="W133" s="46"/>
      <c r="X133" s="46"/>
      <c r="Y133" s="46"/>
      <c r="Z133" s="46"/>
    </row>
    <row r="134" spans="1:26" x14ac:dyDescent="0.25">
      <c r="A134" s="46"/>
      <c r="B134" s="139" t="s">
        <v>567</v>
      </c>
      <c r="C134" s="483">
        <f>'Hardware Inputs'!C38</f>
        <v>672</v>
      </c>
      <c r="D134" s="139" t="s">
        <v>126</v>
      </c>
      <c r="E134" s="134" t="str">
        <f>'Hardware Inputs'!C8&amp;" nodes × "&amp;'Hardware Inputs'!C36&amp;" GB"</f>
        <v>3 nodes × 224 GB</v>
      </c>
      <c r="F134" s="46"/>
      <c r="G134" s="46"/>
      <c r="H134" s="46"/>
      <c r="I134" s="46"/>
      <c r="J134" s="46"/>
      <c r="K134" s="46"/>
      <c r="L134" s="46"/>
      <c r="M134" s="46"/>
      <c r="N134" s="46"/>
      <c r="O134" s="46"/>
      <c r="P134" s="46"/>
      <c r="Q134" s="46"/>
      <c r="R134" s="46"/>
      <c r="S134" s="46"/>
      <c r="T134" s="46"/>
      <c r="U134" s="46"/>
      <c r="V134" s="46"/>
      <c r="W134" s="46"/>
      <c r="X134" s="46"/>
      <c r="Y134" s="46"/>
      <c r="Z134" s="46"/>
    </row>
    <row r="135" spans="1:26" x14ac:dyDescent="0.25">
      <c r="A135" s="46"/>
      <c r="B135" s="484" t="s">
        <v>568</v>
      </c>
      <c r="C135" s="485">
        <f>'Hardware Inputs'!C39</f>
        <v>128</v>
      </c>
      <c r="D135" s="486" t="s">
        <v>484</v>
      </c>
      <c r="E135" s="46"/>
      <c r="F135" s="46"/>
      <c r="G135" s="46"/>
      <c r="H135" s="46"/>
      <c r="I135" s="46"/>
      <c r="J135" s="46"/>
      <c r="K135" s="46"/>
      <c r="L135" s="46"/>
      <c r="M135" s="46"/>
      <c r="N135" s="46"/>
      <c r="O135" s="46"/>
      <c r="P135" s="46"/>
      <c r="Q135" s="46"/>
      <c r="R135" s="46"/>
      <c r="S135" s="46"/>
      <c r="T135" s="46"/>
      <c r="U135" s="46"/>
      <c r="V135" s="46"/>
      <c r="W135" s="46"/>
      <c r="X135" s="46"/>
      <c r="Y135" s="46"/>
      <c r="Z135" s="46"/>
    </row>
    <row r="136" spans="1:26" x14ac:dyDescent="0.25">
      <c r="A136" s="46"/>
      <c r="B136" s="484" t="s">
        <v>569</v>
      </c>
      <c r="C136" s="485">
        <f>'Hardware Inputs'!C40</f>
        <v>448</v>
      </c>
      <c r="D136" s="486" t="s">
        <v>126</v>
      </c>
      <c r="E136" s="46"/>
      <c r="F136" s="46"/>
      <c r="G136" s="46"/>
      <c r="H136" s="46"/>
      <c r="I136" s="46"/>
      <c r="J136" s="46"/>
      <c r="K136" s="46"/>
      <c r="L136" s="46"/>
      <c r="M136" s="46"/>
      <c r="N136" s="46"/>
      <c r="O136" s="46"/>
      <c r="P136" s="46"/>
      <c r="Q136" s="46"/>
      <c r="R136" s="46"/>
      <c r="S136" s="46"/>
      <c r="T136" s="46"/>
      <c r="U136" s="46"/>
      <c r="V136" s="46"/>
      <c r="W136" s="46"/>
      <c r="X136" s="46"/>
      <c r="Y136" s="46"/>
      <c r="Z136" s="46"/>
    </row>
    <row r="137" spans="1:26" x14ac:dyDescent="0.25">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spans="1:26" x14ac:dyDescent="0.25">
      <c r="A138" s="46"/>
      <c r="B138" s="279" t="s">
        <v>570</v>
      </c>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spans="1:26" x14ac:dyDescent="0.25">
      <c r="A139" s="46"/>
      <c r="B139" s="358" t="s">
        <v>431</v>
      </c>
      <c r="C139" s="359" t="s">
        <v>484</v>
      </c>
      <c r="D139" s="359" t="s">
        <v>571</v>
      </c>
      <c r="E139" s="359" t="s">
        <v>648</v>
      </c>
      <c r="F139" s="359" t="s">
        <v>647</v>
      </c>
      <c r="G139" s="46"/>
      <c r="H139" s="46"/>
      <c r="I139" s="46"/>
      <c r="J139" s="46"/>
      <c r="K139" s="46"/>
      <c r="L139" s="46"/>
      <c r="M139" s="46"/>
      <c r="N139" s="46"/>
      <c r="O139" s="46"/>
      <c r="P139" s="46"/>
      <c r="Q139" s="46"/>
      <c r="R139" s="46"/>
      <c r="S139" s="46"/>
      <c r="T139" s="46"/>
      <c r="U139" s="46"/>
      <c r="V139" s="46"/>
      <c r="W139" s="46"/>
      <c r="X139" s="46"/>
      <c r="Y139" s="46"/>
      <c r="Z139" s="46"/>
    </row>
    <row r="140" spans="1:26" x14ac:dyDescent="0.25">
      <c r="A140" s="46"/>
      <c r="B140" s="360" t="s">
        <v>622</v>
      </c>
      <c r="C140" s="361">
        <f>'Workload Planner'!C35</f>
        <v>256</v>
      </c>
      <c r="D140" s="361">
        <f>'Workload Planner'!C36</f>
        <v>1024</v>
      </c>
      <c r="E140" s="361" t="str">
        <f>'Workload Planner'!C29</f>
        <v>4:1</v>
      </c>
      <c r="F140" s="361">
        <f>'Workload Planner'!C37</f>
        <v>64</v>
      </c>
      <c r="G140" s="46"/>
      <c r="H140" s="46"/>
      <c r="I140" s="46"/>
      <c r="J140" s="46"/>
      <c r="K140" s="46"/>
      <c r="L140" s="46"/>
      <c r="M140" s="46"/>
      <c r="N140" s="46"/>
      <c r="O140" s="46"/>
      <c r="P140" s="46"/>
      <c r="Q140" s="46"/>
      <c r="R140" s="46"/>
      <c r="S140" s="46"/>
      <c r="T140" s="46"/>
      <c r="U140" s="46"/>
      <c r="V140" s="46"/>
      <c r="W140" s="46"/>
      <c r="X140" s="46"/>
      <c r="Y140" s="46"/>
      <c r="Z140" s="46"/>
    </row>
    <row r="141" spans="1:26" x14ac:dyDescent="0.25">
      <c r="A141" s="46"/>
      <c r="B141" s="362" t="s">
        <v>573</v>
      </c>
      <c r="C141" s="363">
        <f>'Workload Planner'!C62</f>
        <v>0</v>
      </c>
      <c r="D141" s="363">
        <f>IF('Workload Planner'!C44="No",0,('Workload Planner'!C47*'Workload Planner'!C58)+('Workload Planner'!C48*'Workload Planner'!C60))</f>
        <v>0</v>
      </c>
      <c r="E141" s="363" t="str">
        <f>'Workload Planner'!C61</f>
        <v>4:1</v>
      </c>
      <c r="F141" s="363">
        <f>'Workload Planner'!C63</f>
        <v>0</v>
      </c>
      <c r="G141" s="46"/>
      <c r="H141" s="46"/>
      <c r="I141" s="46"/>
      <c r="J141" s="46"/>
      <c r="K141" s="46"/>
      <c r="L141" s="46"/>
      <c r="M141" s="46"/>
      <c r="N141" s="46"/>
      <c r="O141" s="46"/>
      <c r="P141" s="46"/>
      <c r="Q141" s="46"/>
      <c r="R141" s="46"/>
      <c r="S141" s="46"/>
      <c r="T141" s="46"/>
      <c r="U141" s="46"/>
      <c r="V141" s="46"/>
      <c r="W141" s="46"/>
      <c r="X141" s="46"/>
      <c r="Y141" s="46"/>
      <c r="Z141" s="46"/>
    </row>
    <row r="142" spans="1:26" x14ac:dyDescent="0.25">
      <c r="A142" s="46"/>
      <c r="B142" s="360" t="s">
        <v>574</v>
      </c>
      <c r="C142" s="361">
        <f>'Workload Planner'!C76</f>
        <v>0</v>
      </c>
      <c r="D142" s="361">
        <f>IF('Workload Planner'!C66="No",0,'Workload Planner'!C67*'Workload Planner'!C74)</f>
        <v>0</v>
      </c>
      <c r="E142" s="361" t="str">
        <f>'Workload Planner'!C75</f>
        <v>4:1</v>
      </c>
      <c r="F142" s="361">
        <f>'Workload Planner'!C77</f>
        <v>0</v>
      </c>
      <c r="G142" s="46"/>
      <c r="H142" s="46"/>
      <c r="I142" s="46"/>
      <c r="J142" s="46"/>
      <c r="K142" s="46"/>
      <c r="L142" s="46"/>
      <c r="M142" s="46"/>
      <c r="N142" s="46"/>
      <c r="O142" s="46"/>
      <c r="P142" s="46"/>
      <c r="Q142" s="46"/>
      <c r="R142" s="46"/>
      <c r="S142" s="46"/>
      <c r="T142" s="46"/>
      <c r="U142" s="46"/>
      <c r="V142" s="46"/>
      <c r="W142" s="46"/>
      <c r="X142" s="46"/>
      <c r="Y142" s="46"/>
      <c r="Z142" s="46"/>
    </row>
    <row r="143" spans="1:26" x14ac:dyDescent="0.25">
      <c r="A143" s="46"/>
      <c r="B143" s="364" t="s">
        <v>575</v>
      </c>
      <c r="C143" s="365">
        <f>'Workload Planner'!C93</f>
        <v>0</v>
      </c>
      <c r="D143" s="365">
        <f>IF('Workload Planner'!C83="No",0,'Workload Planner'!C84*'Workload Planner'!C91)</f>
        <v>0</v>
      </c>
      <c r="E143" s="365" t="str">
        <f>'Workload Planner'!C92</f>
        <v>4:1</v>
      </c>
      <c r="F143" s="365">
        <f>'Workload Planner'!C94</f>
        <v>0</v>
      </c>
      <c r="G143" s="46"/>
      <c r="H143" s="46"/>
      <c r="I143" s="46"/>
      <c r="J143" s="46"/>
      <c r="K143" s="46"/>
      <c r="L143" s="46"/>
      <c r="M143" s="46"/>
      <c r="N143" s="46"/>
      <c r="O143" s="46"/>
      <c r="P143" s="46"/>
      <c r="Q143" s="46"/>
      <c r="R143" s="46"/>
      <c r="S143" s="46"/>
      <c r="T143" s="46"/>
      <c r="U143" s="46"/>
      <c r="V143" s="46"/>
      <c r="W143" s="46"/>
      <c r="X143" s="46"/>
      <c r="Y143" s="46"/>
      <c r="Z143" s="46"/>
    </row>
    <row r="144" spans="1:26" ht="15.75" thickBot="1" x14ac:dyDescent="0.3">
      <c r="A144" s="46"/>
      <c r="B144" s="366" t="s">
        <v>897</v>
      </c>
      <c r="C144" s="368">
        <f>'SOFS Planner'!C43</f>
        <v>24</v>
      </c>
      <c r="D144" s="368">
        <f>'SOFS Planner'!C44</f>
        <v>48</v>
      </c>
      <c r="E144" s="369">
        <v>4.2361111111111113E-2</v>
      </c>
      <c r="F144" s="368">
        <f>C144</f>
        <v>24</v>
      </c>
      <c r="G144" s="46"/>
      <c r="H144" s="46"/>
      <c r="I144" s="46"/>
      <c r="J144" s="46"/>
      <c r="K144" s="46"/>
      <c r="L144" s="46"/>
      <c r="M144" s="46"/>
      <c r="N144" s="46"/>
      <c r="O144" s="46"/>
      <c r="P144" s="46"/>
      <c r="Q144" s="46"/>
      <c r="R144" s="46"/>
      <c r="S144" s="46"/>
      <c r="T144" s="46"/>
      <c r="U144" s="46"/>
      <c r="V144" s="46"/>
      <c r="W144" s="46"/>
      <c r="X144" s="46"/>
      <c r="Y144" s="46"/>
      <c r="Z144" s="46"/>
    </row>
    <row r="145" spans="1:26" x14ac:dyDescent="0.25">
      <c r="A145" s="46"/>
      <c r="B145" s="370" t="s">
        <v>275</v>
      </c>
      <c r="C145" s="487">
        <f>SUM(C140:C144)</f>
        <v>280</v>
      </c>
      <c r="D145" s="487">
        <f>SUM(D140:D144)</f>
        <v>1072</v>
      </c>
      <c r="E145" s="371"/>
      <c r="F145" s="487">
        <f>SUM(F140:F144)</f>
        <v>88</v>
      </c>
      <c r="G145" s="46"/>
      <c r="H145" s="46"/>
      <c r="I145" s="46"/>
      <c r="J145" s="46"/>
      <c r="K145" s="46"/>
      <c r="L145" s="46"/>
      <c r="M145" s="46"/>
      <c r="N145" s="46"/>
      <c r="O145" s="46"/>
      <c r="P145" s="46"/>
      <c r="Q145" s="46"/>
      <c r="R145" s="46"/>
      <c r="S145" s="46"/>
      <c r="T145" s="46"/>
      <c r="U145" s="46"/>
      <c r="V145" s="46"/>
      <c r="W145" s="46"/>
      <c r="X145" s="46"/>
      <c r="Y145" s="46"/>
      <c r="Z145" s="46"/>
    </row>
    <row r="146" spans="1:26" x14ac:dyDescent="0.25">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spans="1:26" x14ac:dyDescent="0.25">
      <c r="A147" s="46"/>
      <c r="B147" s="279" t="s">
        <v>576</v>
      </c>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spans="1:26" x14ac:dyDescent="0.25">
      <c r="A148" s="46"/>
      <c r="B148" s="358" t="s">
        <v>577</v>
      </c>
      <c r="C148" s="359" t="s">
        <v>402</v>
      </c>
      <c r="D148" s="359" t="s">
        <v>578</v>
      </c>
      <c r="E148" s="46"/>
      <c r="F148" s="46"/>
      <c r="G148" s="46"/>
      <c r="H148" s="46"/>
      <c r="I148" s="46"/>
      <c r="J148" s="46"/>
      <c r="K148" s="46"/>
      <c r="L148" s="46"/>
      <c r="M148" s="46"/>
      <c r="N148" s="46"/>
      <c r="O148" s="46"/>
      <c r="P148" s="46"/>
      <c r="Q148" s="46"/>
      <c r="R148" s="46"/>
      <c r="S148" s="46"/>
      <c r="T148" s="46"/>
      <c r="U148" s="46"/>
      <c r="V148" s="46"/>
      <c r="W148" s="46"/>
      <c r="X148" s="46"/>
      <c r="Y148" s="46"/>
      <c r="Z148" s="46"/>
    </row>
    <row r="149" spans="1:26" x14ac:dyDescent="0.25">
      <c r="A149" s="46"/>
      <c r="B149" s="360" t="s">
        <v>649</v>
      </c>
      <c r="C149" s="378" t="str">
        <f>IF(F145&lt;=C133,"PASS","FAIL")</f>
        <v>PASS</v>
      </c>
      <c r="D149" s="361" t="str">
        <f>F145&amp;" of "&amp;C133&amp;" vCPU ("&amp;ROUND(F145/C133*100,0)&amp;"%)"</f>
        <v>88 of 192 vCPU (46%)</v>
      </c>
      <c r="E149" s="46"/>
      <c r="F149" s="46"/>
      <c r="G149" s="46"/>
      <c r="H149" s="46"/>
      <c r="I149" s="46"/>
      <c r="J149" s="46"/>
      <c r="K149" s="46"/>
      <c r="L149" s="46"/>
      <c r="M149" s="46"/>
      <c r="N149" s="46"/>
      <c r="O149" s="46"/>
      <c r="P149" s="46"/>
      <c r="Q149" s="46"/>
      <c r="R149" s="46"/>
      <c r="S149" s="46"/>
      <c r="T149" s="46"/>
      <c r="U149" s="46"/>
      <c r="V149" s="46"/>
      <c r="W149" s="46"/>
      <c r="X149" s="46"/>
      <c r="Y149" s="46"/>
      <c r="Z149" s="46"/>
    </row>
    <row r="150" spans="1:26" x14ac:dyDescent="0.25">
      <c r="A150" s="46"/>
      <c r="B150" s="362" t="s">
        <v>644</v>
      </c>
      <c r="C150" s="380" t="str">
        <f>IF(D145&lt;=C134,"PASS","FAIL")</f>
        <v>FAIL</v>
      </c>
      <c r="D150" s="363" t="str">
        <f>D145&amp;" of "&amp;C134&amp;" GB ("&amp;ROUND(D145/C134*100,0)&amp;"%)"</f>
        <v>1072 of 672 GB (160%)</v>
      </c>
      <c r="E150" s="46"/>
      <c r="F150" s="46"/>
      <c r="G150" s="46"/>
      <c r="H150" s="46"/>
      <c r="I150" s="46"/>
      <c r="J150" s="46"/>
      <c r="K150" s="46"/>
      <c r="L150" s="46"/>
      <c r="M150" s="46"/>
      <c r="N150" s="46"/>
      <c r="O150" s="46"/>
      <c r="P150" s="46"/>
      <c r="Q150" s="46"/>
      <c r="R150" s="46"/>
      <c r="S150" s="46"/>
      <c r="T150" s="46"/>
      <c r="U150" s="46"/>
      <c r="V150" s="46"/>
      <c r="W150" s="46"/>
      <c r="X150" s="46"/>
      <c r="Y150" s="46"/>
      <c r="Z150" s="46"/>
    </row>
    <row r="151" spans="1:26" x14ac:dyDescent="0.25">
      <c r="A151" s="46"/>
      <c r="B151" s="237" t="s">
        <v>645</v>
      </c>
      <c r="C151" s="383" t="str">
        <f>IF(F145&lt;=C135,"PASS","FAIL")</f>
        <v>PASS</v>
      </c>
      <c r="D151" s="381" t="str">
        <f>F145&amp;" of "&amp;C135&amp;" vCPU ("&amp;ROUND(F145/C135*100,0)&amp;"%)"</f>
        <v>88 of 128 vCPU (69%)</v>
      </c>
      <c r="E151" s="46"/>
      <c r="F151" s="46"/>
      <c r="G151" s="46"/>
      <c r="H151" s="46"/>
      <c r="I151" s="46"/>
      <c r="J151" s="46"/>
      <c r="K151" s="46"/>
      <c r="L151" s="46"/>
      <c r="M151" s="46"/>
      <c r="N151" s="46"/>
      <c r="O151" s="46"/>
      <c r="P151" s="46"/>
      <c r="Q151" s="46"/>
      <c r="R151" s="46"/>
      <c r="S151" s="46"/>
      <c r="T151" s="46"/>
      <c r="U151" s="46"/>
      <c r="V151" s="46"/>
      <c r="W151" s="46"/>
      <c r="X151" s="46"/>
      <c r="Y151" s="46"/>
      <c r="Z151" s="46"/>
    </row>
    <row r="152" spans="1:26" x14ac:dyDescent="0.25">
      <c r="A152" s="46"/>
      <c r="B152" s="237" t="s">
        <v>646</v>
      </c>
      <c r="C152" s="383" t="str">
        <f>IF(D145&lt;=C136,"PASS","FAIL")</f>
        <v>FAIL</v>
      </c>
      <c r="D152" s="381" t="str">
        <f>D145&amp;" of "&amp;C136&amp;" GB ("&amp;ROUND(D145/C136*100,0)&amp;"%)"</f>
        <v>1072 of 448 GB (239%)</v>
      </c>
      <c r="E152" s="46"/>
      <c r="F152" s="46"/>
      <c r="G152" s="46"/>
      <c r="H152" s="46"/>
      <c r="I152" s="46"/>
      <c r="J152" s="46"/>
      <c r="K152" s="46"/>
      <c r="L152" s="46"/>
      <c r="M152" s="46"/>
      <c r="N152" s="46"/>
      <c r="O152" s="46"/>
      <c r="P152" s="46"/>
      <c r="Q152" s="46"/>
      <c r="R152" s="46"/>
      <c r="S152" s="46"/>
      <c r="T152" s="46"/>
      <c r="U152" s="46"/>
      <c r="V152" s="46"/>
      <c r="W152" s="46"/>
      <c r="X152" s="46"/>
      <c r="Y152" s="46"/>
      <c r="Z152" s="46"/>
    </row>
    <row r="153" spans="1:26" x14ac:dyDescent="0.25">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spans="1:26" x14ac:dyDescent="0.25">
      <c r="A154" s="46"/>
      <c r="B154" s="279" t="s">
        <v>927</v>
      </c>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spans="1:26" x14ac:dyDescent="0.25">
      <c r="A155" s="46"/>
      <c r="B155" s="358" t="s">
        <v>581</v>
      </c>
      <c r="C155" s="359" t="s">
        <v>923</v>
      </c>
      <c r="D155" s="359" t="s">
        <v>924</v>
      </c>
      <c r="E155" s="359" t="s">
        <v>925</v>
      </c>
      <c r="F155" s="488" t="s">
        <v>553</v>
      </c>
      <c r="G155" s="46"/>
      <c r="H155" s="46"/>
      <c r="I155" s="46"/>
      <c r="J155" s="46"/>
      <c r="K155" s="46"/>
      <c r="L155" s="46"/>
      <c r="M155" s="46"/>
      <c r="N155" s="46"/>
      <c r="O155" s="46"/>
      <c r="P155" s="46"/>
      <c r="Q155" s="46"/>
      <c r="R155" s="46"/>
      <c r="S155" s="46"/>
      <c r="T155" s="46"/>
      <c r="U155" s="46"/>
      <c r="V155" s="46"/>
      <c r="W155" s="46"/>
      <c r="X155" s="46"/>
      <c r="Y155" s="46"/>
      <c r="Z155" s="46"/>
    </row>
    <row r="156" spans="1:26" x14ac:dyDescent="0.25">
      <c r="A156" s="46"/>
      <c r="B156" s="489" t="s">
        <v>582</v>
      </c>
      <c r="C156" s="361">
        <f>'Workload Planner'!C156</f>
        <v>256</v>
      </c>
      <c r="D156" s="378">
        <f>'Workload Planner'!D156</f>
        <v>280</v>
      </c>
      <c r="E156" s="378" t="str">
        <f>'Workload Planner'!E156</f>
        <v>✗ FAIL</v>
      </c>
      <c r="F156" s="490" t="str">
        <f>'Workload Planner'!F156</f>
        <v>✗ FAIL</v>
      </c>
      <c r="G156" s="46"/>
      <c r="H156" s="46"/>
      <c r="I156" s="46"/>
      <c r="J156" s="46"/>
      <c r="K156" s="46"/>
      <c r="L156" s="46"/>
      <c r="M156" s="46"/>
      <c r="N156" s="46"/>
      <c r="O156" s="46"/>
      <c r="P156" s="46"/>
      <c r="Q156" s="46"/>
      <c r="R156" s="46"/>
      <c r="S156" s="46"/>
      <c r="T156" s="46"/>
      <c r="U156" s="46"/>
      <c r="V156" s="46"/>
      <c r="W156" s="46"/>
      <c r="X156" s="46"/>
      <c r="Y156" s="46"/>
      <c r="Z156" s="46"/>
    </row>
    <row r="157" spans="1:26" x14ac:dyDescent="0.25">
      <c r="A157" s="46"/>
      <c r="B157" s="491" t="s">
        <v>583</v>
      </c>
      <c r="C157" s="363">
        <f>'Workload Planner'!C157</f>
        <v>128</v>
      </c>
      <c r="D157" s="380">
        <f>'Workload Planner'!D157</f>
        <v>152</v>
      </c>
      <c r="E157" s="380" t="str">
        <f>'Workload Planner'!E157</f>
        <v>✓ PASS</v>
      </c>
      <c r="F157" s="490" t="str">
        <f>'Workload Planner'!F157</f>
        <v>✗ FAIL</v>
      </c>
      <c r="G157" s="46"/>
      <c r="H157" s="46"/>
      <c r="I157" s="46"/>
      <c r="J157" s="46"/>
      <c r="K157" s="46"/>
      <c r="L157" s="46"/>
      <c r="M157" s="46"/>
      <c r="N157" s="46"/>
      <c r="O157" s="46"/>
      <c r="P157" s="46"/>
      <c r="Q157" s="46"/>
      <c r="R157" s="46"/>
      <c r="S157" s="46"/>
      <c r="T157" s="46"/>
      <c r="U157" s="46"/>
      <c r="V157" s="46"/>
      <c r="W157" s="46"/>
      <c r="X157" s="46"/>
      <c r="Y157" s="46"/>
      <c r="Z157" s="46"/>
    </row>
    <row r="158" spans="1:26" x14ac:dyDescent="0.25">
      <c r="A158" s="46"/>
      <c r="B158" s="489" t="s">
        <v>584</v>
      </c>
      <c r="C158" s="361">
        <f>'Workload Planner'!C158</f>
        <v>85</v>
      </c>
      <c r="D158" s="378">
        <f>'Workload Planner'!D158</f>
        <v>109</v>
      </c>
      <c r="E158" s="378" t="str">
        <f>'Workload Planner'!E158</f>
        <v>✓ PASS</v>
      </c>
      <c r="F158" s="490" t="str">
        <f>'Workload Planner'!F158</f>
        <v>✓ PASS</v>
      </c>
      <c r="G158" s="46"/>
      <c r="H158" s="46"/>
      <c r="I158" s="46"/>
      <c r="J158" s="46"/>
      <c r="K158" s="46"/>
      <c r="L158" s="46"/>
      <c r="M158" s="46"/>
      <c r="N158" s="46"/>
      <c r="O158" s="46"/>
      <c r="P158" s="46"/>
      <c r="Q158" s="46"/>
      <c r="R158" s="46"/>
      <c r="S158" s="46"/>
      <c r="T158" s="46"/>
      <c r="U158" s="46"/>
      <c r="V158" s="46"/>
      <c r="W158" s="46"/>
      <c r="X158" s="46"/>
      <c r="Y158" s="46"/>
      <c r="Z158" s="46"/>
    </row>
    <row r="159" spans="1:26" x14ac:dyDescent="0.25">
      <c r="A159" s="46"/>
      <c r="B159" s="491" t="s">
        <v>515</v>
      </c>
      <c r="C159" s="363">
        <f>'Workload Planner'!C159</f>
        <v>64</v>
      </c>
      <c r="D159" s="380">
        <f>'Workload Planner'!D159</f>
        <v>88</v>
      </c>
      <c r="E159" s="380" t="str">
        <f>'Workload Planner'!E159</f>
        <v>✓ PASS</v>
      </c>
      <c r="F159" s="490" t="str">
        <f>'Workload Planner'!F159</f>
        <v>✓ PASS</v>
      </c>
      <c r="G159" s="46"/>
      <c r="H159" s="46"/>
      <c r="I159" s="46"/>
      <c r="J159" s="46"/>
      <c r="K159" s="46"/>
      <c r="L159" s="46"/>
      <c r="M159" s="46"/>
      <c r="N159" s="46"/>
      <c r="O159" s="46"/>
      <c r="P159" s="46"/>
      <c r="Q159" s="46"/>
      <c r="R159" s="46"/>
      <c r="S159" s="46"/>
      <c r="T159" s="46"/>
      <c r="U159" s="46"/>
      <c r="V159" s="46"/>
      <c r="W159" s="46"/>
      <c r="X159" s="46"/>
      <c r="Y159" s="46"/>
      <c r="Z159" s="46"/>
    </row>
    <row r="160" spans="1:26" x14ac:dyDescent="0.25">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spans="1:26" x14ac:dyDescent="0.25">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spans="1:26" x14ac:dyDescent="0.25">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spans="1:26" x14ac:dyDescent="0.25">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spans="1:26" x14ac:dyDescent="0.25">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spans="1:26" x14ac:dyDescent="0.2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spans="1:26" x14ac:dyDescent="0.25">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spans="1:26" x14ac:dyDescent="0.25">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spans="1:26" x14ac:dyDescent="0.25">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spans="1:26" x14ac:dyDescent="0.25">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spans="1:26" x14ac:dyDescent="0.25">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spans="1:26" x14ac:dyDescent="0.25">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spans="1:26" x14ac:dyDescent="0.25">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spans="1:26" x14ac:dyDescent="0.25">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spans="1:26" x14ac:dyDescent="0.25">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spans="1:26" x14ac:dyDescent="0.2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spans="1:26" x14ac:dyDescent="0.25">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spans="1:26" x14ac:dyDescent="0.25">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spans="1:26" x14ac:dyDescent="0.25">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spans="1:26" x14ac:dyDescent="0.25">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spans="1:26" x14ac:dyDescent="0.25">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spans="1:26" x14ac:dyDescent="0.25">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spans="1:26" x14ac:dyDescent="0.25">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spans="1:26" x14ac:dyDescent="0.25">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spans="1:26" x14ac:dyDescent="0.25">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spans="1:26" x14ac:dyDescent="0.2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spans="1:26" x14ac:dyDescent="0.25">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spans="1:26" x14ac:dyDescent="0.25">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spans="1:26" x14ac:dyDescent="0.25">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spans="1:26" x14ac:dyDescent="0.25">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spans="1:26" x14ac:dyDescent="0.25">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spans="1:26" x14ac:dyDescent="0.25">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spans="1:26" x14ac:dyDescent="0.25">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spans="1:26" x14ac:dyDescent="0.25">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spans="1:26" x14ac:dyDescent="0.25">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spans="1:26" x14ac:dyDescent="0.2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spans="1:26" x14ac:dyDescent="0.25">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spans="1:26" x14ac:dyDescent="0.25">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spans="1:26" x14ac:dyDescent="0.25">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spans="1:26" x14ac:dyDescent="0.25">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spans="1:26" x14ac:dyDescent="0.25">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spans="1:26" x14ac:dyDescent="0.25">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spans="1:26" x14ac:dyDescent="0.25">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spans="1:26" x14ac:dyDescent="0.25">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spans="1:26" x14ac:dyDescent="0.25">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spans="1:26" x14ac:dyDescent="0.2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spans="1:26" x14ac:dyDescent="0.25">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spans="1:26" x14ac:dyDescent="0.25">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spans="1:26" x14ac:dyDescent="0.25">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spans="1:26" x14ac:dyDescent="0.25">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spans="1:26" x14ac:dyDescent="0.25">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spans="1:26" x14ac:dyDescent="0.25">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spans="1:26" x14ac:dyDescent="0.25">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spans="1:26" x14ac:dyDescent="0.25">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spans="1:26" x14ac:dyDescent="0.25">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spans="1:26" x14ac:dyDescent="0.2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spans="1:26" x14ac:dyDescent="0.25">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spans="1:26" x14ac:dyDescent="0.25">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spans="1:26" x14ac:dyDescent="0.25">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spans="1:26" x14ac:dyDescent="0.25">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spans="1:26" x14ac:dyDescent="0.25">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spans="1:26" x14ac:dyDescent="0.25">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spans="1:26" x14ac:dyDescent="0.25">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spans="1:26" x14ac:dyDescent="0.25">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spans="1:26" x14ac:dyDescent="0.25">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spans="1:26" x14ac:dyDescent="0.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spans="1:26" x14ac:dyDescent="0.25">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spans="1:26" x14ac:dyDescent="0.25">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spans="1:26" x14ac:dyDescent="0.25">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spans="1:26" x14ac:dyDescent="0.25">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spans="1:26" x14ac:dyDescent="0.25">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spans="1:26" x14ac:dyDescent="0.25">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spans="1:26" x14ac:dyDescent="0.25">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spans="1:26" x14ac:dyDescent="0.25">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spans="1:26" x14ac:dyDescent="0.25">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spans="1:26" x14ac:dyDescent="0.2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spans="1:26" x14ac:dyDescent="0.25">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spans="1:26" x14ac:dyDescent="0.25">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spans="1:26" x14ac:dyDescent="0.25">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spans="1:26" x14ac:dyDescent="0.25">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spans="1:26" x14ac:dyDescent="0.25">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spans="1:26" x14ac:dyDescent="0.25">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spans="1:26" x14ac:dyDescent="0.25">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spans="1:26" x14ac:dyDescent="0.25">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spans="1:26" x14ac:dyDescent="0.25">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spans="1:26" x14ac:dyDescent="0.2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spans="1:26" x14ac:dyDescent="0.25">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spans="1:26" x14ac:dyDescent="0.25">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spans="1:26" x14ac:dyDescent="0.25">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spans="1:26" x14ac:dyDescent="0.25">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spans="1:26" x14ac:dyDescent="0.25">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spans="1:26" x14ac:dyDescent="0.25">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spans="1:26" x14ac:dyDescent="0.25">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spans="1:26" x14ac:dyDescent="0.25">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spans="1:26" x14ac:dyDescent="0.25">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spans="1:26" x14ac:dyDescent="0.2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spans="1:26" x14ac:dyDescent="0.25">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spans="1:26" x14ac:dyDescent="0.25">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spans="1:26" x14ac:dyDescent="0.25">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spans="1:26" x14ac:dyDescent="0.25">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spans="1:26" x14ac:dyDescent="0.25">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spans="1:26" x14ac:dyDescent="0.25">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spans="1:26" x14ac:dyDescent="0.25">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spans="1:26" x14ac:dyDescent="0.25">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spans="1:26" x14ac:dyDescent="0.25">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spans="1:26" x14ac:dyDescent="0.2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spans="1:26" x14ac:dyDescent="0.25">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spans="1:26" x14ac:dyDescent="0.25">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spans="1:26" x14ac:dyDescent="0.25">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spans="1:26" x14ac:dyDescent="0.25">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spans="1:26" x14ac:dyDescent="0.25">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spans="1:26" x14ac:dyDescent="0.25">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spans="1:26" x14ac:dyDescent="0.25">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spans="1:26" x14ac:dyDescent="0.25">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spans="1:26" x14ac:dyDescent="0.25">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spans="1:26" x14ac:dyDescent="0.2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spans="1:26" x14ac:dyDescent="0.25">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spans="1:26" x14ac:dyDescent="0.25">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spans="1:26" x14ac:dyDescent="0.25">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spans="1:26" x14ac:dyDescent="0.25">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spans="1:26" x14ac:dyDescent="0.25">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spans="1:26" x14ac:dyDescent="0.25">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spans="1:26" x14ac:dyDescent="0.25">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spans="1:26" x14ac:dyDescent="0.25">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spans="1:26" x14ac:dyDescent="0.25">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spans="1:26" x14ac:dyDescent="0.2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spans="1:26" x14ac:dyDescent="0.25">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spans="1:26" x14ac:dyDescent="0.25">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spans="1:26" x14ac:dyDescent="0.25">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spans="1:26" x14ac:dyDescent="0.25">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spans="1:26" x14ac:dyDescent="0.25">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spans="1:26" x14ac:dyDescent="0.25">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spans="1:26" x14ac:dyDescent="0.25">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spans="1:26" x14ac:dyDescent="0.25">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spans="1:26" x14ac:dyDescent="0.25">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spans="1:26" x14ac:dyDescent="0.2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spans="1:26" x14ac:dyDescent="0.25">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spans="1:26" x14ac:dyDescent="0.25">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spans="1:26" x14ac:dyDescent="0.25">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spans="1:26" x14ac:dyDescent="0.25">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spans="1:26" x14ac:dyDescent="0.25">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spans="1:26" x14ac:dyDescent="0.25">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spans="1:26" x14ac:dyDescent="0.25">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spans="1:26" x14ac:dyDescent="0.25">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spans="1:26" x14ac:dyDescent="0.25">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spans="1:26" x14ac:dyDescent="0.2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spans="1:26" x14ac:dyDescent="0.25">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spans="1:26" x14ac:dyDescent="0.25">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spans="1:26" x14ac:dyDescent="0.25">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spans="1:26" x14ac:dyDescent="0.25">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spans="1:26" x14ac:dyDescent="0.25">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spans="1:26" x14ac:dyDescent="0.25">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spans="1:26" x14ac:dyDescent="0.25">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spans="1:26" x14ac:dyDescent="0.25">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spans="1:26" x14ac:dyDescent="0.25">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spans="1:26" x14ac:dyDescent="0.2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spans="1:26" x14ac:dyDescent="0.25">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spans="1:26" x14ac:dyDescent="0.25">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spans="1:26" x14ac:dyDescent="0.25">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spans="1:26" x14ac:dyDescent="0.25">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spans="1:26" x14ac:dyDescent="0.25">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spans="1:26" x14ac:dyDescent="0.25">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spans="1:26" x14ac:dyDescent="0.25">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spans="1:26" x14ac:dyDescent="0.25">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spans="1:26" x14ac:dyDescent="0.25">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spans="1:26" x14ac:dyDescent="0.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spans="1:26" x14ac:dyDescent="0.25">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spans="1:26" x14ac:dyDescent="0.25">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spans="1:26" x14ac:dyDescent="0.25">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spans="1:26" x14ac:dyDescent="0.25">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spans="1:26" x14ac:dyDescent="0.25">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spans="1:26" x14ac:dyDescent="0.25">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spans="1:26" x14ac:dyDescent="0.25">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spans="1:26" x14ac:dyDescent="0.25">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spans="1:26" x14ac:dyDescent="0.25">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spans="1:26" x14ac:dyDescent="0.2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spans="1:26" x14ac:dyDescent="0.25">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spans="1:26" x14ac:dyDescent="0.25">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spans="1:26" x14ac:dyDescent="0.25">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spans="1:26" x14ac:dyDescent="0.25">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spans="1:26" x14ac:dyDescent="0.25">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spans="1:26" x14ac:dyDescent="0.25">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spans="1:26" x14ac:dyDescent="0.25">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spans="1:26" x14ac:dyDescent="0.25">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spans="1:26" x14ac:dyDescent="0.25">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spans="1:26" x14ac:dyDescent="0.2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spans="1:26" x14ac:dyDescent="0.25">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spans="1:26" x14ac:dyDescent="0.25">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spans="1:26" x14ac:dyDescent="0.25">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spans="1:26" x14ac:dyDescent="0.25">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spans="1:26" x14ac:dyDescent="0.25">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spans="1:26" x14ac:dyDescent="0.25">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spans="1:26" x14ac:dyDescent="0.25">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spans="1:26" x14ac:dyDescent="0.25">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spans="1:26" x14ac:dyDescent="0.25">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spans="1:26" x14ac:dyDescent="0.2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spans="1:26" x14ac:dyDescent="0.25">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spans="1:26" x14ac:dyDescent="0.25">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spans="1:26" x14ac:dyDescent="0.25">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spans="1:26" x14ac:dyDescent="0.25">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spans="1:26" x14ac:dyDescent="0.25">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spans="1:26" x14ac:dyDescent="0.25">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spans="1:26" x14ac:dyDescent="0.25">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spans="1:26" x14ac:dyDescent="0.25">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spans="1:26" x14ac:dyDescent="0.25">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spans="1:26" x14ac:dyDescent="0.2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spans="1:26" x14ac:dyDescent="0.25">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spans="1:26" x14ac:dyDescent="0.25">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spans="1:26" x14ac:dyDescent="0.25">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spans="1:26" x14ac:dyDescent="0.25">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spans="1:26" x14ac:dyDescent="0.25">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spans="1:26" x14ac:dyDescent="0.25">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spans="1:26" x14ac:dyDescent="0.25">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spans="1:26" x14ac:dyDescent="0.25">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spans="1:26" x14ac:dyDescent="0.25">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spans="1:26" x14ac:dyDescent="0.2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spans="1:26" x14ac:dyDescent="0.25">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spans="1:26" x14ac:dyDescent="0.25">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spans="1:26" x14ac:dyDescent="0.25">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spans="1:26" x14ac:dyDescent="0.25">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spans="1:26" x14ac:dyDescent="0.25">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spans="1:26" x14ac:dyDescent="0.25">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spans="1:26" x14ac:dyDescent="0.25">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spans="1:26" x14ac:dyDescent="0.25">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spans="1:26" x14ac:dyDescent="0.25">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spans="1:26" x14ac:dyDescent="0.2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spans="1:26" x14ac:dyDescent="0.25">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spans="1:26" x14ac:dyDescent="0.25">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spans="1:26" x14ac:dyDescent="0.25">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spans="1:26" x14ac:dyDescent="0.25">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spans="1:26" x14ac:dyDescent="0.25">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spans="1:26" x14ac:dyDescent="0.25">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spans="1:26" x14ac:dyDescent="0.25">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spans="1:26" x14ac:dyDescent="0.25">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spans="1:26" x14ac:dyDescent="0.25">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spans="1:26" x14ac:dyDescent="0.2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spans="1:26" x14ac:dyDescent="0.25">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spans="1:26" x14ac:dyDescent="0.25">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spans="1:26" x14ac:dyDescent="0.25">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spans="1:26" x14ac:dyDescent="0.25">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spans="1:26" x14ac:dyDescent="0.25">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spans="1:26" x14ac:dyDescent="0.25">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spans="1:26" x14ac:dyDescent="0.25">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spans="1:26" x14ac:dyDescent="0.25">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spans="1:26" x14ac:dyDescent="0.25">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spans="1:26" x14ac:dyDescent="0.2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spans="1:26" x14ac:dyDescent="0.25">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spans="1:26" x14ac:dyDescent="0.25">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spans="1:26" x14ac:dyDescent="0.25">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spans="1:26" x14ac:dyDescent="0.25">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spans="1:26" x14ac:dyDescent="0.25">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spans="1:26" x14ac:dyDescent="0.25">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spans="1:26" x14ac:dyDescent="0.25">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spans="1:26" x14ac:dyDescent="0.25">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spans="1:26" x14ac:dyDescent="0.25">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spans="1:26" x14ac:dyDescent="0.2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spans="1:26" x14ac:dyDescent="0.25">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spans="1:26" x14ac:dyDescent="0.25">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spans="1:26" x14ac:dyDescent="0.25">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spans="1:26" x14ac:dyDescent="0.25">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spans="1:26" x14ac:dyDescent="0.25">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spans="1:26" x14ac:dyDescent="0.25">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spans="1:26" x14ac:dyDescent="0.25">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spans="1:26" x14ac:dyDescent="0.25">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spans="1:26" x14ac:dyDescent="0.25">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spans="1:26" x14ac:dyDescent="0.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spans="1:26" x14ac:dyDescent="0.25">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spans="1:26" x14ac:dyDescent="0.25">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spans="1:26" x14ac:dyDescent="0.25">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spans="1:26" x14ac:dyDescent="0.25">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spans="1:26" x14ac:dyDescent="0.25">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spans="1:26" x14ac:dyDescent="0.25">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spans="1:26" x14ac:dyDescent="0.25">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spans="1:26" x14ac:dyDescent="0.25">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spans="1:26" x14ac:dyDescent="0.25">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spans="1:26" x14ac:dyDescent="0.2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spans="1:26" x14ac:dyDescent="0.25">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spans="1:26" x14ac:dyDescent="0.25">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spans="1:26" x14ac:dyDescent="0.25">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spans="1:26" x14ac:dyDescent="0.25">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spans="1:26" x14ac:dyDescent="0.25">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spans="1:26" x14ac:dyDescent="0.25">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spans="1:26" x14ac:dyDescent="0.25">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spans="1:26" x14ac:dyDescent="0.25">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spans="1:26" x14ac:dyDescent="0.25">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spans="1:26" x14ac:dyDescent="0.2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spans="1:26" x14ac:dyDescent="0.25">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spans="1:26" x14ac:dyDescent="0.25">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spans="1:26" x14ac:dyDescent="0.25">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spans="1:26" x14ac:dyDescent="0.25">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spans="1:26" x14ac:dyDescent="0.25">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spans="1:26" x14ac:dyDescent="0.25">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spans="1:26" x14ac:dyDescent="0.25">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spans="1:26" x14ac:dyDescent="0.25">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spans="1:26" x14ac:dyDescent="0.25">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spans="1:26" x14ac:dyDescent="0.2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spans="1:26" x14ac:dyDescent="0.25">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spans="1:26" x14ac:dyDescent="0.25">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spans="1:26" x14ac:dyDescent="0.25">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spans="1:26" x14ac:dyDescent="0.25">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spans="1:26" x14ac:dyDescent="0.25">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spans="1:26" x14ac:dyDescent="0.25">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spans="1:26" x14ac:dyDescent="0.25">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spans="1:26" x14ac:dyDescent="0.25">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spans="1:26" x14ac:dyDescent="0.25">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spans="1:26" x14ac:dyDescent="0.2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spans="1:26" x14ac:dyDescent="0.25">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spans="1:26" x14ac:dyDescent="0.25">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spans="1:26" x14ac:dyDescent="0.25">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spans="1:26" x14ac:dyDescent="0.25">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spans="1:26" x14ac:dyDescent="0.25">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spans="1:26" x14ac:dyDescent="0.25">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spans="1:26" x14ac:dyDescent="0.25">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spans="1:26" x14ac:dyDescent="0.25">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spans="1:26" x14ac:dyDescent="0.25">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spans="1:26" x14ac:dyDescent="0.2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spans="1:26" x14ac:dyDescent="0.25">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spans="1:26" x14ac:dyDescent="0.25">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spans="1:26" x14ac:dyDescent="0.25">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spans="1:26" x14ac:dyDescent="0.25">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spans="1:26" x14ac:dyDescent="0.25">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spans="1:26" x14ac:dyDescent="0.25">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spans="1:26" x14ac:dyDescent="0.25">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spans="1:26" x14ac:dyDescent="0.25">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spans="1:26" x14ac:dyDescent="0.25">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spans="1:26" x14ac:dyDescent="0.2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spans="1:26" x14ac:dyDescent="0.25">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spans="1:26" x14ac:dyDescent="0.25">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spans="1:26" x14ac:dyDescent="0.25">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spans="1:26" x14ac:dyDescent="0.25">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spans="1:26" x14ac:dyDescent="0.25">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spans="1:26" x14ac:dyDescent="0.25">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spans="1:26" x14ac:dyDescent="0.25">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spans="1:26" x14ac:dyDescent="0.25">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spans="1:26" x14ac:dyDescent="0.25">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spans="1:26" x14ac:dyDescent="0.2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spans="1:26" x14ac:dyDescent="0.25">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spans="1:26" x14ac:dyDescent="0.25">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spans="1:26" x14ac:dyDescent="0.25">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spans="1:26" x14ac:dyDescent="0.25">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spans="1:26" x14ac:dyDescent="0.25">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sheetData>
  <sheetProtection sheet="1" objects="1" scenarios="1"/>
  <mergeCells count="30">
    <mergeCell ref="C114:H114"/>
    <mergeCell ref="B88:H88"/>
    <mergeCell ref="B93:H93"/>
    <mergeCell ref="B2:H2"/>
    <mergeCell ref="B3:H3"/>
    <mergeCell ref="B5:H5"/>
    <mergeCell ref="B17:H17"/>
    <mergeCell ref="B41:H41"/>
    <mergeCell ref="B65:H65"/>
    <mergeCell ref="B79:H79"/>
    <mergeCell ref="B97:H97"/>
    <mergeCell ref="B110:H110"/>
    <mergeCell ref="B112:H112"/>
    <mergeCell ref="C113:H113"/>
    <mergeCell ref="C121:H121"/>
    <mergeCell ref="C122:H122"/>
    <mergeCell ref="B52:H52"/>
    <mergeCell ref="B81:H81"/>
    <mergeCell ref="B82:H82"/>
    <mergeCell ref="B83:H83"/>
    <mergeCell ref="B84:H84"/>
    <mergeCell ref="B85:H85"/>
    <mergeCell ref="B86:H86"/>
    <mergeCell ref="B87:H87"/>
    <mergeCell ref="C115:H115"/>
    <mergeCell ref="C116:H116"/>
    <mergeCell ref="C117:H117"/>
    <mergeCell ref="C118:H118"/>
    <mergeCell ref="C119:H119"/>
    <mergeCell ref="C120:H120"/>
  </mergeCells>
  <conditionalFormatting sqref="C25:C39">
    <cfRule type="containsText" dxfId="45" priority="1" operator="containsText" text="PASS">
      <formula>NOT(ISERROR(SEARCH("PASS",C25)))</formula>
    </cfRule>
    <cfRule type="containsText" dxfId="44" priority="2" operator="containsText" text="WARNING">
      <formula>NOT(ISERROR(SEARCH("WARNING",C25)))</formula>
    </cfRule>
    <cfRule type="containsText" dxfId="43" priority="3" operator="containsText" text="FAIL">
      <formula>NOT(ISERROR(SEARCH("FAIL",C25)))</formula>
    </cfRule>
  </conditionalFormatting>
  <conditionalFormatting sqref="C43:C49">
    <cfRule type="containsText" dxfId="42" priority="7" operator="containsText" text="Enabled">
      <formula>NOT(ISERROR(SEARCH("Enabled",C43)))</formula>
    </cfRule>
    <cfRule type="containsText" dxfId="41" priority="8" operator="containsText" text="Disabled">
      <formula>NOT(ISERROR(SEARCH("Disabled",C43)))</formula>
    </cfRule>
  </conditionalFormatting>
  <conditionalFormatting sqref="C149:C152">
    <cfRule type="containsText" dxfId="40" priority="9" operator="containsText" text="PASS">
      <formula>NOT(ISERROR(SEARCH("PASS",C149)))</formula>
    </cfRule>
    <cfRule type="containsText" dxfId="39" priority="10" operator="containsText" text="FAIL">
      <formula>NOT(ISERROR(SEARCH("FAIL",C149)))</formula>
    </cfRule>
  </conditionalFormatting>
  <conditionalFormatting sqref="D156:E159">
    <cfRule type="containsText" dxfId="38" priority="11" operator="containsText" text="PASS">
      <formula>NOT(ISERROR(SEARCH("PASS",D156)))</formula>
    </cfRule>
    <cfRule type="containsText" dxfId="37" priority="12" operator="containsText" text="FAIL">
      <formula>NOT(ISERROR(SEARCH("FAIL",D156)))</formula>
    </cfRule>
  </conditionalFormatting>
  <conditionalFormatting sqref="H67:H73">
    <cfRule type="containsText" dxfId="36" priority="4" operator="containsText" text="PASS">
      <formula>NOT(ISERROR(SEARCH("PASS",H67)))</formula>
    </cfRule>
    <cfRule type="containsText" dxfId="35" priority="5" operator="containsText" text="Disabled">
      <formula>NOT(ISERROR(SEARCH("Disabled",H67)))</formula>
    </cfRule>
    <cfRule type="containsText" dxfId="34" priority="6" operator="containsText" text="FAIL">
      <formula>NOT(ISERROR(SEARCH("FAIL",H67)))</formula>
    </cfRule>
  </conditionalFormatting>
  <pageMargins left="5.5555555555555558E-3" right="5.5555555555555558E-3" top="8.3333333333333332E-3" bottom="6.9444444444444441E-3" header="4.1666666666666666E-3" footer="4.1666666666666666E-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01B40-0812-4FA7-9BB7-05E11A660B35}">
  <dimension ref="A1:Z500"/>
  <sheetViews>
    <sheetView tabSelected="1" workbookViewId="0">
      <selection activeCell="C10" sqref="C10"/>
    </sheetView>
  </sheetViews>
  <sheetFormatPr defaultRowHeight="15" x14ac:dyDescent="0.25"/>
  <cols>
    <col min="1" max="1" width="2.85546875" customWidth="1"/>
    <col min="2" max="2" width="93.42578125" bestFit="1" customWidth="1"/>
    <col min="3" max="3" width="17.140625" customWidth="1"/>
    <col min="4" max="4" width="13.28515625" customWidth="1"/>
    <col min="5" max="5" width="19" customWidth="1"/>
    <col min="6" max="6" width="17.140625" customWidth="1"/>
    <col min="7" max="7" width="22.85546875" customWidth="1"/>
    <col min="8" max="8" width="17.140625" customWidth="1"/>
  </cols>
  <sheetData>
    <row r="1" spans="1:26" x14ac:dyDescent="0.25">
      <c r="A1" s="46"/>
      <c r="B1" s="46"/>
      <c r="C1" s="46"/>
      <c r="D1" s="46"/>
      <c r="E1" s="46"/>
      <c r="F1" s="46"/>
      <c r="G1" s="46"/>
      <c r="H1" s="46"/>
      <c r="I1" s="46"/>
      <c r="J1" s="46"/>
      <c r="K1" s="46"/>
      <c r="L1" s="46"/>
      <c r="M1" s="46"/>
      <c r="N1" s="46"/>
      <c r="O1" s="46"/>
      <c r="P1" s="46"/>
      <c r="Q1" s="46"/>
      <c r="R1" s="46"/>
      <c r="S1" s="46"/>
      <c r="T1" s="46"/>
      <c r="U1" s="46"/>
      <c r="V1" s="46"/>
      <c r="W1" s="46"/>
      <c r="X1" s="46"/>
      <c r="Y1" s="46"/>
      <c r="Z1" s="46"/>
    </row>
    <row r="2" spans="1:26" ht="18" x14ac:dyDescent="0.25">
      <c r="A2" s="46"/>
      <c r="B2" s="124" t="s">
        <v>300</v>
      </c>
      <c r="C2" s="125"/>
      <c r="D2" s="125"/>
      <c r="E2" s="125"/>
      <c r="F2" s="125"/>
      <c r="G2" s="125"/>
      <c r="H2" s="125"/>
      <c r="I2" s="46"/>
      <c r="J2" s="46"/>
      <c r="K2" s="46"/>
      <c r="L2" s="46"/>
      <c r="M2" s="46"/>
      <c r="N2" s="46"/>
      <c r="O2" s="46"/>
      <c r="P2" s="46"/>
      <c r="Q2" s="46"/>
      <c r="R2" s="46"/>
      <c r="S2" s="46"/>
      <c r="T2" s="46"/>
      <c r="U2" s="46"/>
      <c r="V2" s="46"/>
      <c r="W2" s="46"/>
      <c r="X2" s="46"/>
      <c r="Y2" s="46"/>
      <c r="Z2" s="46"/>
    </row>
    <row r="3" spans="1:26" x14ac:dyDescent="0.25">
      <c r="A3" s="46"/>
      <c r="B3" s="126" t="s">
        <v>301</v>
      </c>
      <c r="C3" s="127"/>
      <c r="D3" s="127"/>
      <c r="E3" s="127"/>
      <c r="F3" s="127"/>
      <c r="G3" s="127"/>
      <c r="H3" s="127"/>
      <c r="I3" s="46"/>
      <c r="J3" s="46"/>
      <c r="K3" s="46"/>
      <c r="L3" s="46"/>
      <c r="M3" s="46"/>
      <c r="N3" s="46"/>
      <c r="O3" s="46"/>
      <c r="P3" s="46"/>
      <c r="Q3" s="46"/>
      <c r="R3" s="46"/>
      <c r="S3" s="46"/>
      <c r="T3" s="46"/>
      <c r="U3" s="46"/>
      <c r="V3" s="46"/>
      <c r="W3" s="46"/>
      <c r="X3" s="46"/>
      <c r="Y3" s="46"/>
      <c r="Z3" s="46"/>
    </row>
    <row r="4" spans="1:26" x14ac:dyDescent="0.25">
      <c r="A4" s="46"/>
      <c r="B4" s="46"/>
      <c r="C4" s="46"/>
      <c r="D4" s="46"/>
      <c r="E4" s="46"/>
      <c r="F4" s="46"/>
      <c r="G4" s="46"/>
      <c r="H4" s="46"/>
      <c r="I4" s="46"/>
      <c r="J4" s="46"/>
      <c r="K4" s="46"/>
      <c r="L4" s="46"/>
      <c r="M4" s="46"/>
      <c r="N4" s="46"/>
      <c r="O4" s="46"/>
      <c r="P4" s="46"/>
      <c r="Q4" s="46"/>
      <c r="R4" s="46"/>
      <c r="S4" s="46"/>
      <c r="T4" s="46"/>
      <c r="U4" s="46"/>
      <c r="V4" s="46"/>
      <c r="W4" s="46"/>
      <c r="X4" s="46"/>
      <c r="Y4" s="46"/>
      <c r="Z4" s="46"/>
    </row>
    <row r="5" spans="1:26" x14ac:dyDescent="0.25">
      <c r="A5" s="46"/>
      <c r="B5" s="126" t="s">
        <v>302</v>
      </c>
      <c r="C5" s="127"/>
      <c r="D5" s="127"/>
      <c r="E5" s="127"/>
      <c r="F5" s="127"/>
      <c r="G5" s="127"/>
      <c r="H5" s="127"/>
      <c r="I5" s="46"/>
      <c r="J5" s="46"/>
      <c r="K5" s="46"/>
      <c r="L5" s="46"/>
      <c r="M5" s="46"/>
      <c r="N5" s="46"/>
      <c r="O5" s="46"/>
      <c r="P5" s="46"/>
      <c r="Q5" s="46"/>
      <c r="R5" s="46"/>
      <c r="S5" s="46"/>
      <c r="T5" s="46"/>
      <c r="U5" s="46"/>
      <c r="V5" s="46"/>
      <c r="W5" s="46"/>
      <c r="X5" s="46"/>
      <c r="Y5" s="46"/>
      <c r="Z5" s="46"/>
    </row>
    <row r="6" spans="1:26" x14ac:dyDescent="0.25">
      <c r="A6" s="46"/>
      <c r="B6" s="162" t="s">
        <v>173</v>
      </c>
      <c r="C6" s="71">
        <f>'Hardware Inputs'!C8</f>
        <v>3</v>
      </c>
      <c r="D6" s="163" t="s">
        <v>303</v>
      </c>
      <c r="E6" s="46"/>
      <c r="F6" s="46"/>
      <c r="G6" s="46"/>
      <c r="H6" s="46"/>
      <c r="I6" s="46"/>
      <c r="J6" s="46"/>
      <c r="K6" s="46"/>
      <c r="L6" s="46"/>
      <c r="M6" s="46"/>
      <c r="N6" s="46"/>
      <c r="O6" s="46"/>
      <c r="P6" s="46"/>
      <c r="Q6" s="46"/>
      <c r="R6" s="46"/>
      <c r="S6" s="46"/>
      <c r="T6" s="46"/>
      <c r="U6" s="46"/>
      <c r="V6" s="46"/>
      <c r="W6" s="46"/>
      <c r="X6" s="46"/>
      <c r="Y6" s="46"/>
      <c r="Z6" s="46"/>
    </row>
    <row r="7" spans="1:26" x14ac:dyDescent="0.25">
      <c r="A7" s="46"/>
      <c r="B7" s="162" t="s">
        <v>69</v>
      </c>
      <c r="C7" s="71">
        <f>'Hardware Inputs'!C10</f>
        <v>4</v>
      </c>
      <c r="D7" s="163" t="s">
        <v>82</v>
      </c>
      <c r="E7" s="46"/>
      <c r="F7" s="46"/>
      <c r="G7" s="46"/>
      <c r="H7" s="46"/>
      <c r="I7" s="46"/>
      <c r="J7" s="46"/>
      <c r="K7" s="46"/>
      <c r="L7" s="46"/>
      <c r="M7" s="46"/>
      <c r="N7" s="46"/>
      <c r="O7" s="46"/>
      <c r="P7" s="46"/>
      <c r="Q7" s="46"/>
      <c r="R7" s="46"/>
      <c r="S7" s="46"/>
      <c r="T7" s="46"/>
      <c r="U7" s="46"/>
      <c r="V7" s="46"/>
      <c r="W7" s="46"/>
      <c r="X7" s="46"/>
      <c r="Y7" s="46"/>
      <c r="Z7" s="46"/>
    </row>
    <row r="8" spans="1:26" x14ac:dyDescent="0.25">
      <c r="A8" s="46"/>
      <c r="B8" s="162" t="s">
        <v>304</v>
      </c>
      <c r="C8" s="168">
        <f>'Hardware Inputs'!C11</f>
        <v>3.84</v>
      </c>
      <c r="D8" s="163" t="s">
        <v>87</v>
      </c>
      <c r="E8" s="46"/>
      <c r="F8" s="46"/>
      <c r="G8" s="46"/>
      <c r="H8" s="46"/>
      <c r="I8" s="46"/>
      <c r="J8" s="46"/>
      <c r="K8" s="46"/>
      <c r="L8" s="46"/>
      <c r="M8" s="46"/>
      <c r="N8" s="46"/>
      <c r="O8" s="46"/>
      <c r="P8" s="46"/>
      <c r="Q8" s="46"/>
      <c r="R8" s="46"/>
      <c r="S8" s="46"/>
      <c r="T8" s="46"/>
      <c r="U8" s="46"/>
      <c r="V8" s="46"/>
      <c r="W8" s="46"/>
      <c r="X8" s="46"/>
      <c r="Y8" s="46"/>
      <c r="Z8" s="46"/>
    </row>
    <row r="9" spans="1:26" x14ac:dyDescent="0.25">
      <c r="A9" s="46"/>
      <c r="B9" s="162" t="s">
        <v>305</v>
      </c>
      <c r="C9" s="168">
        <f>'Hardware Inputs'!C18</f>
        <v>46.08</v>
      </c>
      <c r="D9" s="163" t="s">
        <v>87</v>
      </c>
      <c r="E9" s="134" t="s">
        <v>306</v>
      </c>
      <c r="F9" s="46"/>
      <c r="G9" s="46"/>
      <c r="H9" s="46"/>
      <c r="I9" s="46"/>
      <c r="J9" s="46"/>
      <c r="K9" s="46"/>
      <c r="L9" s="46"/>
      <c r="M9" s="46"/>
      <c r="N9" s="46"/>
      <c r="O9" s="46"/>
      <c r="P9" s="46"/>
      <c r="Q9" s="46"/>
      <c r="R9" s="46"/>
      <c r="S9" s="46"/>
      <c r="T9" s="46"/>
      <c r="U9" s="46"/>
      <c r="V9" s="46"/>
      <c r="W9" s="46"/>
      <c r="X9" s="46"/>
      <c r="Y9" s="46"/>
      <c r="Z9" s="46"/>
    </row>
    <row r="10" spans="1:26" x14ac:dyDescent="0.25">
      <c r="A10" s="46"/>
      <c r="B10" s="162" t="s">
        <v>150</v>
      </c>
      <c r="C10" s="492">
        <f>'Advanced Settings'!C8</f>
        <v>0.92</v>
      </c>
      <c r="D10" s="204"/>
      <c r="E10" s="134" t="s">
        <v>307</v>
      </c>
      <c r="F10" s="46"/>
      <c r="G10" s="46"/>
      <c r="H10" s="46"/>
      <c r="I10" s="46"/>
      <c r="J10" s="46"/>
      <c r="K10" s="46"/>
      <c r="L10" s="46"/>
      <c r="M10" s="46"/>
      <c r="N10" s="46"/>
      <c r="O10" s="46"/>
      <c r="P10" s="46"/>
      <c r="Q10" s="46"/>
      <c r="R10" s="46"/>
      <c r="S10" s="46"/>
      <c r="T10" s="46"/>
      <c r="U10" s="46"/>
      <c r="V10" s="46"/>
      <c r="W10" s="46"/>
      <c r="X10" s="46"/>
      <c r="Y10" s="46"/>
      <c r="Z10" s="46"/>
    </row>
    <row r="11" spans="1:26" x14ac:dyDescent="0.25">
      <c r="A11" s="46"/>
      <c r="B11" s="46"/>
      <c r="C11" s="46"/>
      <c r="D11" s="46"/>
      <c r="E11" s="46"/>
      <c r="F11" s="46"/>
      <c r="G11" s="46"/>
      <c r="H11" s="46"/>
      <c r="I11" s="46"/>
      <c r="J11" s="46"/>
      <c r="K11" s="46"/>
      <c r="L11" s="46"/>
      <c r="M11" s="46"/>
      <c r="N11" s="46"/>
      <c r="O11" s="46"/>
      <c r="P11" s="46"/>
      <c r="Q11" s="46"/>
      <c r="R11" s="46"/>
      <c r="S11" s="46"/>
      <c r="T11" s="46"/>
      <c r="U11" s="46"/>
      <c r="V11" s="46"/>
      <c r="W11" s="46"/>
      <c r="X11" s="46"/>
      <c r="Y11" s="46"/>
      <c r="Z11" s="46"/>
    </row>
    <row r="12" spans="1:26" x14ac:dyDescent="0.25">
      <c r="A12" s="46"/>
      <c r="B12" s="126" t="s">
        <v>308</v>
      </c>
      <c r="C12" s="127"/>
      <c r="D12" s="127"/>
      <c r="E12" s="127"/>
      <c r="F12" s="127"/>
      <c r="G12" s="127"/>
      <c r="H12" s="127"/>
      <c r="I12" s="46"/>
      <c r="J12" s="46"/>
      <c r="K12" s="46"/>
      <c r="L12" s="46"/>
      <c r="M12" s="46"/>
      <c r="N12" s="46"/>
      <c r="O12" s="46"/>
      <c r="P12" s="46"/>
      <c r="Q12" s="46"/>
      <c r="R12" s="46"/>
      <c r="S12" s="46"/>
      <c r="T12" s="46"/>
      <c r="U12" s="46"/>
      <c r="V12" s="46"/>
      <c r="W12" s="46"/>
      <c r="X12" s="46"/>
      <c r="Y12" s="46"/>
      <c r="Z12" s="46"/>
    </row>
    <row r="13" spans="1:26" s="1" customFormat="1" ht="35.1" customHeight="1" x14ac:dyDescent="0.25">
      <c r="A13" s="347"/>
      <c r="B13" s="328" t="s">
        <v>309</v>
      </c>
      <c r="C13" s="328" t="s">
        <v>310</v>
      </c>
      <c r="D13" s="328" t="s">
        <v>311</v>
      </c>
      <c r="E13" s="328" t="s">
        <v>312</v>
      </c>
      <c r="F13" s="328" t="s">
        <v>313</v>
      </c>
      <c r="G13" s="328" t="s">
        <v>314</v>
      </c>
      <c r="H13" s="328" t="s">
        <v>315</v>
      </c>
      <c r="I13" s="347"/>
      <c r="J13" s="347"/>
      <c r="K13" s="347"/>
      <c r="L13" s="347"/>
      <c r="M13" s="347"/>
      <c r="N13" s="347"/>
      <c r="O13" s="347"/>
      <c r="P13" s="347"/>
      <c r="Q13" s="347"/>
      <c r="R13" s="347"/>
      <c r="S13" s="347"/>
      <c r="T13" s="347"/>
      <c r="U13" s="347"/>
      <c r="V13" s="347"/>
      <c r="W13" s="347"/>
      <c r="X13" s="347"/>
      <c r="Y13" s="347"/>
      <c r="Z13" s="347"/>
    </row>
    <row r="14" spans="1:26" ht="18" x14ac:dyDescent="0.25">
      <c r="A14" s="46"/>
      <c r="B14" s="493">
        <f>C7</f>
        <v>4</v>
      </c>
      <c r="C14" s="494">
        <f>C8</f>
        <v>3.84</v>
      </c>
      <c r="D14" s="493">
        <f>B14*C6</f>
        <v>12</v>
      </c>
      <c r="E14" s="494">
        <f>C14*C10</f>
        <v>3.5327999999999999</v>
      </c>
      <c r="F14" s="495">
        <f>MIN(C6,4)*E14</f>
        <v>10.5984</v>
      </c>
      <c r="G14" s="496">
        <f>(D14*E14)-(F14)-'Advanced Settings'!C14</f>
        <v>31.045200000000001</v>
      </c>
      <c r="H14" s="497" t="s">
        <v>316</v>
      </c>
      <c r="I14" s="46"/>
      <c r="J14" s="46"/>
      <c r="K14" s="46"/>
      <c r="L14" s="46"/>
      <c r="M14" s="46"/>
      <c r="N14" s="46"/>
      <c r="O14" s="46"/>
      <c r="P14" s="46"/>
      <c r="Q14" s="46"/>
      <c r="R14" s="46"/>
      <c r="S14" s="46"/>
      <c r="T14" s="46"/>
      <c r="U14" s="46"/>
      <c r="V14" s="46"/>
      <c r="W14" s="46"/>
      <c r="X14" s="46"/>
      <c r="Y14" s="46"/>
      <c r="Z14" s="46"/>
    </row>
    <row r="15" spans="1:26" x14ac:dyDescent="0.25">
      <c r="A15" s="46"/>
      <c r="B15" s="498">
        <v>4</v>
      </c>
      <c r="C15" s="499">
        <f t="shared" ref="C15:C21" si="0">ROUND($C$9/(B15*$C$6),2)</f>
        <v>3.84</v>
      </c>
      <c r="D15" s="498">
        <f t="shared" ref="D15:D21" si="1">B15*$C$6</f>
        <v>12</v>
      </c>
      <c r="E15" s="499">
        <f t="shared" ref="E15:E21" si="2">C15*$C$10</f>
        <v>3.5327999999999999</v>
      </c>
      <c r="F15" s="500">
        <f t="shared" ref="F15:F21" si="3">MIN($C$6,4)*E15</f>
        <v>10.5984</v>
      </c>
      <c r="G15" s="499">
        <f>(D15*E15)-(F15)-'Advanced Settings'!$C$14</f>
        <v>31.045200000000001</v>
      </c>
      <c r="H15" s="501">
        <f t="shared" ref="H15:H21" si="4">G15-$G$14</f>
        <v>0</v>
      </c>
      <c r="I15" s="46"/>
      <c r="J15" s="46"/>
      <c r="K15" s="46"/>
      <c r="L15" s="46"/>
      <c r="M15" s="46"/>
      <c r="N15" s="46"/>
      <c r="O15" s="46"/>
      <c r="P15" s="46"/>
      <c r="Q15" s="46"/>
      <c r="R15" s="46"/>
      <c r="S15" s="46"/>
      <c r="T15" s="46"/>
      <c r="U15" s="46"/>
      <c r="V15" s="46"/>
      <c r="W15" s="46"/>
      <c r="X15" s="46"/>
      <c r="Y15" s="46"/>
      <c r="Z15" s="46"/>
    </row>
    <row r="16" spans="1:26" x14ac:dyDescent="0.25">
      <c r="A16" s="46"/>
      <c r="B16" s="502">
        <v>5</v>
      </c>
      <c r="C16" s="503">
        <f t="shared" si="0"/>
        <v>3.07</v>
      </c>
      <c r="D16" s="502">
        <f t="shared" si="1"/>
        <v>15</v>
      </c>
      <c r="E16" s="503">
        <f t="shared" si="2"/>
        <v>2.8243999999999998</v>
      </c>
      <c r="F16" s="504">
        <f t="shared" si="3"/>
        <v>8.4731999999999985</v>
      </c>
      <c r="G16" s="503">
        <f>(D16*E16)-(F16)-'Advanced Settings'!$C$14</f>
        <v>33.142800000000001</v>
      </c>
      <c r="H16" s="505">
        <f t="shared" si="4"/>
        <v>2.0975999999999999</v>
      </c>
      <c r="I16" s="46"/>
      <c r="J16" s="46"/>
      <c r="K16" s="46"/>
      <c r="L16" s="46"/>
      <c r="M16" s="46"/>
      <c r="N16" s="46"/>
      <c r="O16" s="46"/>
      <c r="P16" s="46"/>
      <c r="Q16" s="46"/>
      <c r="R16" s="46"/>
      <c r="S16" s="46"/>
      <c r="T16" s="46"/>
      <c r="U16" s="46"/>
      <c r="V16" s="46"/>
      <c r="W16" s="46"/>
      <c r="X16" s="46"/>
      <c r="Y16" s="46"/>
      <c r="Z16" s="46"/>
    </row>
    <row r="17" spans="1:26" x14ac:dyDescent="0.25">
      <c r="A17" s="46"/>
      <c r="B17" s="498">
        <v>6</v>
      </c>
      <c r="C17" s="499">
        <f t="shared" si="0"/>
        <v>2.56</v>
      </c>
      <c r="D17" s="498">
        <f t="shared" si="1"/>
        <v>18</v>
      </c>
      <c r="E17" s="499">
        <f t="shared" si="2"/>
        <v>2.3552</v>
      </c>
      <c r="F17" s="500">
        <f t="shared" si="3"/>
        <v>7.0655999999999999</v>
      </c>
      <c r="G17" s="499">
        <f>(D17*E17)-(F17)-'Advanced Settings'!$C$14</f>
        <v>34.578000000000003</v>
      </c>
      <c r="H17" s="501">
        <f t="shared" si="4"/>
        <v>3.5328000000000017</v>
      </c>
      <c r="I17" s="46"/>
      <c r="J17" s="46"/>
      <c r="K17" s="46"/>
      <c r="L17" s="46"/>
      <c r="M17" s="46"/>
      <c r="N17" s="46"/>
      <c r="O17" s="46"/>
      <c r="P17" s="46"/>
      <c r="Q17" s="46"/>
      <c r="R17" s="46"/>
      <c r="S17" s="46"/>
      <c r="T17" s="46"/>
      <c r="U17" s="46"/>
      <c r="V17" s="46"/>
      <c r="W17" s="46"/>
      <c r="X17" s="46"/>
      <c r="Y17" s="46"/>
      <c r="Z17" s="46"/>
    </row>
    <row r="18" spans="1:26" x14ac:dyDescent="0.25">
      <c r="A18" s="46"/>
      <c r="B18" s="502">
        <v>7</v>
      </c>
      <c r="C18" s="503">
        <f t="shared" si="0"/>
        <v>2.19</v>
      </c>
      <c r="D18" s="502">
        <f t="shared" si="1"/>
        <v>21</v>
      </c>
      <c r="E18" s="503">
        <f t="shared" si="2"/>
        <v>2.0148000000000001</v>
      </c>
      <c r="F18" s="504">
        <f t="shared" si="3"/>
        <v>6.0444000000000004</v>
      </c>
      <c r="G18" s="503">
        <f>(D18*E18)-(F18)-'Advanced Settings'!$C$14</f>
        <v>35.516399999999997</v>
      </c>
      <c r="H18" s="505">
        <f t="shared" si="4"/>
        <v>4.4711999999999961</v>
      </c>
      <c r="I18" s="46"/>
      <c r="J18" s="46"/>
      <c r="K18" s="46"/>
      <c r="L18" s="46"/>
      <c r="M18" s="46"/>
      <c r="N18" s="46"/>
      <c r="O18" s="46"/>
      <c r="P18" s="46"/>
      <c r="Q18" s="46"/>
      <c r="R18" s="46"/>
      <c r="S18" s="46"/>
      <c r="T18" s="46"/>
      <c r="U18" s="46"/>
      <c r="V18" s="46"/>
      <c r="W18" s="46"/>
      <c r="X18" s="46"/>
      <c r="Y18" s="46"/>
      <c r="Z18" s="46"/>
    </row>
    <row r="19" spans="1:26" x14ac:dyDescent="0.25">
      <c r="A19" s="46"/>
      <c r="B19" s="498">
        <v>8</v>
      </c>
      <c r="C19" s="499">
        <f t="shared" si="0"/>
        <v>1.92</v>
      </c>
      <c r="D19" s="498">
        <f t="shared" si="1"/>
        <v>24</v>
      </c>
      <c r="E19" s="499">
        <f t="shared" si="2"/>
        <v>1.7664</v>
      </c>
      <c r="F19" s="500">
        <f t="shared" si="3"/>
        <v>5.2991999999999999</v>
      </c>
      <c r="G19" s="499">
        <f>(D19*E19)-(F19)-'Advanced Settings'!$C$14</f>
        <v>36.3444</v>
      </c>
      <c r="H19" s="501">
        <f t="shared" si="4"/>
        <v>5.299199999999999</v>
      </c>
      <c r="I19" s="46"/>
      <c r="J19" s="46"/>
      <c r="K19" s="46"/>
      <c r="L19" s="46"/>
      <c r="M19" s="46"/>
      <c r="N19" s="46"/>
      <c r="O19" s="46"/>
      <c r="P19" s="46"/>
      <c r="Q19" s="46"/>
      <c r="R19" s="46"/>
      <c r="S19" s="46"/>
      <c r="T19" s="46"/>
      <c r="U19" s="46"/>
      <c r="V19" s="46"/>
      <c r="W19" s="46"/>
      <c r="X19" s="46"/>
      <c r="Y19" s="46"/>
      <c r="Z19" s="46"/>
    </row>
    <row r="20" spans="1:26" x14ac:dyDescent="0.25">
      <c r="A20" s="46"/>
      <c r="B20" s="502">
        <v>9</v>
      </c>
      <c r="C20" s="503">
        <f t="shared" si="0"/>
        <v>1.71</v>
      </c>
      <c r="D20" s="502">
        <f t="shared" si="1"/>
        <v>27</v>
      </c>
      <c r="E20" s="503">
        <f t="shared" si="2"/>
        <v>1.5731999999999999</v>
      </c>
      <c r="F20" s="504">
        <f t="shared" si="3"/>
        <v>4.7195999999999998</v>
      </c>
      <c r="G20" s="503">
        <f>(D20*E20)-(F20)-'Advanced Settings'!$C$14</f>
        <v>37.006799999999998</v>
      </c>
      <c r="H20" s="505">
        <f t="shared" si="4"/>
        <v>5.9615999999999971</v>
      </c>
      <c r="I20" s="46"/>
      <c r="J20" s="46"/>
      <c r="K20" s="46"/>
      <c r="L20" s="46"/>
      <c r="M20" s="46"/>
      <c r="N20" s="46"/>
      <c r="O20" s="46"/>
      <c r="P20" s="46"/>
      <c r="Q20" s="46"/>
      <c r="R20" s="46"/>
      <c r="S20" s="46"/>
      <c r="T20" s="46"/>
      <c r="U20" s="46"/>
      <c r="V20" s="46"/>
      <c r="W20" s="46"/>
      <c r="X20" s="46"/>
      <c r="Y20" s="46"/>
      <c r="Z20" s="46"/>
    </row>
    <row r="21" spans="1:26" x14ac:dyDescent="0.25">
      <c r="A21" s="46"/>
      <c r="B21" s="498">
        <v>10</v>
      </c>
      <c r="C21" s="499">
        <f t="shared" si="0"/>
        <v>1.54</v>
      </c>
      <c r="D21" s="498">
        <f t="shared" si="1"/>
        <v>30</v>
      </c>
      <c r="E21" s="499">
        <f t="shared" si="2"/>
        <v>1.4168000000000001</v>
      </c>
      <c r="F21" s="500">
        <f t="shared" si="3"/>
        <v>4.2504</v>
      </c>
      <c r="G21" s="499">
        <f>(D21*E21)-(F21)-'Advanced Settings'!$C$14</f>
        <v>37.503600000000006</v>
      </c>
      <c r="H21" s="501">
        <f t="shared" si="4"/>
        <v>6.4584000000000046</v>
      </c>
      <c r="I21" s="46"/>
      <c r="J21" s="46"/>
      <c r="K21" s="46"/>
      <c r="L21" s="46"/>
      <c r="M21" s="46"/>
      <c r="N21" s="46"/>
      <c r="O21" s="46"/>
      <c r="P21" s="46"/>
      <c r="Q21" s="46"/>
      <c r="R21" s="46"/>
      <c r="S21" s="46"/>
      <c r="T21" s="46"/>
      <c r="U21" s="46"/>
      <c r="V21" s="46"/>
      <c r="W21" s="46"/>
      <c r="X21" s="46"/>
      <c r="Y21" s="46"/>
      <c r="Z21" s="46"/>
    </row>
    <row r="22" spans="1:26" x14ac:dyDescent="0.25">
      <c r="A22" s="46"/>
      <c r="B22" s="46"/>
      <c r="C22" s="46"/>
      <c r="D22" s="46"/>
      <c r="E22" s="46"/>
      <c r="F22" s="46"/>
      <c r="G22" s="46"/>
      <c r="H22" s="46"/>
      <c r="I22" s="46"/>
      <c r="J22" s="46"/>
      <c r="K22" s="46"/>
      <c r="L22" s="46"/>
      <c r="M22" s="46"/>
      <c r="N22" s="46"/>
      <c r="O22" s="46"/>
      <c r="P22" s="46"/>
      <c r="Q22" s="46"/>
      <c r="R22" s="46"/>
      <c r="S22" s="46"/>
      <c r="T22" s="46"/>
      <c r="U22" s="46"/>
      <c r="V22" s="46"/>
      <c r="W22" s="46"/>
      <c r="X22" s="46"/>
      <c r="Y22" s="46"/>
      <c r="Z22" s="46"/>
    </row>
    <row r="23" spans="1:26" x14ac:dyDescent="0.25">
      <c r="A23" s="46"/>
      <c r="B23" s="376" t="s">
        <v>317</v>
      </c>
      <c r="C23" s="232"/>
      <c r="D23" s="232"/>
      <c r="E23" s="232"/>
      <c r="F23" s="232"/>
      <c r="G23" s="232"/>
      <c r="H23" s="232"/>
      <c r="I23" s="46"/>
      <c r="J23" s="46"/>
      <c r="K23" s="46"/>
      <c r="L23" s="46"/>
      <c r="M23" s="46"/>
      <c r="N23" s="46"/>
      <c r="O23" s="46"/>
      <c r="P23" s="46"/>
      <c r="Q23" s="46"/>
      <c r="R23" s="46"/>
      <c r="S23" s="46"/>
      <c r="T23" s="46"/>
      <c r="U23" s="46"/>
      <c r="V23" s="46"/>
      <c r="W23" s="46"/>
      <c r="X23" s="46"/>
      <c r="Y23" s="46"/>
      <c r="Z23" s="46"/>
    </row>
    <row r="24" spans="1:26" x14ac:dyDescent="0.25">
      <c r="A24" s="46"/>
      <c r="B24" s="506" t="s">
        <v>318</v>
      </c>
      <c r="C24" s="506"/>
      <c r="D24" s="506"/>
      <c r="E24" s="506"/>
      <c r="F24" s="506"/>
      <c r="G24" s="506"/>
      <c r="H24" s="506"/>
      <c r="I24" s="46"/>
      <c r="J24" s="46"/>
      <c r="K24" s="46"/>
      <c r="L24" s="46"/>
      <c r="M24" s="46"/>
      <c r="N24" s="46"/>
      <c r="O24" s="46"/>
      <c r="P24" s="46"/>
      <c r="Q24" s="46"/>
      <c r="R24" s="46"/>
      <c r="S24" s="46"/>
      <c r="T24" s="46"/>
      <c r="U24" s="46"/>
      <c r="V24" s="46"/>
      <c r="W24" s="46"/>
      <c r="X24" s="46"/>
      <c r="Y24" s="46"/>
      <c r="Z24" s="46"/>
    </row>
    <row r="25" spans="1:26" x14ac:dyDescent="0.25">
      <c r="A25" s="46"/>
      <c r="B25" s="346" t="s">
        <v>319</v>
      </c>
      <c r="C25" s="346"/>
      <c r="D25" s="346"/>
      <c r="E25" s="346"/>
      <c r="F25" s="346"/>
      <c r="G25" s="346"/>
      <c r="H25" s="346"/>
      <c r="I25" s="46"/>
      <c r="J25" s="46"/>
      <c r="K25" s="46"/>
      <c r="L25" s="46"/>
      <c r="M25" s="46"/>
      <c r="N25" s="46"/>
      <c r="O25" s="46"/>
      <c r="P25" s="46"/>
      <c r="Q25" s="46"/>
      <c r="R25" s="46"/>
      <c r="S25" s="46"/>
      <c r="T25" s="46"/>
      <c r="U25" s="46"/>
      <c r="V25" s="46"/>
      <c r="W25" s="46"/>
      <c r="X25" s="46"/>
      <c r="Y25" s="46"/>
      <c r="Z25" s="46"/>
    </row>
    <row r="26" spans="1:26" x14ac:dyDescent="0.25">
      <c r="A26" s="46"/>
      <c r="B26" s="46"/>
      <c r="C26" s="46"/>
      <c r="D26" s="46"/>
      <c r="E26" s="46"/>
      <c r="F26" s="46"/>
      <c r="G26" s="46"/>
      <c r="H26" s="46"/>
      <c r="I26" s="46"/>
      <c r="J26" s="46"/>
      <c r="K26" s="46"/>
      <c r="L26" s="46"/>
      <c r="M26" s="46"/>
      <c r="N26" s="46"/>
      <c r="O26" s="46"/>
      <c r="P26" s="46"/>
      <c r="Q26" s="46"/>
      <c r="R26" s="46"/>
      <c r="S26" s="46"/>
      <c r="T26" s="46"/>
      <c r="U26" s="46"/>
      <c r="V26" s="46"/>
      <c r="W26" s="46"/>
      <c r="X26" s="46"/>
      <c r="Y26" s="46"/>
      <c r="Z26" s="46"/>
    </row>
    <row r="27" spans="1:26" x14ac:dyDescent="0.25">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row>
    <row r="28" spans="1:26" x14ac:dyDescent="0.25">
      <c r="A28" s="46"/>
      <c r="B28" s="46"/>
      <c r="C28" s="46"/>
      <c r="D28" s="46"/>
      <c r="E28" s="46"/>
      <c r="F28" s="46"/>
      <c r="G28" s="46"/>
      <c r="H28" s="46"/>
      <c r="I28" s="46"/>
      <c r="J28" s="46"/>
      <c r="K28" s="46"/>
      <c r="L28" s="46"/>
      <c r="M28" s="46"/>
      <c r="N28" s="46"/>
      <c r="O28" s="46"/>
      <c r="P28" s="46"/>
      <c r="Q28" s="46"/>
      <c r="R28" s="46"/>
      <c r="S28" s="46"/>
      <c r="T28" s="46"/>
      <c r="U28" s="46"/>
      <c r="V28" s="46"/>
      <c r="W28" s="46"/>
      <c r="X28" s="46"/>
      <c r="Y28" s="46"/>
      <c r="Z28" s="46"/>
    </row>
    <row r="29" spans="1:26" x14ac:dyDescent="0.25">
      <c r="A29" s="46"/>
      <c r="B29" s="46"/>
      <c r="C29" s="46"/>
      <c r="D29" s="46"/>
      <c r="E29" s="46"/>
      <c r="F29" s="46"/>
      <c r="G29" s="46"/>
      <c r="H29" s="46"/>
      <c r="I29" s="46"/>
      <c r="J29" s="46"/>
      <c r="K29" s="46"/>
      <c r="L29" s="46"/>
      <c r="M29" s="46"/>
      <c r="N29" s="46"/>
      <c r="O29" s="46"/>
      <c r="P29" s="46"/>
      <c r="Q29" s="46"/>
      <c r="R29" s="46"/>
      <c r="S29" s="46"/>
      <c r="T29" s="46"/>
      <c r="U29" s="46"/>
      <c r="V29" s="46"/>
      <c r="W29" s="46"/>
      <c r="X29" s="46"/>
      <c r="Y29" s="46"/>
      <c r="Z29" s="46"/>
    </row>
    <row r="30" spans="1:26" x14ac:dyDescent="0.25">
      <c r="A30" s="46"/>
      <c r="B30" s="46"/>
      <c r="C30" s="46"/>
      <c r="D30" s="46"/>
      <c r="E30" s="46"/>
      <c r="F30" s="46"/>
      <c r="G30" s="46"/>
      <c r="H30" s="46"/>
      <c r="I30" s="46"/>
      <c r="J30" s="46"/>
      <c r="K30" s="46"/>
      <c r="L30" s="46"/>
      <c r="M30" s="46"/>
      <c r="N30" s="46"/>
      <c r="O30" s="46"/>
      <c r="P30" s="46"/>
      <c r="Q30" s="46"/>
      <c r="R30" s="46"/>
      <c r="S30" s="46"/>
      <c r="T30" s="46"/>
      <c r="U30" s="46"/>
      <c r="V30" s="46"/>
      <c r="W30" s="46"/>
      <c r="X30" s="46"/>
      <c r="Y30" s="46"/>
      <c r="Z30" s="46"/>
    </row>
    <row r="31" spans="1:26" x14ac:dyDescent="0.25">
      <c r="A31" s="46"/>
      <c r="B31" s="46"/>
      <c r="C31" s="46"/>
      <c r="D31" s="46"/>
      <c r="E31" s="46"/>
      <c r="F31" s="46"/>
      <c r="G31" s="46"/>
      <c r="H31" s="46"/>
      <c r="I31" s="46"/>
      <c r="J31" s="46"/>
      <c r="K31" s="46"/>
      <c r="L31" s="46"/>
      <c r="M31" s="46"/>
      <c r="N31" s="46"/>
      <c r="O31" s="46"/>
      <c r="P31" s="46"/>
      <c r="Q31" s="46"/>
      <c r="R31" s="46"/>
      <c r="S31" s="46"/>
      <c r="T31" s="46"/>
      <c r="U31" s="46"/>
      <c r="V31" s="46"/>
      <c r="W31" s="46"/>
      <c r="X31" s="46"/>
      <c r="Y31" s="46"/>
      <c r="Z31" s="46"/>
    </row>
    <row r="32" spans="1:26" x14ac:dyDescent="0.25">
      <c r="A32" s="46"/>
      <c r="B32" s="46"/>
      <c r="C32" s="46"/>
      <c r="D32" s="46"/>
      <c r="E32" s="46"/>
      <c r="F32" s="46"/>
      <c r="G32" s="46"/>
      <c r="H32" s="46"/>
      <c r="I32" s="46"/>
      <c r="J32" s="46"/>
      <c r="K32" s="46"/>
      <c r="L32" s="46"/>
      <c r="M32" s="46"/>
      <c r="N32" s="46"/>
      <c r="O32" s="46"/>
      <c r="P32" s="46"/>
      <c r="Q32" s="46"/>
      <c r="R32" s="46"/>
      <c r="S32" s="46"/>
      <c r="T32" s="46"/>
      <c r="U32" s="46"/>
      <c r="V32" s="46"/>
      <c r="W32" s="46"/>
      <c r="X32" s="46"/>
      <c r="Y32" s="46"/>
      <c r="Z32" s="46"/>
    </row>
    <row r="33" spans="1:26" x14ac:dyDescent="0.25">
      <c r="A33" s="46"/>
      <c r="B33" s="46"/>
      <c r="C33" s="46"/>
      <c r="D33" s="46"/>
      <c r="E33" s="46"/>
      <c r="F33" s="46"/>
      <c r="G33" s="46"/>
      <c r="H33" s="46"/>
      <c r="I33" s="46"/>
      <c r="J33" s="46"/>
      <c r="K33" s="46"/>
      <c r="L33" s="46"/>
      <c r="M33" s="46"/>
      <c r="N33" s="46"/>
      <c r="O33" s="46"/>
      <c r="P33" s="46"/>
      <c r="Q33" s="46"/>
      <c r="R33" s="46"/>
      <c r="S33" s="46"/>
      <c r="T33" s="46"/>
      <c r="U33" s="46"/>
      <c r="V33" s="46"/>
      <c r="W33" s="46"/>
      <c r="X33" s="46"/>
      <c r="Y33" s="46"/>
      <c r="Z33" s="46"/>
    </row>
    <row r="34" spans="1:26" x14ac:dyDescent="0.25">
      <c r="A34" s="46"/>
      <c r="B34" s="46"/>
      <c r="C34" s="46"/>
      <c r="D34" s="46"/>
      <c r="E34" s="46"/>
      <c r="F34" s="46"/>
      <c r="G34" s="46"/>
      <c r="H34" s="46"/>
      <c r="I34" s="46"/>
      <c r="J34" s="46"/>
      <c r="K34" s="46"/>
      <c r="L34" s="46"/>
      <c r="M34" s="46"/>
      <c r="N34" s="46"/>
      <c r="O34" s="46"/>
      <c r="P34" s="46"/>
      <c r="Q34" s="46"/>
      <c r="R34" s="46"/>
      <c r="S34" s="46"/>
      <c r="T34" s="46"/>
      <c r="U34" s="46"/>
      <c r="V34" s="46"/>
      <c r="W34" s="46"/>
      <c r="X34" s="46"/>
      <c r="Y34" s="46"/>
      <c r="Z34" s="46"/>
    </row>
    <row r="35" spans="1:26" x14ac:dyDescent="0.25">
      <c r="A35" s="46"/>
      <c r="B35" s="46"/>
      <c r="C35" s="46"/>
      <c r="D35" s="46"/>
      <c r="E35" s="46"/>
      <c r="F35" s="46"/>
      <c r="G35" s="46"/>
      <c r="H35" s="46"/>
      <c r="I35" s="46"/>
      <c r="J35" s="46"/>
      <c r="K35" s="46"/>
      <c r="L35" s="46"/>
      <c r="M35" s="46"/>
      <c r="N35" s="46"/>
      <c r="O35" s="46"/>
      <c r="P35" s="46"/>
      <c r="Q35" s="46"/>
      <c r="R35" s="46"/>
      <c r="S35" s="46"/>
      <c r="T35" s="46"/>
      <c r="U35" s="46"/>
      <c r="V35" s="46"/>
      <c r="W35" s="46"/>
      <c r="X35" s="46"/>
      <c r="Y35" s="46"/>
      <c r="Z35" s="46"/>
    </row>
    <row r="36" spans="1:26" x14ac:dyDescent="0.25">
      <c r="A36" s="46"/>
      <c r="B36" s="46"/>
      <c r="C36" s="46"/>
      <c r="D36" s="46"/>
      <c r="E36" s="46"/>
      <c r="F36" s="46"/>
      <c r="G36" s="46"/>
      <c r="H36" s="46"/>
      <c r="I36" s="46"/>
      <c r="J36" s="46"/>
      <c r="K36" s="46"/>
      <c r="L36" s="46"/>
      <c r="M36" s="46"/>
      <c r="N36" s="46"/>
      <c r="O36" s="46"/>
      <c r="P36" s="46"/>
      <c r="Q36" s="46"/>
      <c r="R36" s="46"/>
      <c r="S36" s="46"/>
      <c r="T36" s="46"/>
      <c r="U36" s="46"/>
      <c r="V36" s="46"/>
      <c r="W36" s="46"/>
      <c r="X36" s="46"/>
      <c r="Y36" s="46"/>
      <c r="Z36" s="46"/>
    </row>
    <row r="37" spans="1:26" x14ac:dyDescent="0.25">
      <c r="A37" s="46"/>
      <c r="B37" s="46"/>
      <c r="C37" s="46"/>
      <c r="D37" s="46"/>
      <c r="E37" s="46"/>
      <c r="F37" s="46"/>
      <c r="G37" s="46"/>
      <c r="H37" s="46"/>
      <c r="I37" s="46"/>
      <c r="J37" s="46"/>
      <c r="K37" s="46"/>
      <c r="L37" s="46"/>
      <c r="M37" s="46"/>
      <c r="N37" s="46"/>
      <c r="O37" s="46"/>
      <c r="P37" s="46"/>
      <c r="Q37" s="46"/>
      <c r="R37" s="46"/>
      <c r="S37" s="46"/>
      <c r="T37" s="46"/>
      <c r="U37" s="46"/>
      <c r="V37" s="46"/>
      <c r="W37" s="46"/>
      <c r="X37" s="46"/>
      <c r="Y37" s="46"/>
      <c r="Z37" s="46"/>
    </row>
    <row r="38" spans="1:26" x14ac:dyDescent="0.25">
      <c r="A38" s="46"/>
      <c r="B38" s="46"/>
      <c r="C38" s="46"/>
      <c r="D38" s="46"/>
      <c r="E38" s="46"/>
      <c r="F38" s="46"/>
      <c r="G38" s="46"/>
      <c r="H38" s="46"/>
      <c r="I38" s="46"/>
      <c r="J38" s="46"/>
      <c r="K38" s="46"/>
      <c r="L38" s="46"/>
      <c r="M38" s="46"/>
      <c r="N38" s="46"/>
      <c r="O38" s="46"/>
      <c r="P38" s="46"/>
      <c r="Q38" s="46"/>
      <c r="R38" s="46"/>
      <c r="S38" s="46"/>
      <c r="T38" s="46"/>
      <c r="U38" s="46"/>
      <c r="V38" s="46"/>
      <c r="W38" s="46"/>
      <c r="X38" s="46"/>
      <c r="Y38" s="46"/>
      <c r="Z38" s="46"/>
    </row>
    <row r="39" spans="1:26" x14ac:dyDescent="0.25">
      <c r="A39" s="46"/>
      <c r="B39" s="46"/>
      <c r="C39" s="46"/>
      <c r="D39" s="46"/>
      <c r="E39" s="46"/>
      <c r="F39" s="46"/>
      <c r="G39" s="46"/>
      <c r="H39" s="46"/>
      <c r="I39" s="46"/>
      <c r="J39" s="46"/>
      <c r="K39" s="46"/>
      <c r="L39" s="46"/>
      <c r="M39" s="46"/>
      <c r="N39" s="46"/>
      <c r="O39" s="46"/>
      <c r="P39" s="46"/>
      <c r="Q39" s="46"/>
      <c r="R39" s="46"/>
      <c r="S39" s="46"/>
      <c r="T39" s="46"/>
      <c r="U39" s="46"/>
      <c r="V39" s="46"/>
      <c r="W39" s="46"/>
      <c r="X39" s="46"/>
      <c r="Y39" s="46"/>
      <c r="Z39" s="46"/>
    </row>
    <row r="40" spans="1:26" x14ac:dyDescent="0.25">
      <c r="A40" s="46"/>
      <c r="B40" s="46"/>
      <c r="C40" s="46"/>
      <c r="D40" s="46"/>
      <c r="E40" s="46"/>
      <c r="F40" s="46"/>
      <c r="G40" s="46"/>
      <c r="H40" s="46"/>
      <c r="I40" s="46"/>
      <c r="J40" s="46"/>
      <c r="K40" s="46"/>
      <c r="L40" s="46"/>
      <c r="M40" s="46"/>
      <c r="N40" s="46"/>
      <c r="O40" s="46"/>
      <c r="P40" s="46"/>
      <c r="Q40" s="46"/>
      <c r="R40" s="46"/>
      <c r="S40" s="46"/>
      <c r="T40" s="46"/>
      <c r="U40" s="46"/>
      <c r="V40" s="46"/>
      <c r="W40" s="46"/>
      <c r="X40" s="46"/>
      <c r="Y40" s="46"/>
      <c r="Z40" s="46"/>
    </row>
    <row r="41" spans="1:26" x14ac:dyDescent="0.25">
      <c r="A41" s="46"/>
      <c r="B41" s="46"/>
      <c r="C41" s="46"/>
      <c r="D41" s="46"/>
      <c r="E41" s="46"/>
      <c r="F41" s="46"/>
      <c r="G41" s="46"/>
      <c r="H41" s="46"/>
      <c r="I41" s="46"/>
      <c r="J41" s="46"/>
      <c r="K41" s="46"/>
      <c r="L41" s="46"/>
      <c r="M41" s="46"/>
      <c r="N41" s="46"/>
      <c r="O41" s="46"/>
      <c r="P41" s="46"/>
      <c r="Q41" s="46"/>
      <c r="R41" s="46"/>
      <c r="S41" s="46"/>
      <c r="T41" s="46"/>
      <c r="U41" s="46"/>
      <c r="V41" s="46"/>
      <c r="W41" s="46"/>
      <c r="X41" s="46"/>
      <c r="Y41" s="46"/>
      <c r="Z41" s="46"/>
    </row>
    <row r="42" spans="1:26" x14ac:dyDescent="0.25">
      <c r="A42" s="46"/>
      <c r="B42" s="46"/>
      <c r="C42" s="46"/>
      <c r="D42" s="46"/>
      <c r="E42" s="46"/>
      <c r="F42" s="46"/>
      <c r="G42" s="46"/>
      <c r="H42" s="46"/>
      <c r="I42" s="46"/>
      <c r="J42" s="46"/>
      <c r="K42" s="46"/>
      <c r="L42" s="46"/>
      <c r="M42" s="46"/>
      <c r="N42" s="46"/>
      <c r="O42" s="46"/>
      <c r="P42" s="46"/>
      <c r="Q42" s="46"/>
      <c r="R42" s="46"/>
      <c r="S42" s="46"/>
      <c r="T42" s="46"/>
      <c r="U42" s="46"/>
      <c r="V42" s="46"/>
      <c r="W42" s="46"/>
      <c r="X42" s="46"/>
      <c r="Y42" s="46"/>
      <c r="Z42" s="46"/>
    </row>
    <row r="43" spans="1:26" x14ac:dyDescent="0.25">
      <c r="A43" s="46"/>
      <c r="B43" s="46"/>
      <c r="C43" s="46"/>
      <c r="D43" s="46"/>
      <c r="E43" s="46"/>
      <c r="F43" s="46"/>
      <c r="G43" s="46"/>
      <c r="H43" s="46"/>
      <c r="I43" s="46"/>
      <c r="J43" s="46"/>
      <c r="K43" s="46"/>
      <c r="L43" s="46"/>
      <c r="M43" s="46"/>
      <c r="N43" s="46"/>
      <c r="O43" s="46"/>
      <c r="P43" s="46"/>
      <c r="Q43" s="46"/>
      <c r="R43" s="46"/>
      <c r="S43" s="46"/>
      <c r="T43" s="46"/>
      <c r="U43" s="46"/>
      <c r="V43" s="46"/>
      <c r="W43" s="46"/>
      <c r="X43" s="46"/>
      <c r="Y43" s="46"/>
      <c r="Z43" s="46"/>
    </row>
    <row r="44" spans="1:26" x14ac:dyDescent="0.25">
      <c r="A44" s="46"/>
      <c r="B44" s="46"/>
      <c r="C44" s="46"/>
      <c r="D44" s="46"/>
      <c r="E44" s="46"/>
      <c r="F44" s="46"/>
      <c r="G44" s="46"/>
      <c r="H44" s="46"/>
      <c r="I44" s="46"/>
      <c r="J44" s="46"/>
      <c r="K44" s="46"/>
      <c r="L44" s="46"/>
      <c r="M44" s="46"/>
      <c r="N44" s="46"/>
      <c r="O44" s="46"/>
      <c r="P44" s="46"/>
      <c r="Q44" s="46"/>
      <c r="R44" s="46"/>
      <c r="S44" s="46"/>
      <c r="T44" s="46"/>
      <c r="U44" s="46"/>
      <c r="V44" s="46"/>
      <c r="W44" s="46"/>
      <c r="X44" s="46"/>
      <c r="Y44" s="46"/>
      <c r="Z44" s="46"/>
    </row>
    <row r="45" spans="1:26" x14ac:dyDescent="0.25">
      <c r="A45" s="46"/>
      <c r="B45" s="46"/>
      <c r="C45" s="46"/>
      <c r="D45" s="46"/>
      <c r="E45" s="46"/>
      <c r="F45" s="46"/>
      <c r="G45" s="46"/>
      <c r="H45" s="46"/>
      <c r="I45" s="46"/>
      <c r="J45" s="46"/>
      <c r="K45" s="46"/>
      <c r="L45" s="46"/>
      <c r="M45" s="46"/>
      <c r="N45" s="46"/>
      <c r="O45" s="46"/>
      <c r="P45" s="46"/>
      <c r="Q45" s="46"/>
      <c r="R45" s="46"/>
      <c r="S45" s="46"/>
      <c r="T45" s="46"/>
      <c r="U45" s="46"/>
      <c r="V45" s="46"/>
      <c r="W45" s="46"/>
      <c r="X45" s="46"/>
      <c r="Y45" s="46"/>
      <c r="Z45" s="46"/>
    </row>
    <row r="46" spans="1:26" x14ac:dyDescent="0.25">
      <c r="A46" s="46"/>
      <c r="B46" s="46"/>
      <c r="C46" s="46"/>
      <c r="D46" s="46"/>
      <c r="E46" s="46"/>
      <c r="F46" s="46"/>
      <c r="G46" s="46"/>
      <c r="H46" s="46"/>
      <c r="I46" s="46"/>
      <c r="J46" s="46"/>
      <c r="K46" s="46"/>
      <c r="L46" s="46"/>
      <c r="M46" s="46"/>
      <c r="N46" s="46"/>
      <c r="O46" s="46"/>
      <c r="P46" s="46"/>
      <c r="Q46" s="46"/>
      <c r="R46" s="46"/>
      <c r="S46" s="46"/>
      <c r="T46" s="46"/>
      <c r="U46" s="46"/>
      <c r="V46" s="46"/>
      <c r="W46" s="46"/>
      <c r="X46" s="46"/>
      <c r="Y46" s="46"/>
      <c r="Z46" s="46"/>
    </row>
    <row r="47" spans="1:26" x14ac:dyDescent="0.25">
      <c r="A47" s="46"/>
      <c r="B47" s="46"/>
      <c r="C47" s="46"/>
      <c r="D47" s="46"/>
      <c r="E47" s="46"/>
      <c r="F47" s="46"/>
      <c r="G47" s="46"/>
      <c r="H47" s="46"/>
      <c r="I47" s="46"/>
      <c r="J47" s="46"/>
      <c r="K47" s="46"/>
      <c r="L47" s="46"/>
      <c r="M47" s="46"/>
      <c r="N47" s="46"/>
      <c r="O47" s="46"/>
      <c r="P47" s="46"/>
      <c r="Q47" s="46"/>
      <c r="R47" s="46"/>
      <c r="S47" s="46"/>
      <c r="T47" s="46"/>
      <c r="U47" s="46"/>
      <c r="V47" s="46"/>
      <c r="W47" s="46"/>
      <c r="X47" s="46"/>
      <c r="Y47" s="46"/>
      <c r="Z47" s="46"/>
    </row>
    <row r="48" spans="1:26" x14ac:dyDescent="0.25">
      <c r="A48" s="46"/>
      <c r="B48" s="46"/>
      <c r="C48" s="46"/>
      <c r="D48" s="46"/>
      <c r="E48" s="46"/>
      <c r="F48" s="46"/>
      <c r="G48" s="46"/>
      <c r="H48" s="46"/>
      <c r="I48" s="46"/>
      <c r="J48" s="46"/>
      <c r="K48" s="46"/>
      <c r="L48" s="46"/>
      <c r="M48" s="46"/>
      <c r="N48" s="46"/>
      <c r="O48" s="46"/>
      <c r="P48" s="46"/>
      <c r="Q48" s="46"/>
      <c r="R48" s="46"/>
      <c r="S48" s="46"/>
      <c r="T48" s="46"/>
      <c r="U48" s="46"/>
      <c r="V48" s="46"/>
      <c r="W48" s="46"/>
      <c r="X48" s="46"/>
      <c r="Y48" s="46"/>
      <c r="Z48" s="46"/>
    </row>
    <row r="49" spans="1:26" x14ac:dyDescent="0.25">
      <c r="A49" s="46"/>
      <c r="B49" s="46"/>
      <c r="C49" s="46"/>
      <c r="D49" s="46"/>
      <c r="E49" s="46"/>
      <c r="F49" s="46"/>
      <c r="G49" s="46"/>
      <c r="H49" s="46"/>
      <c r="I49" s="46"/>
      <c r="J49" s="46"/>
      <c r="K49" s="46"/>
      <c r="L49" s="46"/>
      <c r="M49" s="46"/>
      <c r="N49" s="46"/>
      <c r="O49" s="46"/>
      <c r="P49" s="46"/>
      <c r="Q49" s="46"/>
      <c r="R49" s="46"/>
      <c r="S49" s="46"/>
      <c r="T49" s="46"/>
      <c r="U49" s="46"/>
      <c r="V49" s="46"/>
      <c r="W49" s="46"/>
      <c r="X49" s="46"/>
      <c r="Y49" s="46"/>
      <c r="Z49" s="46"/>
    </row>
    <row r="50" spans="1:26" x14ac:dyDescent="0.25">
      <c r="A50" s="46"/>
      <c r="B50" s="46"/>
      <c r="C50" s="46"/>
      <c r="D50" s="46"/>
      <c r="E50" s="46"/>
      <c r="F50" s="46"/>
      <c r="G50" s="46"/>
      <c r="H50" s="46"/>
      <c r="I50" s="46"/>
      <c r="J50" s="46"/>
      <c r="K50" s="46"/>
      <c r="L50" s="46"/>
      <c r="M50" s="46"/>
      <c r="N50" s="46"/>
      <c r="O50" s="46"/>
      <c r="P50" s="46"/>
      <c r="Q50" s="46"/>
      <c r="R50" s="46"/>
      <c r="S50" s="46"/>
      <c r="T50" s="46"/>
      <c r="U50" s="46"/>
      <c r="V50" s="46"/>
      <c r="W50" s="46"/>
      <c r="X50" s="46"/>
      <c r="Y50" s="46"/>
      <c r="Z50" s="46"/>
    </row>
    <row r="51" spans="1:26" x14ac:dyDescent="0.25">
      <c r="A51" s="46"/>
      <c r="B51" s="46"/>
      <c r="C51" s="46"/>
      <c r="D51" s="46"/>
      <c r="E51" s="46"/>
      <c r="F51" s="46"/>
      <c r="G51" s="46"/>
      <c r="H51" s="46"/>
      <c r="I51" s="46"/>
      <c r="J51" s="46"/>
      <c r="K51" s="46"/>
      <c r="L51" s="46"/>
      <c r="M51" s="46"/>
      <c r="N51" s="46"/>
      <c r="O51" s="46"/>
      <c r="P51" s="46"/>
      <c r="Q51" s="46"/>
      <c r="R51" s="46"/>
      <c r="S51" s="46"/>
      <c r="T51" s="46"/>
      <c r="U51" s="46"/>
      <c r="V51" s="46"/>
      <c r="W51" s="46"/>
      <c r="X51" s="46"/>
      <c r="Y51" s="46"/>
      <c r="Z51" s="46"/>
    </row>
    <row r="52" spans="1:26" x14ac:dyDescent="0.25">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row>
    <row r="53" spans="1:26" x14ac:dyDescent="0.25">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row>
    <row r="54" spans="1:26" x14ac:dyDescent="0.25">
      <c r="A54" s="46"/>
      <c r="B54" s="46"/>
      <c r="C54" s="46"/>
      <c r="D54" s="46"/>
      <c r="E54" s="46"/>
      <c r="F54" s="46"/>
      <c r="G54" s="46"/>
      <c r="H54" s="46"/>
      <c r="I54" s="46"/>
      <c r="J54" s="46"/>
      <c r="K54" s="46"/>
      <c r="L54" s="46"/>
      <c r="M54" s="46"/>
      <c r="N54" s="46"/>
      <c r="O54" s="46"/>
      <c r="P54" s="46"/>
      <c r="Q54" s="46"/>
      <c r="R54" s="46"/>
      <c r="S54" s="46"/>
      <c r="T54" s="46"/>
      <c r="U54" s="46"/>
      <c r="V54" s="46"/>
      <c r="W54" s="46"/>
      <c r="X54" s="46"/>
      <c r="Y54" s="46"/>
      <c r="Z54" s="46"/>
    </row>
    <row r="55" spans="1:26" x14ac:dyDescent="0.25">
      <c r="A55" s="46"/>
      <c r="B55" s="46"/>
      <c r="C55" s="46"/>
      <c r="D55" s="46"/>
      <c r="E55" s="46"/>
      <c r="F55" s="46"/>
      <c r="G55" s="46"/>
      <c r="H55" s="46"/>
      <c r="I55" s="46"/>
      <c r="J55" s="46"/>
      <c r="K55" s="46"/>
      <c r="L55" s="46"/>
      <c r="M55" s="46"/>
      <c r="N55" s="46"/>
      <c r="O55" s="46"/>
      <c r="P55" s="46"/>
      <c r="Q55" s="46"/>
      <c r="R55" s="46"/>
      <c r="S55" s="46"/>
      <c r="T55" s="46"/>
      <c r="U55" s="46"/>
      <c r="V55" s="46"/>
      <c r="W55" s="46"/>
      <c r="X55" s="46"/>
      <c r="Y55" s="46"/>
      <c r="Z55" s="46"/>
    </row>
    <row r="56" spans="1:26" x14ac:dyDescent="0.25">
      <c r="A56" s="46"/>
      <c r="B56" s="46"/>
      <c r="C56" s="46"/>
      <c r="D56" s="46"/>
      <c r="E56" s="46"/>
      <c r="F56" s="46"/>
      <c r="G56" s="46"/>
      <c r="H56" s="46"/>
      <c r="I56" s="46"/>
      <c r="J56" s="46"/>
      <c r="K56" s="46"/>
      <c r="L56" s="46"/>
      <c r="M56" s="46"/>
      <c r="N56" s="46"/>
      <c r="O56" s="46"/>
      <c r="P56" s="46"/>
      <c r="Q56" s="46"/>
      <c r="R56" s="46"/>
      <c r="S56" s="46"/>
      <c r="T56" s="46"/>
      <c r="U56" s="46"/>
      <c r="V56" s="46"/>
      <c r="W56" s="46"/>
      <c r="X56" s="46"/>
      <c r="Y56" s="46"/>
      <c r="Z56" s="46"/>
    </row>
    <row r="57" spans="1:26" x14ac:dyDescent="0.25">
      <c r="A57" s="46"/>
      <c r="B57" s="46"/>
      <c r="C57" s="46"/>
      <c r="D57" s="46"/>
      <c r="E57" s="46"/>
      <c r="F57" s="46"/>
      <c r="G57" s="46"/>
      <c r="H57" s="46"/>
      <c r="I57" s="46"/>
      <c r="J57" s="46"/>
      <c r="K57" s="46"/>
      <c r="L57" s="46"/>
      <c r="M57" s="46"/>
      <c r="N57" s="46"/>
      <c r="O57" s="46"/>
      <c r="P57" s="46"/>
      <c r="Q57" s="46"/>
      <c r="R57" s="46"/>
      <c r="S57" s="46"/>
      <c r="T57" s="46"/>
      <c r="U57" s="46"/>
      <c r="V57" s="46"/>
      <c r="W57" s="46"/>
      <c r="X57" s="46"/>
      <c r="Y57" s="46"/>
      <c r="Z57" s="46"/>
    </row>
    <row r="58" spans="1:26" x14ac:dyDescent="0.25">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row>
    <row r="59" spans="1:26" x14ac:dyDescent="0.25">
      <c r="A59" s="46"/>
      <c r="B59" s="46"/>
      <c r="C59" s="46"/>
      <c r="D59" s="46"/>
      <c r="E59" s="46"/>
      <c r="F59" s="46"/>
      <c r="G59" s="46"/>
      <c r="H59" s="46"/>
      <c r="I59" s="46"/>
      <c r="J59" s="46"/>
      <c r="K59" s="46"/>
      <c r="L59" s="46"/>
      <c r="M59" s="46"/>
      <c r="N59" s="46"/>
      <c r="O59" s="46"/>
      <c r="P59" s="46"/>
      <c r="Q59" s="46"/>
      <c r="R59" s="46"/>
      <c r="S59" s="46"/>
      <c r="T59" s="46"/>
      <c r="U59" s="46"/>
      <c r="V59" s="46"/>
      <c r="W59" s="46"/>
      <c r="X59" s="46"/>
      <c r="Y59" s="46"/>
      <c r="Z59" s="46"/>
    </row>
    <row r="60" spans="1:26" x14ac:dyDescent="0.25">
      <c r="A60" s="46"/>
      <c r="B60" s="46"/>
      <c r="C60" s="46"/>
      <c r="D60" s="46"/>
      <c r="E60" s="46"/>
      <c r="F60" s="46"/>
      <c r="G60" s="46"/>
      <c r="H60" s="46"/>
      <c r="I60" s="46"/>
      <c r="J60" s="46"/>
      <c r="K60" s="46"/>
      <c r="L60" s="46"/>
      <c r="M60" s="46"/>
      <c r="N60" s="46"/>
      <c r="O60" s="46"/>
      <c r="P60" s="46"/>
      <c r="Q60" s="46"/>
      <c r="R60" s="46"/>
      <c r="S60" s="46"/>
      <c r="T60" s="46"/>
      <c r="U60" s="46"/>
      <c r="V60" s="46"/>
      <c r="W60" s="46"/>
      <c r="X60" s="46"/>
      <c r="Y60" s="46"/>
      <c r="Z60" s="46"/>
    </row>
    <row r="61" spans="1:26" x14ac:dyDescent="0.25">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row>
    <row r="62" spans="1:26" x14ac:dyDescent="0.25">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row>
    <row r="63" spans="1:26" x14ac:dyDescent="0.25">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row>
    <row r="64" spans="1:26" x14ac:dyDescent="0.25">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spans="1:26" x14ac:dyDescent="0.25">
      <c r="A65" s="46"/>
      <c r="B65" s="46"/>
      <c r="C65" s="46"/>
      <c r="D65" s="46"/>
      <c r="E65" s="46"/>
      <c r="F65" s="46"/>
      <c r="G65" s="46"/>
      <c r="H65" s="46"/>
      <c r="I65" s="46"/>
      <c r="J65" s="46"/>
      <c r="K65" s="46"/>
      <c r="L65" s="46"/>
      <c r="M65" s="46"/>
      <c r="N65" s="46"/>
      <c r="O65" s="46"/>
      <c r="P65" s="46"/>
      <c r="Q65" s="46"/>
      <c r="R65" s="46"/>
      <c r="S65" s="46"/>
      <c r="T65" s="46"/>
      <c r="U65" s="46"/>
      <c r="V65" s="46"/>
      <c r="W65" s="46"/>
      <c r="X65" s="46"/>
      <c r="Y65" s="46"/>
      <c r="Z65" s="46"/>
    </row>
    <row r="66" spans="1:26" x14ac:dyDescent="0.25">
      <c r="A66" s="46"/>
      <c r="B66" s="46"/>
      <c r="C66" s="46"/>
      <c r="D66" s="46"/>
      <c r="E66" s="46"/>
      <c r="F66" s="46"/>
      <c r="G66" s="46"/>
      <c r="H66" s="46"/>
      <c r="I66" s="46"/>
      <c r="J66" s="46"/>
      <c r="K66" s="46"/>
      <c r="L66" s="46"/>
      <c r="M66" s="46"/>
      <c r="N66" s="46"/>
      <c r="O66" s="46"/>
      <c r="P66" s="46"/>
      <c r="Q66" s="46"/>
      <c r="R66" s="46"/>
      <c r="S66" s="46"/>
      <c r="T66" s="46"/>
      <c r="U66" s="46"/>
      <c r="V66" s="46"/>
      <c r="W66" s="46"/>
      <c r="X66" s="46"/>
      <c r="Y66" s="46"/>
      <c r="Z66" s="46"/>
    </row>
    <row r="67" spans="1:26" x14ac:dyDescent="0.25">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row>
    <row r="68" spans="1:26" x14ac:dyDescent="0.25">
      <c r="A68" s="46"/>
      <c r="B68" s="46"/>
      <c r="C68" s="46"/>
      <c r="D68" s="46"/>
      <c r="E68" s="46"/>
      <c r="F68" s="46"/>
      <c r="G68" s="46"/>
      <c r="H68" s="46"/>
      <c r="I68" s="46"/>
      <c r="J68" s="46"/>
      <c r="K68" s="46"/>
      <c r="L68" s="46"/>
      <c r="M68" s="46"/>
      <c r="N68" s="46"/>
      <c r="O68" s="46"/>
      <c r="P68" s="46"/>
      <c r="Q68" s="46"/>
      <c r="R68" s="46"/>
      <c r="S68" s="46"/>
      <c r="T68" s="46"/>
      <c r="U68" s="46"/>
      <c r="V68" s="46"/>
      <c r="W68" s="46"/>
      <c r="X68" s="46"/>
      <c r="Y68" s="46"/>
      <c r="Z68" s="46"/>
    </row>
    <row r="69" spans="1:26" x14ac:dyDescent="0.25">
      <c r="A69" s="46"/>
      <c r="B69" s="46"/>
      <c r="C69" s="46"/>
      <c r="D69" s="46"/>
      <c r="E69" s="46"/>
      <c r="F69" s="46"/>
      <c r="G69" s="46"/>
      <c r="H69" s="46"/>
      <c r="I69" s="46"/>
      <c r="J69" s="46"/>
      <c r="K69" s="46"/>
      <c r="L69" s="46"/>
      <c r="M69" s="46"/>
      <c r="N69" s="46"/>
      <c r="O69" s="46"/>
      <c r="P69" s="46"/>
      <c r="Q69" s="46"/>
      <c r="R69" s="46"/>
      <c r="S69" s="46"/>
      <c r="T69" s="46"/>
      <c r="U69" s="46"/>
      <c r="V69" s="46"/>
      <c r="W69" s="46"/>
      <c r="X69" s="46"/>
      <c r="Y69" s="46"/>
      <c r="Z69" s="46"/>
    </row>
    <row r="70" spans="1:26" x14ac:dyDescent="0.25">
      <c r="A70" s="46"/>
      <c r="B70" s="46"/>
      <c r="C70" s="46"/>
      <c r="D70" s="46"/>
      <c r="E70" s="46"/>
      <c r="F70" s="46"/>
      <c r="G70" s="46"/>
      <c r="H70" s="46"/>
      <c r="I70" s="46"/>
      <c r="J70" s="46"/>
      <c r="K70" s="46"/>
      <c r="L70" s="46"/>
      <c r="M70" s="46"/>
      <c r="N70" s="46"/>
      <c r="O70" s="46"/>
      <c r="P70" s="46"/>
      <c r="Q70" s="46"/>
      <c r="R70" s="46"/>
      <c r="S70" s="46"/>
      <c r="T70" s="46"/>
      <c r="U70" s="46"/>
      <c r="V70" s="46"/>
      <c r="W70" s="46"/>
      <c r="X70" s="46"/>
      <c r="Y70" s="46"/>
      <c r="Z70" s="46"/>
    </row>
    <row r="71" spans="1:26" x14ac:dyDescent="0.25">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row>
    <row r="72" spans="1:26" x14ac:dyDescent="0.25">
      <c r="A72" s="46"/>
      <c r="B72" s="46"/>
      <c r="C72" s="46"/>
      <c r="D72" s="46"/>
      <c r="E72" s="46"/>
      <c r="F72" s="46"/>
      <c r="G72" s="46"/>
      <c r="H72" s="46"/>
      <c r="I72" s="46"/>
      <c r="J72" s="46"/>
      <c r="K72" s="46"/>
      <c r="L72" s="46"/>
      <c r="M72" s="46"/>
      <c r="N72" s="46"/>
      <c r="O72" s="46"/>
      <c r="P72" s="46"/>
      <c r="Q72" s="46"/>
      <c r="R72" s="46"/>
      <c r="S72" s="46"/>
      <c r="T72" s="46"/>
      <c r="U72" s="46"/>
      <c r="V72" s="46"/>
      <c r="W72" s="46"/>
      <c r="X72" s="46"/>
      <c r="Y72" s="46"/>
      <c r="Z72" s="46"/>
    </row>
    <row r="73" spans="1:26" x14ac:dyDescent="0.25">
      <c r="A73" s="46"/>
      <c r="B73" s="46"/>
      <c r="C73" s="46"/>
      <c r="D73" s="46"/>
      <c r="E73" s="46"/>
      <c r="F73" s="46"/>
      <c r="G73" s="46"/>
      <c r="H73" s="46"/>
      <c r="I73" s="46"/>
      <c r="J73" s="46"/>
      <c r="K73" s="46"/>
      <c r="L73" s="46"/>
      <c r="M73" s="46"/>
      <c r="N73" s="46"/>
      <c r="O73" s="46"/>
      <c r="P73" s="46"/>
      <c r="Q73" s="46"/>
      <c r="R73" s="46"/>
      <c r="S73" s="46"/>
      <c r="T73" s="46"/>
      <c r="U73" s="46"/>
      <c r="V73" s="46"/>
      <c r="W73" s="46"/>
      <c r="X73" s="46"/>
      <c r="Y73" s="46"/>
      <c r="Z73" s="46"/>
    </row>
    <row r="74" spans="1:26" x14ac:dyDescent="0.25">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spans="1:26" x14ac:dyDescent="0.25">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row>
    <row r="76" spans="1:26" x14ac:dyDescent="0.25">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row>
    <row r="77" spans="1:26" x14ac:dyDescent="0.25">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row>
    <row r="78" spans="1:26" x14ac:dyDescent="0.25">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row>
    <row r="79" spans="1:26" x14ac:dyDescent="0.25">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row>
    <row r="80" spans="1:26" x14ac:dyDescent="0.25">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x14ac:dyDescent="0.25">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row>
    <row r="83" spans="1:26" x14ac:dyDescent="0.25">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row>
    <row r="84" spans="1:26" x14ac:dyDescent="0.25">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spans="1:26" x14ac:dyDescent="0.25">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row>
    <row r="86" spans="1:26" x14ac:dyDescent="0.25">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row>
    <row r="87" spans="1:26" x14ac:dyDescent="0.25">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spans="1:26" x14ac:dyDescent="0.25">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row>
    <row r="89" spans="1:26" x14ac:dyDescent="0.25">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row>
    <row r="90" spans="1:26" x14ac:dyDescent="0.25">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row>
    <row r="91" spans="1:26"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spans="1:26"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spans="1:26" x14ac:dyDescent="0.25">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x14ac:dyDescent="0.25">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x14ac:dyDescent="0.25">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x14ac:dyDescent="0.25">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spans="1:26" x14ac:dyDescent="0.25">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0" spans="1:26" x14ac:dyDescent="0.25">
      <c r="A100" s="46"/>
      <c r="B100" s="46"/>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row>
    <row r="101" spans="1:26" x14ac:dyDescent="0.25">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row>
    <row r="102" spans="1:26" x14ac:dyDescent="0.25">
      <c r="A102" s="46"/>
      <c r="B102" s="46"/>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row>
    <row r="103" spans="1:26" x14ac:dyDescent="0.25">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row>
    <row r="104" spans="1:26" x14ac:dyDescent="0.2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row>
    <row r="105" spans="1:26" x14ac:dyDescent="0.25">
      <c r="A105" s="46"/>
      <c r="B105" s="46"/>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row>
    <row r="106" spans="1:26" x14ac:dyDescent="0.25">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row>
    <row r="107" spans="1:26" x14ac:dyDescent="0.25">
      <c r="A107" s="46"/>
      <c r="B107" s="46"/>
      <c r="C107" s="46"/>
      <c r="D107" s="46"/>
      <c r="E107" s="46"/>
      <c r="F107" s="46"/>
      <c r="G107" s="46"/>
      <c r="H107" s="46"/>
      <c r="I107" s="46"/>
      <c r="J107" s="46"/>
      <c r="K107" s="46"/>
      <c r="L107" s="46"/>
      <c r="M107" s="46"/>
      <c r="N107" s="46"/>
      <c r="O107" s="46"/>
      <c r="P107" s="46"/>
      <c r="Q107" s="46"/>
      <c r="R107" s="46"/>
      <c r="S107" s="46"/>
      <c r="T107" s="46"/>
      <c r="U107" s="46"/>
      <c r="V107" s="46"/>
      <c r="W107" s="46"/>
      <c r="X107" s="46"/>
      <c r="Y107" s="46"/>
      <c r="Z107" s="46"/>
    </row>
    <row r="108" spans="1:26" x14ac:dyDescent="0.25">
      <c r="A108" s="46"/>
      <c r="B108" s="46"/>
      <c r="C108" s="46"/>
      <c r="D108" s="46"/>
      <c r="E108" s="46"/>
      <c r="F108" s="46"/>
      <c r="G108" s="46"/>
      <c r="H108" s="46"/>
      <c r="I108" s="46"/>
      <c r="J108" s="46"/>
      <c r="K108" s="46"/>
      <c r="L108" s="46"/>
      <c r="M108" s="46"/>
      <c r="N108" s="46"/>
      <c r="O108" s="46"/>
      <c r="P108" s="46"/>
      <c r="Q108" s="46"/>
      <c r="R108" s="46"/>
      <c r="S108" s="46"/>
      <c r="T108" s="46"/>
      <c r="U108" s="46"/>
      <c r="V108" s="46"/>
      <c r="W108" s="46"/>
      <c r="X108" s="46"/>
      <c r="Y108" s="46"/>
      <c r="Z108" s="46"/>
    </row>
    <row r="109" spans="1:26" x14ac:dyDescent="0.25">
      <c r="A109" s="46"/>
      <c r="B109" s="46"/>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row>
    <row r="110" spans="1:26" x14ac:dyDescent="0.25">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row>
    <row r="111" spans="1:26" x14ac:dyDescent="0.25">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spans="1:26" x14ac:dyDescent="0.25">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spans="1:26" x14ac:dyDescent="0.25">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row>
    <row r="114" spans="1:26" x14ac:dyDescent="0.25">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row>
    <row r="115" spans="1:26" x14ac:dyDescent="0.2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spans="1:26" x14ac:dyDescent="0.25">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spans="1:26" x14ac:dyDescent="0.25">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spans="1:26" x14ac:dyDescent="0.25">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spans="1:26" x14ac:dyDescent="0.25">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spans="1:26" x14ac:dyDescent="0.25">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spans="1:26" x14ac:dyDescent="0.25">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spans="1:26" x14ac:dyDescent="0.25">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spans="1:26" x14ac:dyDescent="0.25">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spans="1:26" x14ac:dyDescent="0.25">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spans="1:26" x14ac:dyDescent="0.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spans="1:26" x14ac:dyDescent="0.25">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spans="1:26" x14ac:dyDescent="0.25">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spans="1:26" x14ac:dyDescent="0.25">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spans="1:26" x14ac:dyDescent="0.25">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spans="1:26" x14ac:dyDescent="0.25">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spans="1:26" x14ac:dyDescent="0.25">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spans="1:26" x14ac:dyDescent="0.25">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spans="1:26" x14ac:dyDescent="0.25">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spans="1:26" x14ac:dyDescent="0.25">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spans="1:26" x14ac:dyDescent="0.2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spans="1:26" x14ac:dyDescent="0.25">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spans="1:26" x14ac:dyDescent="0.25">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spans="1:26" x14ac:dyDescent="0.25">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spans="1:26" x14ac:dyDescent="0.25">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spans="1:26" x14ac:dyDescent="0.25">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spans="1:26" x14ac:dyDescent="0.25">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spans="1:26" x14ac:dyDescent="0.25">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spans="1:26" x14ac:dyDescent="0.25">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spans="1:26" x14ac:dyDescent="0.25">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spans="1:26" x14ac:dyDescent="0.2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spans="1:26" x14ac:dyDescent="0.25">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spans="1:26" x14ac:dyDescent="0.25">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spans="1:26" x14ac:dyDescent="0.25">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spans="1:26" x14ac:dyDescent="0.25">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spans="1:26" x14ac:dyDescent="0.25">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spans="1:26" x14ac:dyDescent="0.25">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spans="1:26" x14ac:dyDescent="0.25">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spans="1:26" x14ac:dyDescent="0.25">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spans="1:26" x14ac:dyDescent="0.25">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spans="1:26" x14ac:dyDescent="0.2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spans="1:26" x14ac:dyDescent="0.25">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spans="1:26" x14ac:dyDescent="0.25">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spans="1:26" x14ac:dyDescent="0.25">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spans="1:26" x14ac:dyDescent="0.25">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spans="1:26" x14ac:dyDescent="0.25">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spans="1:26" x14ac:dyDescent="0.25">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spans="1:26" x14ac:dyDescent="0.25">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spans="1:26" x14ac:dyDescent="0.25">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spans="1:26" x14ac:dyDescent="0.25">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spans="1:26" x14ac:dyDescent="0.2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spans="1:26" x14ac:dyDescent="0.25">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spans="1:26" x14ac:dyDescent="0.25">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spans="1:26" x14ac:dyDescent="0.25">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spans="1:26" x14ac:dyDescent="0.25">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spans="1:26" x14ac:dyDescent="0.25">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spans="1:26" x14ac:dyDescent="0.25">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spans="1:26" x14ac:dyDescent="0.25">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spans="1:26" x14ac:dyDescent="0.25">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spans="1:26" x14ac:dyDescent="0.25">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spans="1:26" x14ac:dyDescent="0.2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spans="1:26" x14ac:dyDescent="0.25">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spans="1:26" x14ac:dyDescent="0.25">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spans="1:26" x14ac:dyDescent="0.25">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spans="1:26" x14ac:dyDescent="0.25">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spans="1:26" x14ac:dyDescent="0.25">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spans="1:26" x14ac:dyDescent="0.25">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spans="1:26" x14ac:dyDescent="0.25">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spans="1:26" x14ac:dyDescent="0.25">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spans="1:26" x14ac:dyDescent="0.25">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spans="1:26" x14ac:dyDescent="0.2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spans="1:26" x14ac:dyDescent="0.25">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spans="1:26" x14ac:dyDescent="0.25">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spans="1:26" x14ac:dyDescent="0.25">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spans="1:26" x14ac:dyDescent="0.25">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spans="1:26" x14ac:dyDescent="0.25">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spans="1:26" x14ac:dyDescent="0.25">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spans="1:26" x14ac:dyDescent="0.25">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spans="1:26" x14ac:dyDescent="0.25">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spans="1:26" x14ac:dyDescent="0.25">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spans="1:26" x14ac:dyDescent="0.2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spans="1:26" x14ac:dyDescent="0.25">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spans="1:26" x14ac:dyDescent="0.25">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spans="1:26" x14ac:dyDescent="0.25">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spans="1:26" x14ac:dyDescent="0.25">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spans="1:26" x14ac:dyDescent="0.25">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spans="1:26" x14ac:dyDescent="0.25">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spans="1:26" x14ac:dyDescent="0.25">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spans="1:26" x14ac:dyDescent="0.25">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spans="1:26" x14ac:dyDescent="0.25">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spans="1:26" x14ac:dyDescent="0.2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spans="1:26" x14ac:dyDescent="0.25">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spans="1:26" x14ac:dyDescent="0.25">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spans="1:26" x14ac:dyDescent="0.25">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spans="1:26" x14ac:dyDescent="0.25">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spans="1:26" x14ac:dyDescent="0.25">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spans="1:26" x14ac:dyDescent="0.25">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spans="1:26" x14ac:dyDescent="0.25">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spans="1:26" x14ac:dyDescent="0.25">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spans="1:26" x14ac:dyDescent="0.25">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spans="1:26" x14ac:dyDescent="0.2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spans="1:26" x14ac:dyDescent="0.25">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spans="1:26" x14ac:dyDescent="0.25">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spans="1:26" x14ac:dyDescent="0.25">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spans="1:26" x14ac:dyDescent="0.25">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spans="1:26" x14ac:dyDescent="0.25">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spans="1:26" x14ac:dyDescent="0.25">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spans="1:26" x14ac:dyDescent="0.25">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spans="1:26" x14ac:dyDescent="0.25">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spans="1:26" x14ac:dyDescent="0.25">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spans="1:26" x14ac:dyDescent="0.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spans="1:26" x14ac:dyDescent="0.25">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spans="1:26" x14ac:dyDescent="0.25">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spans="1:26" x14ac:dyDescent="0.25">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spans="1:26" x14ac:dyDescent="0.25">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spans="1:26" x14ac:dyDescent="0.25">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spans="1:26" x14ac:dyDescent="0.25">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spans="1:26" x14ac:dyDescent="0.25">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spans="1:26" x14ac:dyDescent="0.25">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spans="1:26" x14ac:dyDescent="0.25">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spans="1:26" x14ac:dyDescent="0.2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spans="1:26" x14ac:dyDescent="0.25">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spans="1:26" x14ac:dyDescent="0.25">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spans="1:26" x14ac:dyDescent="0.25">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spans="1:26" x14ac:dyDescent="0.25">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spans="1:26" x14ac:dyDescent="0.25">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spans="1:26" x14ac:dyDescent="0.25">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spans="1:26" x14ac:dyDescent="0.25">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spans="1:26" x14ac:dyDescent="0.25">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spans="1:26" x14ac:dyDescent="0.25">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spans="1:26" x14ac:dyDescent="0.2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spans="1:26" x14ac:dyDescent="0.25">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spans="1:26" x14ac:dyDescent="0.25">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spans="1:26" x14ac:dyDescent="0.25">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spans="1:26" x14ac:dyDescent="0.25">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spans="1:26" x14ac:dyDescent="0.25">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spans="1:26" x14ac:dyDescent="0.25">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spans="1:26" x14ac:dyDescent="0.25">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spans="1:26" x14ac:dyDescent="0.25">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spans="1:26" x14ac:dyDescent="0.25">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spans="1:26" x14ac:dyDescent="0.2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spans="1:26" x14ac:dyDescent="0.25">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spans="1:26" x14ac:dyDescent="0.25">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spans="1:26" x14ac:dyDescent="0.25">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spans="1:26" x14ac:dyDescent="0.25">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spans="1:26" x14ac:dyDescent="0.25">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spans="1:26" x14ac:dyDescent="0.25">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spans="1:26" x14ac:dyDescent="0.25">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spans="1:26" x14ac:dyDescent="0.25">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spans="1:26" x14ac:dyDescent="0.25">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spans="1:26" x14ac:dyDescent="0.2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spans="1:26" x14ac:dyDescent="0.25">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spans="1:26" x14ac:dyDescent="0.25">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spans="1:26" x14ac:dyDescent="0.25">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spans="1:26" x14ac:dyDescent="0.25">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spans="1:26" x14ac:dyDescent="0.25">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spans="1:26" x14ac:dyDescent="0.25">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spans="1:26" x14ac:dyDescent="0.25">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spans="1:26" x14ac:dyDescent="0.25">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spans="1:26" x14ac:dyDescent="0.25">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spans="1:26" x14ac:dyDescent="0.2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spans="1:26" x14ac:dyDescent="0.25">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spans="1:26" x14ac:dyDescent="0.25">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spans="1:26" x14ac:dyDescent="0.25">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spans="1:26" x14ac:dyDescent="0.25">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spans="1:26" x14ac:dyDescent="0.25">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spans="1:26" x14ac:dyDescent="0.25">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spans="1:26" x14ac:dyDescent="0.25">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spans="1:26" x14ac:dyDescent="0.25">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spans="1:26" x14ac:dyDescent="0.25">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spans="1:26" x14ac:dyDescent="0.2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spans="1:26" x14ac:dyDescent="0.25">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spans="1:26" x14ac:dyDescent="0.25">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spans="1:26" x14ac:dyDescent="0.25">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spans="1:26" x14ac:dyDescent="0.25">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spans="1:26" x14ac:dyDescent="0.25">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spans="1:26" x14ac:dyDescent="0.25">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spans="1:26" x14ac:dyDescent="0.25">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spans="1:26" x14ac:dyDescent="0.25">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spans="1:26" x14ac:dyDescent="0.25">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spans="1:26" x14ac:dyDescent="0.2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spans="1:26" x14ac:dyDescent="0.25">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spans="1:26" x14ac:dyDescent="0.25">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spans="1:26" x14ac:dyDescent="0.25">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spans="1:26" x14ac:dyDescent="0.25">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spans="1:26" x14ac:dyDescent="0.25">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spans="1:26" x14ac:dyDescent="0.25">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spans="1:26" x14ac:dyDescent="0.25">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spans="1:26" x14ac:dyDescent="0.25">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spans="1:26" x14ac:dyDescent="0.25">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spans="1:26" x14ac:dyDescent="0.2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spans="1:26" x14ac:dyDescent="0.25">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spans="1:26" x14ac:dyDescent="0.25">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spans="1:26" x14ac:dyDescent="0.25">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spans="1:26" x14ac:dyDescent="0.25">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spans="1:26" x14ac:dyDescent="0.25">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spans="1:26" x14ac:dyDescent="0.25">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spans="1:26" x14ac:dyDescent="0.25">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spans="1:26" x14ac:dyDescent="0.25">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spans="1:26" x14ac:dyDescent="0.25">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spans="1:26" x14ac:dyDescent="0.2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spans="1:26" x14ac:dyDescent="0.25">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spans="1:26" x14ac:dyDescent="0.25">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spans="1:26" x14ac:dyDescent="0.25">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spans="1:26" x14ac:dyDescent="0.25">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spans="1:26" x14ac:dyDescent="0.25">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spans="1:26" x14ac:dyDescent="0.25">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spans="1:26" x14ac:dyDescent="0.25">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spans="1:26" x14ac:dyDescent="0.25">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spans="1:26" x14ac:dyDescent="0.25">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spans="1:26" x14ac:dyDescent="0.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spans="1:26" x14ac:dyDescent="0.25">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spans="1:26" x14ac:dyDescent="0.25">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spans="1:26" x14ac:dyDescent="0.25">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spans="1:26" x14ac:dyDescent="0.25">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spans="1:26" x14ac:dyDescent="0.25">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spans="1:26" x14ac:dyDescent="0.25">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spans="1:26" x14ac:dyDescent="0.25">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spans="1:26" x14ac:dyDescent="0.25">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spans="1:26" x14ac:dyDescent="0.25">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spans="1:26" x14ac:dyDescent="0.2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spans="1:26" x14ac:dyDescent="0.25">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spans="1:26" x14ac:dyDescent="0.25">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spans="1:26" x14ac:dyDescent="0.25">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spans="1:26" x14ac:dyDescent="0.25">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spans="1:26" x14ac:dyDescent="0.25">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spans="1:26" x14ac:dyDescent="0.25">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spans="1:26" x14ac:dyDescent="0.25">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spans="1:26" x14ac:dyDescent="0.25">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spans="1:26" x14ac:dyDescent="0.25">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spans="1:26" x14ac:dyDescent="0.2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spans="1:26" x14ac:dyDescent="0.25">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spans="1:26" x14ac:dyDescent="0.25">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spans="1:26" x14ac:dyDescent="0.25">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spans="1:26" x14ac:dyDescent="0.25">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spans="1:26" x14ac:dyDescent="0.25">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spans="1:26" x14ac:dyDescent="0.25">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spans="1:26" x14ac:dyDescent="0.25">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spans="1:26" x14ac:dyDescent="0.25">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spans="1:26" x14ac:dyDescent="0.25">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spans="1:26" x14ac:dyDescent="0.2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spans="1:26" x14ac:dyDescent="0.25">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spans="1:26" x14ac:dyDescent="0.25">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spans="1:26" x14ac:dyDescent="0.25">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spans="1:26" x14ac:dyDescent="0.25">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spans="1:26" x14ac:dyDescent="0.25">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spans="1:26" x14ac:dyDescent="0.25">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spans="1:26" x14ac:dyDescent="0.25">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spans="1:26" x14ac:dyDescent="0.25">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spans="1:26" x14ac:dyDescent="0.25">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spans="1:26" x14ac:dyDescent="0.2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spans="1:26" x14ac:dyDescent="0.25">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spans="1:26" x14ac:dyDescent="0.25">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spans="1:26" x14ac:dyDescent="0.25">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spans="1:26" x14ac:dyDescent="0.25">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spans="1:26" x14ac:dyDescent="0.25">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spans="1:26" x14ac:dyDescent="0.25">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spans="1:26" x14ac:dyDescent="0.25">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spans="1:26" x14ac:dyDescent="0.25">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spans="1:26" x14ac:dyDescent="0.25">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spans="1:26" x14ac:dyDescent="0.2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spans="1:26" x14ac:dyDescent="0.25">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spans="1:26" x14ac:dyDescent="0.25">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spans="1:26" x14ac:dyDescent="0.25">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spans="1:26" x14ac:dyDescent="0.25">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spans="1:26" x14ac:dyDescent="0.25">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spans="1:26" x14ac:dyDescent="0.25">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spans="1:26" x14ac:dyDescent="0.25">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spans="1:26" x14ac:dyDescent="0.25">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spans="1:26" x14ac:dyDescent="0.25">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spans="1:26" x14ac:dyDescent="0.2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spans="1:26" x14ac:dyDescent="0.25">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spans="1:26" x14ac:dyDescent="0.25">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spans="1:26" x14ac:dyDescent="0.25">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spans="1:26" x14ac:dyDescent="0.25">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spans="1:26" x14ac:dyDescent="0.25">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spans="1:26" x14ac:dyDescent="0.25">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spans="1:26" x14ac:dyDescent="0.25">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spans="1:26" x14ac:dyDescent="0.25">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spans="1:26" x14ac:dyDescent="0.25">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spans="1:26" x14ac:dyDescent="0.2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spans="1:26" x14ac:dyDescent="0.25">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spans="1:26" x14ac:dyDescent="0.25">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spans="1:26" x14ac:dyDescent="0.25">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spans="1:26" x14ac:dyDescent="0.25">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spans="1:26" x14ac:dyDescent="0.25">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spans="1:26" x14ac:dyDescent="0.25">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spans="1:26" x14ac:dyDescent="0.25">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spans="1:26" x14ac:dyDescent="0.25">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spans="1:26" x14ac:dyDescent="0.25">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spans="1:26" x14ac:dyDescent="0.2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spans="1:26" x14ac:dyDescent="0.25">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spans="1:26" x14ac:dyDescent="0.25">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spans="1:26" x14ac:dyDescent="0.25">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spans="1:26" x14ac:dyDescent="0.25">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spans="1:26" x14ac:dyDescent="0.25">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spans="1:26" x14ac:dyDescent="0.25">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spans="1:26" x14ac:dyDescent="0.25">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spans="1:26" x14ac:dyDescent="0.25">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spans="1:26" x14ac:dyDescent="0.25">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spans="1:26" x14ac:dyDescent="0.2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spans="1:26" x14ac:dyDescent="0.25">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spans="1:26" x14ac:dyDescent="0.25">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spans="1:26" x14ac:dyDescent="0.25">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spans="1:26" x14ac:dyDescent="0.25">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spans="1:26" x14ac:dyDescent="0.25">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spans="1:26" x14ac:dyDescent="0.25">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spans="1:26" x14ac:dyDescent="0.25">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spans="1:26" x14ac:dyDescent="0.25">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spans="1:26" x14ac:dyDescent="0.25">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spans="1:26" x14ac:dyDescent="0.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spans="1:26" x14ac:dyDescent="0.25">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spans="1:26" x14ac:dyDescent="0.25">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spans="1:26" x14ac:dyDescent="0.25">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spans="1:26" x14ac:dyDescent="0.25">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spans="1:26" x14ac:dyDescent="0.25">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spans="1:26" x14ac:dyDescent="0.25">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spans="1:26" x14ac:dyDescent="0.25">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spans="1:26" x14ac:dyDescent="0.25">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spans="1:26" x14ac:dyDescent="0.25">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spans="1:26" x14ac:dyDescent="0.2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spans="1:26" x14ac:dyDescent="0.25">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spans="1:26" x14ac:dyDescent="0.25">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spans="1:26" x14ac:dyDescent="0.25">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spans="1:26" x14ac:dyDescent="0.25">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spans="1:26" x14ac:dyDescent="0.25">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spans="1:26" x14ac:dyDescent="0.25">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spans="1:26" x14ac:dyDescent="0.25">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spans="1:26" x14ac:dyDescent="0.25">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spans="1:26" x14ac:dyDescent="0.25">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spans="1:26" x14ac:dyDescent="0.2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spans="1:26" x14ac:dyDescent="0.25">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spans="1:26" x14ac:dyDescent="0.25">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spans="1:26" x14ac:dyDescent="0.25">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spans="1:26" x14ac:dyDescent="0.25">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spans="1:26" x14ac:dyDescent="0.25">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spans="1:26" x14ac:dyDescent="0.25">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spans="1:26" x14ac:dyDescent="0.25">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spans="1:26" x14ac:dyDescent="0.25">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spans="1:26" x14ac:dyDescent="0.25">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spans="1:26" x14ac:dyDescent="0.2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spans="1:26" x14ac:dyDescent="0.25">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spans="1:26" x14ac:dyDescent="0.25">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spans="1:26" x14ac:dyDescent="0.25">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spans="1:26" x14ac:dyDescent="0.25">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spans="1:26" x14ac:dyDescent="0.25">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spans="1:26" x14ac:dyDescent="0.25">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spans="1:26" x14ac:dyDescent="0.25">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spans="1:26" x14ac:dyDescent="0.25">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spans="1:26" x14ac:dyDescent="0.25">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spans="1:26" x14ac:dyDescent="0.2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spans="1:26" x14ac:dyDescent="0.25">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spans="1:26" x14ac:dyDescent="0.25">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spans="1:26" x14ac:dyDescent="0.25">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spans="1:26" x14ac:dyDescent="0.25">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spans="1:26" x14ac:dyDescent="0.25">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spans="1:26" x14ac:dyDescent="0.25">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spans="1:26" x14ac:dyDescent="0.25">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spans="1:26" x14ac:dyDescent="0.25">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spans="1:26" x14ac:dyDescent="0.25">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spans="1:26" x14ac:dyDescent="0.2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spans="1:26" x14ac:dyDescent="0.25">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spans="1:26" x14ac:dyDescent="0.25">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spans="1:26" x14ac:dyDescent="0.25">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spans="1:26" x14ac:dyDescent="0.25">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spans="1:26" x14ac:dyDescent="0.25">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spans="1:26" x14ac:dyDescent="0.25">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spans="1:26" x14ac:dyDescent="0.25">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spans="1:26" x14ac:dyDescent="0.25">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spans="1:26" x14ac:dyDescent="0.25">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spans="1:26" x14ac:dyDescent="0.2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spans="1:26" x14ac:dyDescent="0.25">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spans="1:26" x14ac:dyDescent="0.25">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spans="1:26" x14ac:dyDescent="0.25">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spans="1:26" x14ac:dyDescent="0.25">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spans="1:26" x14ac:dyDescent="0.25">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spans="1:26" x14ac:dyDescent="0.25">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spans="1:26" x14ac:dyDescent="0.25">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spans="1:26" x14ac:dyDescent="0.25">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spans="1:26" x14ac:dyDescent="0.25">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spans="1:26" x14ac:dyDescent="0.2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spans="1:26" x14ac:dyDescent="0.25">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spans="1:26" x14ac:dyDescent="0.25">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spans="1:26" x14ac:dyDescent="0.25">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spans="1:26" x14ac:dyDescent="0.25">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spans="1:26" x14ac:dyDescent="0.25">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sheetData>
  <sheetProtection sheet="1" objects="1" scenarios="1"/>
  <mergeCells count="2">
    <mergeCell ref="B24:H24"/>
    <mergeCell ref="B25:H2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44336"/>
  </sheetPr>
  <dimension ref="A1:Z500"/>
  <sheetViews>
    <sheetView zoomScaleNormal="100" workbookViewId="0"/>
  </sheetViews>
  <sheetFormatPr defaultColWidth="8.7109375" defaultRowHeight="15" x14ac:dyDescent="0.25"/>
  <cols>
    <col min="1" max="1" width="3" customWidth="1"/>
    <col min="2" max="2" width="46" customWidth="1"/>
    <col min="3" max="3" width="20" customWidth="1"/>
    <col min="4" max="4" width="16" customWidth="1"/>
    <col min="5" max="5" width="60" customWidth="1"/>
  </cols>
  <sheetData>
    <row r="1" spans="1:26" x14ac:dyDescent="0.25">
      <c r="A1" s="46"/>
      <c r="B1" s="46"/>
      <c r="C1" s="46"/>
      <c r="D1" s="46"/>
      <c r="E1" s="46"/>
      <c r="F1" s="46"/>
      <c r="G1" s="46"/>
      <c r="H1" s="46"/>
      <c r="I1" s="46"/>
      <c r="J1" s="46"/>
      <c r="K1" s="46"/>
      <c r="L1" s="46"/>
      <c r="M1" s="46"/>
      <c r="N1" s="46"/>
      <c r="O1" s="46"/>
      <c r="P1" s="46"/>
      <c r="Q1" s="46"/>
      <c r="R1" s="46"/>
      <c r="S1" s="46"/>
      <c r="T1" s="46"/>
      <c r="U1" s="46"/>
      <c r="V1" s="46"/>
      <c r="W1" s="46"/>
      <c r="X1" s="46"/>
      <c r="Y1" s="46"/>
      <c r="Z1" s="46"/>
    </row>
    <row r="2" spans="1:26" ht="18" x14ac:dyDescent="0.25">
      <c r="A2" s="46"/>
      <c r="B2" s="507" t="s">
        <v>225</v>
      </c>
      <c r="C2" s="507"/>
      <c r="D2" s="507"/>
      <c r="E2" s="507"/>
      <c r="F2" s="46"/>
      <c r="G2" s="46"/>
      <c r="H2" s="46"/>
      <c r="I2" s="46"/>
      <c r="J2" s="46"/>
      <c r="K2" s="46"/>
      <c r="L2" s="46"/>
      <c r="M2" s="46"/>
      <c r="N2" s="46"/>
      <c r="O2" s="46"/>
      <c r="P2" s="46"/>
      <c r="Q2" s="46"/>
      <c r="R2" s="46"/>
      <c r="S2" s="46"/>
      <c r="T2" s="46"/>
      <c r="U2" s="46"/>
      <c r="V2" s="46"/>
      <c r="W2" s="46"/>
      <c r="X2" s="46"/>
      <c r="Y2" s="46"/>
      <c r="Z2" s="46"/>
    </row>
    <row r="3" spans="1:26" x14ac:dyDescent="0.25">
      <c r="A3" s="46"/>
      <c r="B3" s="46"/>
      <c r="C3" s="46"/>
      <c r="D3" s="46"/>
      <c r="E3" s="46"/>
      <c r="F3" s="46"/>
      <c r="G3" s="46"/>
      <c r="H3" s="46"/>
      <c r="I3" s="46"/>
      <c r="J3" s="46"/>
      <c r="K3" s="46"/>
      <c r="L3" s="46"/>
      <c r="M3" s="46"/>
      <c r="N3" s="46"/>
      <c r="O3" s="46"/>
      <c r="P3" s="46"/>
      <c r="Q3" s="46"/>
      <c r="R3" s="46"/>
      <c r="S3" s="46"/>
      <c r="T3" s="46"/>
      <c r="U3" s="46"/>
      <c r="V3" s="46"/>
      <c r="W3" s="46"/>
      <c r="X3" s="46"/>
      <c r="Y3" s="46"/>
      <c r="Z3" s="46"/>
    </row>
    <row r="4" spans="1:26" x14ac:dyDescent="0.25">
      <c r="A4" s="46"/>
      <c r="B4" s="45" t="s">
        <v>226</v>
      </c>
      <c r="C4" s="45"/>
      <c r="D4" s="45"/>
      <c r="E4" s="45"/>
      <c r="F4" s="46"/>
      <c r="G4" s="46"/>
      <c r="H4" s="46"/>
      <c r="I4" s="46"/>
      <c r="J4" s="46"/>
      <c r="K4" s="46"/>
      <c r="L4" s="46"/>
      <c r="M4" s="46"/>
      <c r="N4" s="46"/>
      <c r="O4" s="46"/>
      <c r="P4" s="46"/>
      <c r="Q4" s="46"/>
      <c r="R4" s="46"/>
      <c r="S4" s="46"/>
      <c r="T4" s="46"/>
      <c r="U4" s="46"/>
      <c r="V4" s="46"/>
      <c r="W4" s="46"/>
      <c r="X4" s="46"/>
      <c r="Y4" s="46"/>
      <c r="Z4" s="46"/>
    </row>
    <row r="5" spans="1:26" ht="30" customHeight="1" x14ac:dyDescent="0.25">
      <c r="A5" s="46"/>
      <c r="B5" s="92" t="s">
        <v>227</v>
      </c>
      <c r="C5" s="92"/>
      <c r="D5" s="92"/>
      <c r="E5" s="92"/>
      <c r="F5" s="46"/>
      <c r="G5" s="46"/>
      <c r="H5" s="46"/>
      <c r="I5" s="46"/>
      <c r="J5" s="46"/>
      <c r="K5" s="46"/>
      <c r="L5" s="46"/>
      <c r="M5" s="46"/>
      <c r="N5" s="46"/>
      <c r="O5" s="46"/>
      <c r="P5" s="46"/>
      <c r="Q5" s="46"/>
      <c r="R5" s="46"/>
      <c r="S5" s="46"/>
      <c r="T5" s="46"/>
      <c r="U5" s="46"/>
      <c r="V5" s="46"/>
      <c r="W5" s="46"/>
      <c r="X5" s="46"/>
      <c r="Y5" s="46"/>
      <c r="Z5" s="46"/>
    </row>
    <row r="6" spans="1:26" x14ac:dyDescent="0.25">
      <c r="A6" s="46"/>
      <c r="B6" s="46"/>
      <c r="C6" s="46"/>
      <c r="D6" s="46"/>
      <c r="E6" s="46"/>
      <c r="F6" s="46"/>
      <c r="G6" s="46"/>
      <c r="H6" s="46"/>
      <c r="I6" s="46"/>
      <c r="J6" s="46"/>
      <c r="K6" s="46"/>
      <c r="L6" s="46"/>
      <c r="M6" s="46"/>
      <c r="N6" s="46"/>
      <c r="O6" s="46"/>
      <c r="P6" s="46"/>
      <c r="Q6" s="46"/>
      <c r="R6" s="46"/>
      <c r="S6" s="46"/>
      <c r="T6" s="46"/>
      <c r="U6" s="46"/>
      <c r="V6" s="46"/>
      <c r="W6" s="46"/>
      <c r="X6" s="46"/>
      <c r="Y6" s="46"/>
      <c r="Z6" s="46"/>
    </row>
    <row r="7" spans="1:26" x14ac:dyDescent="0.25">
      <c r="A7" s="46"/>
      <c r="B7" s="45" t="s">
        <v>228</v>
      </c>
      <c r="C7" s="45"/>
      <c r="D7" s="45"/>
      <c r="E7" s="45"/>
      <c r="F7" s="46"/>
      <c r="G7" s="46"/>
      <c r="H7" s="46"/>
      <c r="I7" s="46"/>
      <c r="J7" s="46"/>
      <c r="K7" s="46"/>
      <c r="L7" s="46"/>
      <c r="M7" s="46"/>
      <c r="N7" s="46"/>
      <c r="O7" s="46"/>
      <c r="P7" s="46"/>
      <c r="Q7" s="46"/>
      <c r="R7" s="46"/>
      <c r="S7" s="46"/>
      <c r="T7" s="46"/>
      <c r="U7" s="46"/>
      <c r="V7" s="46"/>
      <c r="W7" s="46"/>
      <c r="X7" s="46"/>
      <c r="Y7" s="46"/>
      <c r="Z7" s="46"/>
    </row>
    <row r="8" spans="1:26" ht="15" customHeight="1" x14ac:dyDescent="0.25">
      <c r="A8" s="46"/>
      <c r="B8" s="508" t="s">
        <v>229</v>
      </c>
      <c r="C8" s="123" t="s">
        <v>230</v>
      </c>
      <c r="D8" s="123"/>
      <c r="E8" s="123"/>
      <c r="F8" s="46"/>
      <c r="G8" s="46"/>
      <c r="H8" s="46"/>
      <c r="I8" s="46"/>
      <c r="J8" s="46"/>
      <c r="K8" s="46"/>
      <c r="L8" s="46"/>
      <c r="M8" s="46"/>
      <c r="N8" s="46"/>
      <c r="O8" s="46"/>
      <c r="P8" s="46"/>
      <c r="Q8" s="46"/>
      <c r="R8" s="46"/>
      <c r="S8" s="46"/>
      <c r="T8" s="46"/>
      <c r="U8" s="46"/>
      <c r="V8" s="46"/>
      <c r="W8" s="46"/>
      <c r="X8" s="46"/>
      <c r="Y8" s="46"/>
      <c r="Z8" s="46"/>
    </row>
    <row r="9" spans="1:26" ht="15" customHeight="1" x14ac:dyDescent="0.25">
      <c r="A9" s="46"/>
      <c r="B9" s="508" t="s">
        <v>231</v>
      </c>
      <c r="C9" s="123" t="s">
        <v>232</v>
      </c>
      <c r="D9" s="123"/>
      <c r="E9" s="123"/>
      <c r="F9" s="46"/>
      <c r="G9" s="46"/>
      <c r="H9" s="46"/>
      <c r="I9" s="46"/>
      <c r="J9" s="46"/>
      <c r="K9" s="46"/>
      <c r="L9" s="46"/>
      <c r="M9" s="46"/>
      <c r="N9" s="46"/>
      <c r="O9" s="46"/>
      <c r="P9" s="46"/>
      <c r="Q9" s="46"/>
      <c r="R9" s="46"/>
      <c r="S9" s="46"/>
      <c r="T9" s="46"/>
      <c r="U9" s="46"/>
      <c r="V9" s="46"/>
      <c r="W9" s="46"/>
      <c r="X9" s="46"/>
      <c r="Y9" s="46"/>
      <c r="Z9" s="46"/>
    </row>
    <row r="10" spans="1:26" ht="15" customHeight="1" x14ac:dyDescent="0.25">
      <c r="A10" s="46"/>
      <c r="B10" s="508" t="s">
        <v>233</v>
      </c>
      <c r="C10" s="123" t="s">
        <v>234</v>
      </c>
      <c r="D10" s="123"/>
      <c r="E10" s="123"/>
      <c r="F10" s="46"/>
      <c r="G10" s="46"/>
      <c r="H10" s="46"/>
      <c r="I10" s="46"/>
      <c r="J10" s="46"/>
      <c r="K10" s="46"/>
      <c r="L10" s="46"/>
      <c r="M10" s="46"/>
      <c r="N10" s="46"/>
      <c r="O10" s="46"/>
      <c r="P10" s="46"/>
      <c r="Q10" s="46"/>
      <c r="R10" s="46"/>
      <c r="S10" s="46"/>
      <c r="T10" s="46"/>
      <c r="U10" s="46"/>
      <c r="V10" s="46"/>
      <c r="W10" s="46"/>
      <c r="X10" s="46"/>
      <c r="Y10" s="46"/>
      <c r="Z10" s="46"/>
    </row>
    <row r="11" spans="1:26" ht="15" customHeight="1" x14ac:dyDescent="0.25">
      <c r="A11" s="46"/>
      <c r="B11" s="508" t="s">
        <v>235</v>
      </c>
      <c r="C11" s="123" t="s">
        <v>236</v>
      </c>
      <c r="D11" s="123"/>
      <c r="E11" s="123"/>
      <c r="F11" s="46"/>
      <c r="G11" s="46"/>
      <c r="H11" s="46"/>
      <c r="I11" s="46"/>
      <c r="J11" s="46"/>
      <c r="K11" s="46"/>
      <c r="L11" s="46"/>
      <c r="M11" s="46"/>
      <c r="N11" s="46"/>
      <c r="O11" s="46"/>
      <c r="P11" s="46"/>
      <c r="Q11" s="46"/>
      <c r="R11" s="46"/>
      <c r="S11" s="46"/>
      <c r="T11" s="46"/>
      <c r="U11" s="46"/>
      <c r="V11" s="46"/>
      <c r="W11" s="46"/>
      <c r="X11" s="46"/>
      <c r="Y11" s="46"/>
      <c r="Z11" s="46"/>
    </row>
    <row r="12" spans="1:26" x14ac:dyDescent="0.25">
      <c r="A12" s="46"/>
      <c r="B12" s="46"/>
      <c r="C12" s="46"/>
      <c r="D12" s="46"/>
      <c r="E12" s="46"/>
      <c r="F12" s="46"/>
      <c r="G12" s="46"/>
      <c r="H12" s="46"/>
      <c r="I12" s="46"/>
      <c r="J12" s="46"/>
      <c r="K12" s="46"/>
      <c r="L12" s="46"/>
      <c r="M12" s="46"/>
      <c r="N12" s="46"/>
      <c r="O12" s="46"/>
      <c r="P12" s="46"/>
      <c r="Q12" s="46"/>
      <c r="R12" s="46"/>
      <c r="S12" s="46"/>
      <c r="T12" s="46"/>
      <c r="U12" s="46"/>
      <c r="V12" s="46"/>
      <c r="W12" s="46"/>
      <c r="X12" s="46"/>
      <c r="Y12" s="46"/>
      <c r="Z12" s="46"/>
    </row>
    <row r="13" spans="1:26" x14ac:dyDescent="0.25">
      <c r="A13" s="46"/>
      <c r="B13" s="509" t="s">
        <v>237</v>
      </c>
      <c r="C13" s="509"/>
      <c r="D13" s="509"/>
      <c r="E13" s="509"/>
      <c r="F13" s="46"/>
      <c r="G13" s="46"/>
      <c r="H13" s="46"/>
      <c r="I13" s="46"/>
      <c r="J13" s="46"/>
      <c r="K13" s="46"/>
      <c r="L13" s="46"/>
      <c r="M13" s="46"/>
      <c r="N13" s="46"/>
      <c r="O13" s="46"/>
      <c r="P13" s="46"/>
      <c r="Q13" s="46"/>
      <c r="R13" s="46"/>
      <c r="S13" s="46"/>
      <c r="T13" s="46"/>
      <c r="U13" s="46"/>
      <c r="V13" s="46"/>
      <c r="W13" s="46"/>
      <c r="X13" s="46"/>
      <c r="Y13" s="46"/>
      <c r="Z13" s="46"/>
    </row>
    <row r="14" spans="1:26" ht="30" customHeight="1" x14ac:dyDescent="0.25">
      <c r="A14" s="46"/>
      <c r="B14" s="510" t="s">
        <v>238</v>
      </c>
      <c r="C14" s="123" t="s">
        <v>239</v>
      </c>
      <c r="D14" s="123"/>
      <c r="E14" s="123"/>
      <c r="F14" s="46"/>
      <c r="G14" s="46"/>
      <c r="H14" s="46"/>
      <c r="I14" s="46"/>
      <c r="J14" s="46"/>
      <c r="K14" s="46"/>
      <c r="L14" s="46"/>
      <c r="M14" s="46"/>
      <c r="N14" s="46"/>
      <c r="O14" s="46"/>
      <c r="P14" s="46"/>
      <c r="Q14" s="46"/>
      <c r="R14" s="46"/>
      <c r="S14" s="46"/>
      <c r="T14" s="46"/>
      <c r="U14" s="46"/>
      <c r="V14" s="46"/>
      <c r="W14" s="46"/>
      <c r="X14" s="46"/>
      <c r="Y14" s="46"/>
      <c r="Z14" s="46"/>
    </row>
    <row r="15" spans="1:26" ht="30" customHeight="1" x14ac:dyDescent="0.25">
      <c r="A15" s="46"/>
      <c r="B15" s="510" t="s">
        <v>240</v>
      </c>
      <c r="C15" s="123" t="s">
        <v>241</v>
      </c>
      <c r="D15" s="123"/>
      <c r="E15" s="123"/>
      <c r="F15" s="46"/>
      <c r="G15" s="46"/>
      <c r="H15" s="46"/>
      <c r="I15" s="46"/>
      <c r="J15" s="46"/>
      <c r="K15" s="46"/>
      <c r="L15" s="46"/>
      <c r="M15" s="46"/>
      <c r="N15" s="46"/>
      <c r="O15" s="46"/>
      <c r="P15" s="46"/>
      <c r="Q15" s="46"/>
      <c r="R15" s="46"/>
      <c r="S15" s="46"/>
      <c r="T15" s="46"/>
      <c r="U15" s="46"/>
      <c r="V15" s="46"/>
      <c r="W15" s="46"/>
      <c r="X15" s="46"/>
      <c r="Y15" s="46"/>
      <c r="Z15" s="46"/>
    </row>
    <row r="16" spans="1:26" ht="30" customHeight="1" x14ac:dyDescent="0.25">
      <c r="A16" s="46"/>
      <c r="B16" s="510" t="s">
        <v>242</v>
      </c>
      <c r="C16" s="123" t="s">
        <v>243</v>
      </c>
      <c r="D16" s="123"/>
      <c r="E16" s="123"/>
      <c r="F16" s="46"/>
      <c r="G16" s="46"/>
      <c r="H16" s="46"/>
      <c r="I16" s="46"/>
      <c r="J16" s="46"/>
      <c r="K16" s="46"/>
      <c r="L16" s="46"/>
      <c r="M16" s="46"/>
      <c r="N16" s="46"/>
      <c r="O16" s="46"/>
      <c r="P16" s="46"/>
      <c r="Q16" s="46"/>
      <c r="R16" s="46"/>
      <c r="S16" s="46"/>
      <c r="T16" s="46"/>
      <c r="U16" s="46"/>
      <c r="V16" s="46"/>
      <c r="W16" s="46"/>
      <c r="X16" s="46"/>
      <c r="Y16" s="46"/>
      <c r="Z16" s="46"/>
    </row>
    <row r="17" spans="1:26" ht="30" customHeight="1" x14ac:dyDescent="0.25">
      <c r="A17" s="46"/>
      <c r="B17" s="510" t="s">
        <v>244</v>
      </c>
      <c r="C17" s="123" t="s">
        <v>245</v>
      </c>
      <c r="D17" s="123"/>
      <c r="E17" s="123"/>
      <c r="F17" s="46"/>
      <c r="G17" s="46"/>
      <c r="H17" s="46"/>
      <c r="I17" s="46"/>
      <c r="J17" s="46"/>
      <c r="K17" s="46"/>
      <c r="L17" s="46"/>
      <c r="M17" s="46"/>
      <c r="N17" s="46"/>
      <c r="O17" s="46"/>
      <c r="P17" s="46"/>
      <c r="Q17" s="46"/>
      <c r="R17" s="46"/>
      <c r="S17" s="46"/>
      <c r="T17" s="46"/>
      <c r="U17" s="46"/>
      <c r="V17" s="46"/>
      <c r="W17" s="46"/>
      <c r="X17" s="46"/>
      <c r="Y17" s="46"/>
      <c r="Z17" s="46"/>
    </row>
    <row r="18" spans="1:26" ht="30" customHeight="1" x14ac:dyDescent="0.25">
      <c r="A18" s="46"/>
      <c r="B18" s="510" t="s">
        <v>246</v>
      </c>
      <c r="C18" s="123" t="s">
        <v>247</v>
      </c>
      <c r="D18" s="123"/>
      <c r="E18" s="123"/>
      <c r="F18" s="46"/>
      <c r="G18" s="46"/>
      <c r="H18" s="46"/>
      <c r="I18" s="46"/>
      <c r="J18" s="46"/>
      <c r="K18" s="46"/>
      <c r="L18" s="46"/>
      <c r="M18" s="46"/>
      <c r="N18" s="46"/>
      <c r="O18" s="46"/>
      <c r="P18" s="46"/>
      <c r="Q18" s="46"/>
      <c r="R18" s="46"/>
      <c r="S18" s="46"/>
      <c r="T18" s="46"/>
      <c r="U18" s="46"/>
      <c r="V18" s="46"/>
      <c r="W18" s="46"/>
      <c r="X18" s="46"/>
      <c r="Y18" s="46"/>
      <c r="Z18" s="46"/>
    </row>
    <row r="19" spans="1:26" ht="30" customHeight="1" x14ac:dyDescent="0.25">
      <c r="A19" s="46"/>
      <c r="B19" s="510" t="s">
        <v>248</v>
      </c>
      <c r="C19" s="123" t="s">
        <v>249</v>
      </c>
      <c r="D19" s="123"/>
      <c r="E19" s="123"/>
      <c r="F19" s="46"/>
      <c r="G19" s="46"/>
      <c r="H19" s="46"/>
      <c r="I19" s="46"/>
      <c r="J19" s="46"/>
      <c r="K19" s="46"/>
      <c r="L19" s="46"/>
      <c r="M19" s="46"/>
      <c r="N19" s="46"/>
      <c r="O19" s="46"/>
      <c r="P19" s="46"/>
      <c r="Q19" s="46"/>
      <c r="R19" s="46"/>
      <c r="S19" s="46"/>
      <c r="T19" s="46"/>
      <c r="U19" s="46"/>
      <c r="V19" s="46"/>
      <c r="W19" s="46"/>
      <c r="X19" s="46"/>
      <c r="Y19" s="46"/>
      <c r="Z19" s="46"/>
    </row>
    <row r="20" spans="1:26" x14ac:dyDescent="0.25">
      <c r="A20" s="46"/>
      <c r="B20" s="46"/>
      <c r="C20" s="46"/>
      <c r="D20" s="46"/>
      <c r="E20" s="46"/>
      <c r="F20" s="46"/>
      <c r="G20" s="46"/>
      <c r="H20" s="46"/>
      <c r="I20" s="46"/>
      <c r="J20" s="46"/>
      <c r="K20" s="46"/>
      <c r="L20" s="46"/>
      <c r="M20" s="46"/>
      <c r="N20" s="46"/>
      <c r="O20" s="46"/>
      <c r="P20" s="46"/>
      <c r="Q20" s="46"/>
      <c r="R20" s="46"/>
      <c r="S20" s="46"/>
      <c r="T20" s="46"/>
      <c r="U20" s="46"/>
      <c r="V20" s="46"/>
      <c r="W20" s="46"/>
      <c r="X20" s="46"/>
      <c r="Y20" s="46"/>
      <c r="Z20" s="46"/>
    </row>
    <row r="21" spans="1:26" x14ac:dyDescent="0.25">
      <c r="A21" s="46"/>
      <c r="B21" s="45" t="s">
        <v>250</v>
      </c>
      <c r="C21" s="45"/>
      <c r="D21" s="45"/>
      <c r="E21" s="45"/>
      <c r="F21" s="46"/>
      <c r="G21" s="46"/>
      <c r="H21" s="46"/>
      <c r="I21" s="46"/>
      <c r="J21" s="46"/>
      <c r="K21" s="46"/>
      <c r="L21" s="46"/>
      <c r="M21" s="46"/>
      <c r="N21" s="46"/>
      <c r="O21" s="46"/>
      <c r="P21" s="46"/>
      <c r="Q21" s="46"/>
      <c r="R21" s="46"/>
      <c r="S21" s="46"/>
      <c r="T21" s="46"/>
      <c r="U21" s="46"/>
      <c r="V21" s="46"/>
      <c r="W21" s="46"/>
      <c r="X21" s="46"/>
      <c r="Y21" s="46"/>
      <c r="Z21" s="46"/>
    </row>
    <row r="22" spans="1:26" ht="30" customHeight="1" x14ac:dyDescent="0.25">
      <c r="A22" s="46"/>
      <c r="B22" s="350" t="s">
        <v>251</v>
      </c>
      <c r="C22" s="123" t="s">
        <v>252</v>
      </c>
      <c r="D22" s="123"/>
      <c r="E22" s="123"/>
      <c r="F22" s="46"/>
      <c r="G22" s="46"/>
      <c r="H22" s="46"/>
      <c r="I22" s="46"/>
      <c r="J22" s="46"/>
      <c r="K22" s="46"/>
      <c r="L22" s="46"/>
      <c r="M22" s="46"/>
      <c r="N22" s="46"/>
      <c r="O22" s="46"/>
      <c r="P22" s="46"/>
      <c r="Q22" s="46"/>
      <c r="R22" s="46"/>
      <c r="S22" s="46"/>
      <c r="T22" s="46"/>
      <c r="U22" s="46"/>
      <c r="V22" s="46"/>
      <c r="W22" s="46"/>
      <c r="X22" s="46"/>
      <c r="Y22" s="46"/>
      <c r="Z22" s="46"/>
    </row>
    <row r="23" spans="1:26" ht="30" customHeight="1" x14ac:dyDescent="0.25">
      <c r="A23" s="46"/>
      <c r="B23" s="350" t="s">
        <v>253</v>
      </c>
      <c r="C23" s="123" t="s">
        <v>254</v>
      </c>
      <c r="D23" s="123"/>
      <c r="E23" s="123"/>
      <c r="F23" s="46"/>
      <c r="G23" s="46"/>
      <c r="H23" s="46"/>
      <c r="I23" s="46"/>
      <c r="J23" s="46"/>
      <c r="K23" s="46"/>
      <c r="L23" s="46"/>
      <c r="M23" s="46"/>
      <c r="N23" s="46"/>
      <c r="O23" s="46"/>
      <c r="P23" s="46"/>
      <c r="Q23" s="46"/>
      <c r="R23" s="46"/>
      <c r="S23" s="46"/>
      <c r="T23" s="46"/>
      <c r="U23" s="46"/>
      <c r="V23" s="46"/>
      <c r="W23" s="46"/>
      <c r="X23" s="46"/>
      <c r="Y23" s="46"/>
      <c r="Z23" s="46"/>
    </row>
    <row r="24" spans="1:26" ht="30" customHeight="1" x14ac:dyDescent="0.25">
      <c r="A24" s="46"/>
      <c r="B24" s="350" t="s">
        <v>255</v>
      </c>
      <c r="C24" s="123" t="s">
        <v>256</v>
      </c>
      <c r="D24" s="123"/>
      <c r="E24" s="123"/>
      <c r="F24" s="46"/>
      <c r="G24" s="46"/>
      <c r="H24" s="46"/>
      <c r="I24" s="46"/>
      <c r="J24" s="46"/>
      <c r="K24" s="46"/>
      <c r="L24" s="46"/>
      <c r="M24" s="46"/>
      <c r="N24" s="46"/>
      <c r="O24" s="46"/>
      <c r="P24" s="46"/>
      <c r="Q24" s="46"/>
      <c r="R24" s="46"/>
      <c r="S24" s="46"/>
      <c r="T24" s="46"/>
      <c r="U24" s="46"/>
      <c r="V24" s="46"/>
      <c r="W24" s="46"/>
      <c r="X24" s="46"/>
      <c r="Y24" s="46"/>
      <c r="Z24" s="46"/>
    </row>
    <row r="25" spans="1:26" ht="30" customHeight="1" x14ac:dyDescent="0.25">
      <c r="A25" s="46"/>
      <c r="B25" s="350" t="s">
        <v>257</v>
      </c>
      <c r="C25" s="123" t="s">
        <v>258</v>
      </c>
      <c r="D25" s="123"/>
      <c r="E25" s="123"/>
      <c r="F25" s="46"/>
      <c r="G25" s="46"/>
      <c r="H25" s="46"/>
      <c r="I25" s="46"/>
      <c r="J25" s="46"/>
      <c r="K25" s="46"/>
      <c r="L25" s="46"/>
      <c r="M25" s="46"/>
      <c r="N25" s="46"/>
      <c r="O25" s="46"/>
      <c r="P25" s="46"/>
      <c r="Q25" s="46"/>
      <c r="R25" s="46"/>
      <c r="S25" s="46"/>
      <c r="T25" s="46"/>
      <c r="U25" s="46"/>
      <c r="V25" s="46"/>
      <c r="W25" s="46"/>
      <c r="X25" s="46"/>
      <c r="Y25" s="46"/>
      <c r="Z25" s="46"/>
    </row>
    <row r="26" spans="1:26" ht="30" customHeight="1" x14ac:dyDescent="0.25">
      <c r="A26" s="46"/>
      <c r="B26" s="350" t="s">
        <v>259</v>
      </c>
      <c r="C26" s="123" t="s">
        <v>260</v>
      </c>
      <c r="D26" s="123"/>
      <c r="E26" s="123"/>
      <c r="F26" s="46"/>
      <c r="G26" s="46"/>
      <c r="H26" s="46"/>
      <c r="I26" s="46"/>
      <c r="J26" s="46"/>
      <c r="K26" s="46"/>
      <c r="L26" s="46"/>
      <c r="M26" s="46"/>
      <c r="N26" s="46"/>
      <c r="O26" s="46"/>
      <c r="P26" s="46"/>
      <c r="Q26" s="46"/>
      <c r="R26" s="46"/>
      <c r="S26" s="46"/>
      <c r="T26" s="46"/>
      <c r="U26" s="46"/>
      <c r="V26" s="46"/>
      <c r="W26" s="46"/>
      <c r="X26" s="46"/>
      <c r="Y26" s="46"/>
      <c r="Z26" s="46"/>
    </row>
    <row r="27" spans="1:26" x14ac:dyDescent="0.25">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row>
    <row r="28" spans="1:26" x14ac:dyDescent="0.25">
      <c r="A28" s="46"/>
      <c r="B28" s="45" t="s">
        <v>261</v>
      </c>
      <c r="C28" s="45"/>
      <c r="D28" s="45"/>
      <c r="E28" s="45"/>
      <c r="F28" s="46"/>
      <c r="G28" s="46"/>
      <c r="H28" s="46"/>
      <c r="I28" s="46"/>
      <c r="J28" s="46"/>
      <c r="K28" s="46"/>
      <c r="L28" s="46"/>
      <c r="M28" s="46"/>
      <c r="N28" s="46"/>
      <c r="O28" s="46"/>
      <c r="P28" s="46"/>
      <c r="Q28" s="46"/>
      <c r="R28" s="46"/>
      <c r="S28" s="46"/>
      <c r="T28" s="46"/>
      <c r="U28" s="46"/>
      <c r="V28" s="46"/>
      <c r="W28" s="46"/>
      <c r="X28" s="46"/>
      <c r="Y28" s="46"/>
      <c r="Z28" s="46"/>
    </row>
    <row r="29" spans="1:26" ht="15" customHeight="1" x14ac:dyDescent="0.25">
      <c r="A29" s="46"/>
      <c r="B29" s="107" t="s">
        <v>43</v>
      </c>
      <c r="C29" s="123" t="s">
        <v>262</v>
      </c>
      <c r="D29" s="123"/>
      <c r="E29" s="123"/>
      <c r="F29" s="46"/>
      <c r="G29" s="46"/>
      <c r="H29" s="46"/>
      <c r="I29" s="46"/>
      <c r="J29" s="46"/>
      <c r="K29" s="46"/>
      <c r="L29" s="46"/>
      <c r="M29" s="46"/>
      <c r="N29" s="46"/>
      <c r="O29" s="46"/>
      <c r="P29" s="46"/>
      <c r="Q29" s="46"/>
      <c r="R29" s="46"/>
      <c r="S29" s="46"/>
      <c r="T29" s="46"/>
      <c r="U29" s="46"/>
      <c r="V29" s="46"/>
      <c r="W29" s="46"/>
      <c r="X29" s="46"/>
      <c r="Y29" s="46"/>
      <c r="Z29" s="46"/>
    </row>
    <row r="30" spans="1:26" ht="15" customHeight="1" x14ac:dyDescent="0.25">
      <c r="A30" s="46"/>
      <c r="B30" s="107" t="s">
        <v>45</v>
      </c>
      <c r="C30" s="123" t="s">
        <v>263</v>
      </c>
      <c r="D30" s="123"/>
      <c r="E30" s="123"/>
      <c r="F30" s="46"/>
      <c r="G30" s="46"/>
      <c r="H30" s="46"/>
      <c r="I30" s="46"/>
      <c r="J30" s="46"/>
      <c r="K30" s="46"/>
      <c r="L30" s="46"/>
      <c r="M30" s="46"/>
      <c r="N30" s="46"/>
      <c r="O30" s="46"/>
      <c r="P30" s="46"/>
      <c r="Q30" s="46"/>
      <c r="R30" s="46"/>
      <c r="S30" s="46"/>
      <c r="T30" s="46"/>
      <c r="U30" s="46"/>
      <c r="V30" s="46"/>
      <c r="W30" s="46"/>
      <c r="X30" s="46"/>
      <c r="Y30" s="46"/>
      <c r="Z30" s="46"/>
    </row>
    <row r="31" spans="1:26" ht="15" customHeight="1" x14ac:dyDescent="0.25">
      <c r="A31" s="46"/>
      <c r="B31" s="107" t="s">
        <v>47</v>
      </c>
      <c r="C31" s="123" t="s">
        <v>264</v>
      </c>
      <c r="D31" s="123"/>
      <c r="E31" s="123"/>
      <c r="F31" s="46"/>
      <c r="G31" s="46"/>
      <c r="H31" s="46"/>
      <c r="I31" s="46"/>
      <c r="J31" s="46"/>
      <c r="K31" s="46"/>
      <c r="L31" s="46"/>
      <c r="M31" s="46"/>
      <c r="N31" s="46"/>
      <c r="O31" s="46"/>
      <c r="P31" s="46"/>
      <c r="Q31" s="46"/>
      <c r="R31" s="46"/>
      <c r="S31" s="46"/>
      <c r="T31" s="46"/>
      <c r="U31" s="46"/>
      <c r="V31" s="46"/>
      <c r="W31" s="46"/>
      <c r="X31" s="46"/>
      <c r="Y31" s="46"/>
      <c r="Z31" s="46"/>
    </row>
    <row r="32" spans="1:26" ht="15" customHeight="1" x14ac:dyDescent="0.25">
      <c r="A32" s="46"/>
      <c r="B32" s="107" t="s">
        <v>49</v>
      </c>
      <c r="C32" s="123" t="s">
        <v>265</v>
      </c>
      <c r="D32" s="123"/>
      <c r="E32" s="123"/>
      <c r="F32" s="46"/>
      <c r="G32" s="46"/>
      <c r="H32" s="46"/>
      <c r="I32" s="46"/>
      <c r="J32" s="46"/>
      <c r="K32" s="46"/>
      <c r="L32" s="46"/>
      <c r="M32" s="46"/>
      <c r="N32" s="46"/>
      <c r="O32" s="46"/>
      <c r="P32" s="46"/>
      <c r="Q32" s="46"/>
      <c r="R32" s="46"/>
      <c r="S32" s="46"/>
      <c r="T32" s="46"/>
      <c r="U32" s="46"/>
      <c r="V32" s="46"/>
      <c r="W32" s="46"/>
      <c r="X32" s="46"/>
      <c r="Y32" s="46"/>
      <c r="Z32" s="46"/>
    </row>
    <row r="33" spans="1:26" ht="15" customHeight="1" x14ac:dyDescent="0.25">
      <c r="A33" s="46"/>
      <c r="B33" s="107" t="s">
        <v>51</v>
      </c>
      <c r="C33" s="123" t="s">
        <v>266</v>
      </c>
      <c r="D33" s="123"/>
      <c r="E33" s="123"/>
      <c r="F33" s="46"/>
      <c r="G33" s="46"/>
      <c r="H33" s="46"/>
      <c r="I33" s="46"/>
      <c r="J33" s="46"/>
      <c r="K33" s="46"/>
      <c r="L33" s="46"/>
      <c r="M33" s="46"/>
      <c r="N33" s="46"/>
      <c r="O33" s="46"/>
      <c r="P33" s="46"/>
      <c r="Q33" s="46"/>
      <c r="R33" s="46"/>
      <c r="S33" s="46"/>
      <c r="T33" s="46"/>
      <c r="U33" s="46"/>
      <c r="V33" s="46"/>
      <c r="W33" s="46"/>
      <c r="X33" s="46"/>
      <c r="Y33" s="46"/>
      <c r="Z33" s="46"/>
    </row>
    <row r="34" spans="1:26" ht="15" customHeight="1" x14ac:dyDescent="0.25">
      <c r="A34" s="46"/>
      <c r="B34" s="107" t="s">
        <v>53</v>
      </c>
      <c r="C34" s="123" t="s">
        <v>267</v>
      </c>
      <c r="D34" s="123"/>
      <c r="E34" s="123"/>
      <c r="F34" s="46"/>
      <c r="G34" s="46"/>
      <c r="H34" s="46"/>
      <c r="I34" s="46"/>
      <c r="J34" s="46"/>
      <c r="K34" s="46"/>
      <c r="L34" s="46"/>
      <c r="M34" s="46"/>
      <c r="N34" s="46"/>
      <c r="O34" s="46"/>
      <c r="P34" s="46"/>
      <c r="Q34" s="46"/>
      <c r="R34" s="46"/>
      <c r="S34" s="46"/>
      <c r="T34" s="46"/>
      <c r="U34" s="46"/>
      <c r="V34" s="46"/>
      <c r="W34" s="46"/>
      <c r="X34" s="46"/>
      <c r="Y34" s="46"/>
      <c r="Z34" s="46"/>
    </row>
    <row r="35" spans="1:26" ht="15" customHeight="1" x14ac:dyDescent="0.25">
      <c r="A35" s="46"/>
      <c r="B35" s="107" t="s">
        <v>55</v>
      </c>
      <c r="C35" s="123" t="s">
        <v>268</v>
      </c>
      <c r="D35" s="123"/>
      <c r="E35" s="123"/>
      <c r="F35" s="46"/>
      <c r="G35" s="46"/>
      <c r="H35" s="46"/>
      <c r="I35" s="46"/>
      <c r="J35" s="46"/>
      <c r="K35" s="46"/>
      <c r="L35" s="46"/>
      <c r="M35" s="46"/>
      <c r="N35" s="46"/>
      <c r="O35" s="46"/>
      <c r="P35" s="46"/>
      <c r="Q35" s="46"/>
      <c r="R35" s="46"/>
      <c r="S35" s="46"/>
      <c r="T35" s="46"/>
      <c r="U35" s="46"/>
      <c r="V35" s="46"/>
      <c r="W35" s="46"/>
      <c r="X35" s="46"/>
      <c r="Y35" s="46"/>
      <c r="Z35" s="46"/>
    </row>
    <row r="36" spans="1:26" ht="15" customHeight="1" x14ac:dyDescent="0.25">
      <c r="A36" s="46"/>
      <c r="B36" s="107" t="s">
        <v>57</v>
      </c>
      <c r="C36" s="123" t="s">
        <v>269</v>
      </c>
      <c r="D36" s="123"/>
      <c r="E36" s="123"/>
      <c r="F36" s="46"/>
      <c r="G36" s="46"/>
      <c r="H36" s="46"/>
      <c r="I36" s="46"/>
      <c r="J36" s="46"/>
      <c r="K36" s="46"/>
      <c r="L36" s="46"/>
      <c r="M36" s="46"/>
      <c r="N36" s="46"/>
      <c r="O36" s="46"/>
      <c r="P36" s="46"/>
      <c r="Q36" s="46"/>
      <c r="R36" s="46"/>
      <c r="S36" s="46"/>
      <c r="T36" s="46"/>
      <c r="U36" s="46"/>
      <c r="V36" s="46"/>
      <c r="W36" s="46"/>
      <c r="X36" s="46"/>
      <c r="Y36" s="46"/>
      <c r="Z36" s="46"/>
    </row>
    <row r="37" spans="1:26" ht="15" customHeight="1" x14ac:dyDescent="0.25">
      <c r="A37" s="46"/>
      <c r="B37" s="107" t="s">
        <v>270</v>
      </c>
      <c r="C37" s="123" t="s">
        <v>271</v>
      </c>
      <c r="D37" s="123"/>
      <c r="E37" s="123"/>
      <c r="F37" s="46"/>
      <c r="G37" s="46"/>
      <c r="H37" s="46"/>
      <c r="I37" s="46"/>
      <c r="J37" s="46"/>
      <c r="K37" s="46"/>
      <c r="L37" s="46"/>
      <c r="M37" s="46"/>
      <c r="N37" s="46"/>
      <c r="O37" s="46"/>
      <c r="P37" s="46"/>
      <c r="Q37" s="46"/>
      <c r="R37" s="46"/>
      <c r="S37" s="46"/>
      <c r="T37" s="46"/>
      <c r="U37" s="46"/>
      <c r="V37" s="46"/>
      <c r="W37" s="46"/>
      <c r="X37" s="46"/>
      <c r="Y37" s="46"/>
      <c r="Z37" s="46"/>
    </row>
    <row r="38" spans="1:26" x14ac:dyDescent="0.25">
      <c r="A38" s="46"/>
      <c r="B38" s="46"/>
      <c r="C38" s="46"/>
      <c r="D38" s="46"/>
      <c r="E38" s="46"/>
      <c r="F38" s="46"/>
      <c r="G38" s="46"/>
      <c r="H38" s="46"/>
      <c r="I38" s="46"/>
      <c r="J38" s="46"/>
      <c r="K38" s="46"/>
      <c r="L38" s="46"/>
      <c r="M38" s="46"/>
      <c r="N38" s="46"/>
      <c r="O38" s="46"/>
      <c r="P38" s="46"/>
      <c r="Q38" s="46"/>
      <c r="R38" s="46"/>
      <c r="S38" s="46"/>
      <c r="T38" s="46"/>
      <c r="U38" s="46"/>
      <c r="V38" s="46"/>
      <c r="W38" s="46"/>
      <c r="X38" s="46"/>
      <c r="Y38" s="46"/>
      <c r="Z38" s="46"/>
    </row>
    <row r="39" spans="1:26" x14ac:dyDescent="0.25">
      <c r="A39" s="46"/>
      <c r="B39" s="46"/>
      <c r="C39" s="46"/>
      <c r="D39" s="46"/>
      <c r="E39" s="46"/>
      <c r="F39" s="46"/>
      <c r="G39" s="46"/>
      <c r="H39" s="46"/>
      <c r="I39" s="46"/>
      <c r="J39" s="46"/>
      <c r="K39" s="46"/>
      <c r="L39" s="46"/>
      <c r="M39" s="46"/>
      <c r="N39" s="46"/>
      <c r="O39" s="46"/>
      <c r="P39" s="46"/>
      <c r="Q39" s="46"/>
      <c r="R39" s="46"/>
      <c r="S39" s="46"/>
      <c r="T39" s="46"/>
      <c r="U39" s="46"/>
      <c r="V39" s="46"/>
      <c r="W39" s="46"/>
      <c r="X39" s="46"/>
      <c r="Y39" s="46"/>
      <c r="Z39" s="46"/>
    </row>
    <row r="40" spans="1:26" x14ac:dyDescent="0.25">
      <c r="A40" s="46"/>
      <c r="B40" s="46"/>
      <c r="C40" s="46"/>
      <c r="D40" s="46"/>
      <c r="E40" s="46"/>
      <c r="F40" s="46"/>
      <c r="G40" s="46"/>
      <c r="H40" s="46"/>
      <c r="I40" s="46"/>
      <c r="J40" s="46"/>
      <c r="K40" s="46"/>
      <c r="L40" s="46"/>
      <c r="M40" s="46"/>
      <c r="N40" s="46"/>
      <c r="O40" s="46"/>
      <c r="P40" s="46"/>
      <c r="Q40" s="46"/>
      <c r="R40" s="46"/>
      <c r="S40" s="46"/>
      <c r="T40" s="46"/>
      <c r="U40" s="46"/>
      <c r="V40" s="46"/>
      <c r="W40" s="46"/>
      <c r="X40" s="46"/>
      <c r="Y40" s="46"/>
      <c r="Z40" s="46"/>
    </row>
    <row r="41" spans="1:26" x14ac:dyDescent="0.25">
      <c r="A41" s="46"/>
      <c r="B41" s="46"/>
      <c r="C41" s="46"/>
      <c r="D41" s="46"/>
      <c r="E41" s="46"/>
      <c r="F41" s="46"/>
      <c r="G41" s="46"/>
      <c r="H41" s="46"/>
      <c r="I41" s="46"/>
      <c r="J41" s="46"/>
      <c r="K41" s="46"/>
      <c r="L41" s="46"/>
      <c r="M41" s="46"/>
      <c r="N41" s="46"/>
      <c r="O41" s="46"/>
      <c r="P41" s="46"/>
      <c r="Q41" s="46"/>
      <c r="R41" s="46"/>
      <c r="S41" s="46"/>
      <c r="T41" s="46"/>
      <c r="U41" s="46"/>
      <c r="V41" s="46"/>
      <c r="W41" s="46"/>
      <c r="X41" s="46"/>
      <c r="Y41" s="46"/>
      <c r="Z41" s="46"/>
    </row>
    <row r="42" spans="1:26" x14ac:dyDescent="0.25">
      <c r="A42" s="46"/>
      <c r="B42" s="46"/>
      <c r="C42" s="46"/>
      <c r="D42" s="46"/>
      <c r="E42" s="46"/>
      <c r="F42" s="46"/>
      <c r="G42" s="46"/>
      <c r="H42" s="46"/>
      <c r="I42" s="46"/>
      <c r="J42" s="46"/>
      <c r="K42" s="46"/>
      <c r="L42" s="46"/>
      <c r="M42" s="46"/>
      <c r="N42" s="46"/>
      <c r="O42" s="46"/>
      <c r="P42" s="46"/>
      <c r="Q42" s="46"/>
      <c r="R42" s="46"/>
      <c r="S42" s="46"/>
      <c r="T42" s="46"/>
      <c r="U42" s="46"/>
      <c r="V42" s="46"/>
      <c r="W42" s="46"/>
      <c r="X42" s="46"/>
      <c r="Y42" s="46"/>
      <c r="Z42" s="46"/>
    </row>
    <row r="43" spans="1:26" x14ac:dyDescent="0.25">
      <c r="A43" s="46"/>
      <c r="B43" s="46"/>
      <c r="C43" s="46"/>
      <c r="D43" s="46"/>
      <c r="E43" s="46"/>
      <c r="F43" s="46"/>
      <c r="G43" s="46"/>
      <c r="H43" s="46"/>
      <c r="I43" s="46"/>
      <c r="J43" s="46"/>
      <c r="K43" s="46"/>
      <c r="L43" s="46"/>
      <c r="M43" s="46"/>
      <c r="N43" s="46"/>
      <c r="O43" s="46"/>
      <c r="P43" s="46"/>
      <c r="Q43" s="46"/>
      <c r="R43" s="46"/>
      <c r="S43" s="46"/>
      <c r="T43" s="46"/>
      <c r="U43" s="46"/>
      <c r="V43" s="46"/>
      <c r="W43" s="46"/>
      <c r="X43" s="46"/>
      <c r="Y43" s="46"/>
      <c r="Z43" s="46"/>
    </row>
    <row r="44" spans="1:26" x14ac:dyDescent="0.25">
      <c r="A44" s="46"/>
      <c r="B44" s="46"/>
      <c r="C44" s="46"/>
      <c r="D44" s="46"/>
      <c r="E44" s="46"/>
      <c r="F44" s="46"/>
      <c r="G44" s="46"/>
      <c r="H44" s="46"/>
      <c r="I44" s="46"/>
      <c r="J44" s="46"/>
      <c r="K44" s="46"/>
      <c r="L44" s="46"/>
      <c r="M44" s="46"/>
      <c r="N44" s="46"/>
      <c r="O44" s="46"/>
      <c r="P44" s="46"/>
      <c r="Q44" s="46"/>
      <c r="R44" s="46"/>
      <c r="S44" s="46"/>
      <c r="T44" s="46"/>
      <c r="U44" s="46"/>
      <c r="V44" s="46"/>
      <c r="W44" s="46"/>
      <c r="X44" s="46"/>
      <c r="Y44" s="46"/>
      <c r="Z44" s="46"/>
    </row>
    <row r="45" spans="1:26" x14ac:dyDescent="0.25">
      <c r="A45" s="46"/>
      <c r="B45" s="46"/>
      <c r="C45" s="46"/>
      <c r="D45" s="46"/>
      <c r="E45" s="46"/>
      <c r="F45" s="46"/>
      <c r="G45" s="46"/>
      <c r="H45" s="46"/>
      <c r="I45" s="46"/>
      <c r="J45" s="46"/>
      <c r="K45" s="46"/>
      <c r="L45" s="46"/>
      <c r="M45" s="46"/>
      <c r="N45" s="46"/>
      <c r="O45" s="46"/>
      <c r="P45" s="46"/>
      <c r="Q45" s="46"/>
      <c r="R45" s="46"/>
      <c r="S45" s="46"/>
      <c r="T45" s="46"/>
      <c r="U45" s="46"/>
      <c r="V45" s="46"/>
      <c r="W45" s="46"/>
      <c r="X45" s="46"/>
      <c r="Y45" s="46"/>
      <c r="Z45" s="46"/>
    </row>
    <row r="46" spans="1:26" x14ac:dyDescent="0.25">
      <c r="A46" s="46"/>
      <c r="B46" s="46"/>
      <c r="C46" s="46"/>
      <c r="D46" s="46"/>
      <c r="E46" s="46"/>
      <c r="F46" s="46"/>
      <c r="G46" s="46"/>
      <c r="H46" s="46"/>
      <c r="I46" s="46"/>
      <c r="J46" s="46"/>
      <c r="K46" s="46"/>
      <c r="L46" s="46"/>
      <c r="M46" s="46"/>
      <c r="N46" s="46"/>
      <c r="O46" s="46"/>
      <c r="P46" s="46"/>
      <c r="Q46" s="46"/>
      <c r="R46" s="46"/>
      <c r="S46" s="46"/>
      <c r="T46" s="46"/>
      <c r="U46" s="46"/>
      <c r="V46" s="46"/>
      <c r="W46" s="46"/>
      <c r="X46" s="46"/>
      <c r="Y46" s="46"/>
      <c r="Z46" s="46"/>
    </row>
    <row r="47" spans="1:26" x14ac:dyDescent="0.25">
      <c r="A47" s="46"/>
      <c r="B47" s="46"/>
      <c r="C47" s="46"/>
      <c r="D47" s="46"/>
      <c r="E47" s="46"/>
      <c r="F47" s="46"/>
      <c r="G47" s="46"/>
      <c r="H47" s="46"/>
      <c r="I47" s="46"/>
      <c r="J47" s="46"/>
      <c r="K47" s="46"/>
      <c r="L47" s="46"/>
      <c r="M47" s="46"/>
      <c r="N47" s="46"/>
      <c r="O47" s="46"/>
      <c r="P47" s="46"/>
      <c r="Q47" s="46"/>
      <c r="R47" s="46"/>
      <c r="S47" s="46"/>
      <c r="T47" s="46"/>
      <c r="U47" s="46"/>
      <c r="V47" s="46"/>
      <c r="W47" s="46"/>
      <c r="X47" s="46"/>
      <c r="Y47" s="46"/>
      <c r="Z47" s="46"/>
    </row>
    <row r="48" spans="1:26" x14ac:dyDescent="0.25">
      <c r="A48" s="46"/>
      <c r="B48" s="46"/>
      <c r="C48" s="46"/>
      <c r="D48" s="46"/>
      <c r="E48" s="46"/>
      <c r="F48" s="46"/>
      <c r="G48" s="46"/>
      <c r="H48" s="46"/>
      <c r="I48" s="46"/>
      <c r="J48" s="46"/>
      <c r="K48" s="46"/>
      <c r="L48" s="46"/>
      <c r="M48" s="46"/>
      <c r="N48" s="46"/>
      <c r="O48" s="46"/>
      <c r="P48" s="46"/>
      <c r="Q48" s="46"/>
      <c r="R48" s="46"/>
      <c r="S48" s="46"/>
      <c r="T48" s="46"/>
      <c r="U48" s="46"/>
      <c r="V48" s="46"/>
      <c r="W48" s="46"/>
      <c r="X48" s="46"/>
      <c r="Y48" s="46"/>
      <c r="Z48" s="46"/>
    </row>
    <row r="49" spans="1:26" x14ac:dyDescent="0.25">
      <c r="A49" s="46"/>
      <c r="B49" s="46"/>
      <c r="C49" s="46"/>
      <c r="D49" s="46"/>
      <c r="E49" s="46"/>
      <c r="F49" s="46"/>
      <c r="G49" s="46"/>
      <c r="H49" s="46"/>
      <c r="I49" s="46"/>
      <c r="J49" s="46"/>
      <c r="K49" s="46"/>
      <c r="L49" s="46"/>
      <c r="M49" s="46"/>
      <c r="N49" s="46"/>
      <c r="O49" s="46"/>
      <c r="P49" s="46"/>
      <c r="Q49" s="46"/>
      <c r="R49" s="46"/>
      <c r="S49" s="46"/>
      <c r="T49" s="46"/>
      <c r="U49" s="46"/>
      <c r="V49" s="46"/>
      <c r="W49" s="46"/>
      <c r="X49" s="46"/>
      <c r="Y49" s="46"/>
      <c r="Z49" s="46"/>
    </row>
    <row r="50" spans="1:26" x14ac:dyDescent="0.25">
      <c r="A50" s="46"/>
      <c r="B50" s="46"/>
      <c r="C50" s="46"/>
      <c r="D50" s="46"/>
      <c r="E50" s="46"/>
      <c r="F50" s="46"/>
      <c r="G50" s="46"/>
      <c r="H50" s="46"/>
      <c r="I50" s="46"/>
      <c r="J50" s="46"/>
      <c r="K50" s="46"/>
      <c r="L50" s="46"/>
      <c r="M50" s="46"/>
      <c r="N50" s="46"/>
      <c r="O50" s="46"/>
      <c r="P50" s="46"/>
      <c r="Q50" s="46"/>
      <c r="R50" s="46"/>
      <c r="S50" s="46"/>
      <c r="T50" s="46"/>
      <c r="U50" s="46"/>
      <c r="V50" s="46"/>
      <c r="W50" s="46"/>
      <c r="X50" s="46"/>
      <c r="Y50" s="46"/>
      <c r="Z50" s="46"/>
    </row>
    <row r="51" spans="1:26" x14ac:dyDescent="0.25">
      <c r="A51" s="46"/>
      <c r="B51" s="46"/>
      <c r="C51" s="46"/>
      <c r="D51" s="46"/>
      <c r="E51" s="46"/>
      <c r="F51" s="46"/>
      <c r="G51" s="46"/>
      <c r="H51" s="46"/>
      <c r="I51" s="46"/>
      <c r="J51" s="46"/>
      <c r="K51" s="46"/>
      <c r="L51" s="46"/>
      <c r="M51" s="46"/>
      <c r="N51" s="46"/>
      <c r="O51" s="46"/>
      <c r="P51" s="46"/>
      <c r="Q51" s="46"/>
      <c r="R51" s="46"/>
      <c r="S51" s="46"/>
      <c r="T51" s="46"/>
      <c r="U51" s="46"/>
      <c r="V51" s="46"/>
      <c r="W51" s="46"/>
      <c r="X51" s="46"/>
      <c r="Y51" s="46"/>
      <c r="Z51" s="46"/>
    </row>
    <row r="52" spans="1:26" x14ac:dyDescent="0.25">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row>
    <row r="53" spans="1:26" x14ac:dyDescent="0.25">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row>
    <row r="54" spans="1:26" x14ac:dyDescent="0.25">
      <c r="A54" s="46"/>
      <c r="B54" s="46"/>
      <c r="C54" s="46"/>
      <c r="D54" s="46"/>
      <c r="E54" s="46"/>
      <c r="F54" s="46"/>
      <c r="G54" s="46"/>
      <c r="H54" s="46"/>
      <c r="I54" s="46"/>
      <c r="J54" s="46"/>
      <c r="K54" s="46"/>
      <c r="L54" s="46"/>
      <c r="M54" s="46"/>
      <c r="N54" s="46"/>
      <c r="O54" s="46"/>
      <c r="P54" s="46"/>
      <c r="Q54" s="46"/>
      <c r="R54" s="46"/>
      <c r="S54" s="46"/>
      <c r="T54" s="46"/>
      <c r="U54" s="46"/>
      <c r="V54" s="46"/>
      <c r="W54" s="46"/>
      <c r="X54" s="46"/>
      <c r="Y54" s="46"/>
      <c r="Z54" s="46"/>
    </row>
    <row r="55" spans="1:26" x14ac:dyDescent="0.25">
      <c r="A55" s="46"/>
      <c r="B55" s="46"/>
      <c r="C55" s="46"/>
      <c r="D55" s="46"/>
      <c r="E55" s="46"/>
      <c r="F55" s="46"/>
      <c r="G55" s="46"/>
      <c r="H55" s="46"/>
      <c r="I55" s="46"/>
      <c r="J55" s="46"/>
      <c r="K55" s="46"/>
      <c r="L55" s="46"/>
      <c r="M55" s="46"/>
      <c r="N55" s="46"/>
      <c r="O55" s="46"/>
      <c r="P55" s="46"/>
      <c r="Q55" s="46"/>
      <c r="R55" s="46"/>
      <c r="S55" s="46"/>
      <c r="T55" s="46"/>
      <c r="U55" s="46"/>
      <c r="V55" s="46"/>
      <c r="W55" s="46"/>
      <c r="X55" s="46"/>
      <c r="Y55" s="46"/>
      <c r="Z55" s="46"/>
    </row>
    <row r="56" spans="1:26" x14ac:dyDescent="0.25">
      <c r="A56" s="46"/>
      <c r="B56" s="46"/>
      <c r="C56" s="46"/>
      <c r="D56" s="46"/>
      <c r="E56" s="46"/>
      <c r="F56" s="46"/>
      <c r="G56" s="46"/>
      <c r="H56" s="46"/>
      <c r="I56" s="46"/>
      <c r="J56" s="46"/>
      <c r="K56" s="46"/>
      <c r="L56" s="46"/>
      <c r="M56" s="46"/>
      <c r="N56" s="46"/>
      <c r="O56" s="46"/>
      <c r="P56" s="46"/>
      <c r="Q56" s="46"/>
      <c r="R56" s="46"/>
      <c r="S56" s="46"/>
      <c r="T56" s="46"/>
      <c r="U56" s="46"/>
      <c r="V56" s="46"/>
      <c r="W56" s="46"/>
      <c r="X56" s="46"/>
      <c r="Y56" s="46"/>
      <c r="Z56" s="46"/>
    </row>
    <row r="57" spans="1:26" x14ac:dyDescent="0.25">
      <c r="A57" s="46"/>
      <c r="B57" s="46"/>
      <c r="C57" s="46"/>
      <c r="D57" s="46"/>
      <c r="E57" s="46"/>
      <c r="F57" s="46"/>
      <c r="G57" s="46"/>
      <c r="H57" s="46"/>
      <c r="I57" s="46"/>
      <c r="J57" s="46"/>
      <c r="K57" s="46"/>
      <c r="L57" s="46"/>
      <c r="M57" s="46"/>
      <c r="N57" s="46"/>
      <c r="O57" s="46"/>
      <c r="P57" s="46"/>
      <c r="Q57" s="46"/>
      <c r="R57" s="46"/>
      <c r="S57" s="46"/>
      <c r="T57" s="46"/>
      <c r="U57" s="46"/>
      <c r="V57" s="46"/>
      <c r="W57" s="46"/>
      <c r="X57" s="46"/>
      <c r="Y57" s="46"/>
      <c r="Z57" s="46"/>
    </row>
    <row r="58" spans="1:26" x14ac:dyDescent="0.25">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row>
    <row r="59" spans="1:26" x14ac:dyDescent="0.25">
      <c r="A59" s="46"/>
      <c r="B59" s="46"/>
      <c r="C59" s="46"/>
      <c r="D59" s="46"/>
      <c r="E59" s="46"/>
      <c r="F59" s="46"/>
      <c r="G59" s="46"/>
      <c r="H59" s="46"/>
      <c r="I59" s="46"/>
      <c r="J59" s="46"/>
      <c r="K59" s="46"/>
      <c r="L59" s="46"/>
      <c r="M59" s="46"/>
      <c r="N59" s="46"/>
      <c r="O59" s="46"/>
      <c r="P59" s="46"/>
      <c r="Q59" s="46"/>
      <c r="R59" s="46"/>
      <c r="S59" s="46"/>
      <c r="T59" s="46"/>
      <c r="U59" s="46"/>
      <c r="V59" s="46"/>
      <c r="W59" s="46"/>
      <c r="X59" s="46"/>
      <c r="Y59" s="46"/>
      <c r="Z59" s="46"/>
    </row>
    <row r="60" spans="1:26" x14ac:dyDescent="0.25">
      <c r="A60" s="46"/>
      <c r="B60" s="46"/>
      <c r="C60" s="46"/>
      <c r="D60" s="46"/>
      <c r="E60" s="46"/>
      <c r="F60" s="46"/>
      <c r="G60" s="46"/>
      <c r="H60" s="46"/>
      <c r="I60" s="46"/>
      <c r="J60" s="46"/>
      <c r="K60" s="46"/>
      <c r="L60" s="46"/>
      <c r="M60" s="46"/>
      <c r="N60" s="46"/>
      <c r="O60" s="46"/>
      <c r="P60" s="46"/>
      <c r="Q60" s="46"/>
      <c r="R60" s="46"/>
      <c r="S60" s="46"/>
      <c r="T60" s="46"/>
      <c r="U60" s="46"/>
      <c r="V60" s="46"/>
      <c r="W60" s="46"/>
      <c r="X60" s="46"/>
      <c r="Y60" s="46"/>
      <c r="Z60" s="46"/>
    </row>
    <row r="61" spans="1:26" x14ac:dyDescent="0.25">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row>
    <row r="62" spans="1:26" x14ac:dyDescent="0.25">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row>
    <row r="63" spans="1:26" x14ac:dyDescent="0.25">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row>
    <row r="64" spans="1:26" x14ac:dyDescent="0.25">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spans="1:26" x14ac:dyDescent="0.25">
      <c r="A65" s="46"/>
      <c r="B65" s="46"/>
      <c r="C65" s="46"/>
      <c r="D65" s="46"/>
      <c r="E65" s="46"/>
      <c r="F65" s="46"/>
      <c r="G65" s="46"/>
      <c r="H65" s="46"/>
      <c r="I65" s="46"/>
      <c r="J65" s="46"/>
      <c r="K65" s="46"/>
      <c r="L65" s="46"/>
      <c r="M65" s="46"/>
      <c r="N65" s="46"/>
      <c r="O65" s="46"/>
      <c r="P65" s="46"/>
      <c r="Q65" s="46"/>
      <c r="R65" s="46"/>
      <c r="S65" s="46"/>
      <c r="T65" s="46"/>
      <c r="U65" s="46"/>
      <c r="V65" s="46"/>
      <c r="W65" s="46"/>
      <c r="X65" s="46"/>
      <c r="Y65" s="46"/>
      <c r="Z65" s="46"/>
    </row>
    <row r="66" spans="1:26" x14ac:dyDescent="0.25">
      <c r="A66" s="46"/>
      <c r="B66" s="46"/>
      <c r="C66" s="46"/>
      <c r="D66" s="46"/>
      <c r="E66" s="46"/>
      <c r="F66" s="46"/>
      <c r="G66" s="46"/>
      <c r="H66" s="46"/>
      <c r="I66" s="46"/>
      <c r="J66" s="46"/>
      <c r="K66" s="46"/>
      <c r="L66" s="46"/>
      <c r="M66" s="46"/>
      <c r="N66" s="46"/>
      <c r="O66" s="46"/>
      <c r="P66" s="46"/>
      <c r="Q66" s="46"/>
      <c r="R66" s="46"/>
      <c r="S66" s="46"/>
      <c r="T66" s="46"/>
      <c r="U66" s="46"/>
      <c r="V66" s="46"/>
      <c r="W66" s="46"/>
      <c r="X66" s="46"/>
      <c r="Y66" s="46"/>
      <c r="Z66" s="46"/>
    </row>
    <row r="67" spans="1:26" x14ac:dyDescent="0.25">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row>
    <row r="68" spans="1:26" x14ac:dyDescent="0.25">
      <c r="A68" s="46"/>
      <c r="B68" s="46"/>
      <c r="C68" s="46"/>
      <c r="D68" s="46"/>
      <c r="E68" s="46"/>
      <c r="F68" s="46"/>
      <c r="G68" s="46"/>
      <c r="H68" s="46"/>
      <c r="I68" s="46"/>
      <c r="J68" s="46"/>
      <c r="K68" s="46"/>
      <c r="L68" s="46"/>
      <c r="M68" s="46"/>
      <c r="N68" s="46"/>
      <c r="O68" s="46"/>
      <c r="P68" s="46"/>
      <c r="Q68" s="46"/>
      <c r="R68" s="46"/>
      <c r="S68" s="46"/>
      <c r="T68" s="46"/>
      <c r="U68" s="46"/>
      <c r="V68" s="46"/>
      <c r="W68" s="46"/>
      <c r="X68" s="46"/>
      <c r="Y68" s="46"/>
      <c r="Z68" s="46"/>
    </row>
    <row r="69" spans="1:26" x14ac:dyDescent="0.25">
      <c r="A69" s="46"/>
      <c r="B69" s="46"/>
      <c r="C69" s="46"/>
      <c r="D69" s="46"/>
      <c r="E69" s="46"/>
      <c r="F69" s="46"/>
      <c r="G69" s="46"/>
      <c r="H69" s="46"/>
      <c r="I69" s="46"/>
      <c r="J69" s="46"/>
      <c r="K69" s="46"/>
      <c r="L69" s="46"/>
      <c r="M69" s="46"/>
      <c r="N69" s="46"/>
      <c r="O69" s="46"/>
      <c r="P69" s="46"/>
      <c r="Q69" s="46"/>
      <c r="R69" s="46"/>
      <c r="S69" s="46"/>
      <c r="T69" s="46"/>
      <c r="U69" s="46"/>
      <c r="V69" s="46"/>
      <c r="W69" s="46"/>
      <c r="X69" s="46"/>
      <c r="Y69" s="46"/>
      <c r="Z69" s="46"/>
    </row>
    <row r="70" spans="1:26" x14ac:dyDescent="0.25">
      <c r="A70" s="46"/>
      <c r="B70" s="46"/>
      <c r="C70" s="46"/>
      <c r="D70" s="46"/>
      <c r="E70" s="46"/>
      <c r="F70" s="46"/>
      <c r="G70" s="46"/>
      <c r="H70" s="46"/>
      <c r="I70" s="46"/>
      <c r="J70" s="46"/>
      <c r="K70" s="46"/>
      <c r="L70" s="46"/>
      <c r="M70" s="46"/>
      <c r="N70" s="46"/>
      <c r="O70" s="46"/>
      <c r="P70" s="46"/>
      <c r="Q70" s="46"/>
      <c r="R70" s="46"/>
      <c r="S70" s="46"/>
      <c r="T70" s="46"/>
      <c r="U70" s="46"/>
      <c r="V70" s="46"/>
      <c r="W70" s="46"/>
      <c r="X70" s="46"/>
      <c r="Y70" s="46"/>
      <c r="Z70" s="46"/>
    </row>
    <row r="71" spans="1:26" x14ac:dyDescent="0.25">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row>
    <row r="72" spans="1:26" x14ac:dyDescent="0.25">
      <c r="A72" s="46"/>
      <c r="B72" s="46"/>
      <c r="C72" s="46"/>
      <c r="D72" s="46"/>
      <c r="E72" s="46"/>
      <c r="F72" s="46"/>
      <c r="G72" s="46"/>
      <c r="H72" s="46"/>
      <c r="I72" s="46"/>
      <c r="J72" s="46"/>
      <c r="K72" s="46"/>
      <c r="L72" s="46"/>
      <c r="M72" s="46"/>
      <c r="N72" s="46"/>
      <c r="O72" s="46"/>
      <c r="P72" s="46"/>
      <c r="Q72" s="46"/>
      <c r="R72" s="46"/>
      <c r="S72" s="46"/>
      <c r="T72" s="46"/>
      <c r="U72" s="46"/>
      <c r="V72" s="46"/>
      <c r="W72" s="46"/>
      <c r="X72" s="46"/>
      <c r="Y72" s="46"/>
      <c r="Z72" s="46"/>
    </row>
    <row r="73" spans="1:26" x14ac:dyDescent="0.25">
      <c r="A73" s="46"/>
      <c r="B73" s="46"/>
      <c r="C73" s="46"/>
      <c r="D73" s="46"/>
      <c r="E73" s="46"/>
      <c r="F73" s="46"/>
      <c r="G73" s="46"/>
      <c r="H73" s="46"/>
      <c r="I73" s="46"/>
      <c r="J73" s="46"/>
      <c r="K73" s="46"/>
      <c r="L73" s="46"/>
      <c r="M73" s="46"/>
      <c r="N73" s="46"/>
      <c r="O73" s="46"/>
      <c r="P73" s="46"/>
      <c r="Q73" s="46"/>
      <c r="R73" s="46"/>
      <c r="S73" s="46"/>
      <c r="T73" s="46"/>
      <c r="U73" s="46"/>
      <c r="V73" s="46"/>
      <c r="W73" s="46"/>
      <c r="X73" s="46"/>
      <c r="Y73" s="46"/>
      <c r="Z73" s="46"/>
    </row>
    <row r="74" spans="1:26" x14ac:dyDescent="0.25">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spans="1:26" x14ac:dyDescent="0.25">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row>
    <row r="76" spans="1:26" x14ac:dyDescent="0.25">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row>
    <row r="77" spans="1:26" x14ac:dyDescent="0.25">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row>
    <row r="78" spans="1:26" x14ac:dyDescent="0.25">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row>
    <row r="79" spans="1:26" x14ac:dyDescent="0.25">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row>
    <row r="80" spans="1:26" x14ac:dyDescent="0.25">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x14ac:dyDescent="0.25">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row>
    <row r="83" spans="1:26" x14ac:dyDescent="0.25">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row>
    <row r="84" spans="1:26" x14ac:dyDescent="0.25">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spans="1:26" x14ac:dyDescent="0.25">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row>
    <row r="86" spans="1:26" x14ac:dyDescent="0.25">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row>
    <row r="87" spans="1:26" x14ac:dyDescent="0.25">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spans="1:26" x14ac:dyDescent="0.25">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row>
    <row r="89" spans="1:26" x14ac:dyDescent="0.25">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row>
    <row r="90" spans="1:26" x14ac:dyDescent="0.25">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row>
    <row r="91" spans="1:26"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spans="1:26"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spans="1:26" x14ac:dyDescent="0.25">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x14ac:dyDescent="0.25">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x14ac:dyDescent="0.25">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x14ac:dyDescent="0.25">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spans="1:26" x14ac:dyDescent="0.25">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0" spans="1:26" x14ac:dyDescent="0.25">
      <c r="A100" s="46"/>
      <c r="B100" s="46"/>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row>
    <row r="101" spans="1:26" x14ac:dyDescent="0.25">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row>
    <row r="102" spans="1:26" x14ac:dyDescent="0.25">
      <c r="A102" s="46"/>
      <c r="B102" s="46"/>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row>
    <row r="103" spans="1:26" x14ac:dyDescent="0.25">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row>
    <row r="104" spans="1:26" x14ac:dyDescent="0.2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row>
    <row r="105" spans="1:26" x14ac:dyDescent="0.25">
      <c r="A105" s="46"/>
      <c r="B105" s="46"/>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row>
    <row r="106" spans="1:26" x14ac:dyDescent="0.25">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row>
    <row r="107" spans="1:26" x14ac:dyDescent="0.25">
      <c r="A107" s="46"/>
      <c r="B107" s="46"/>
      <c r="C107" s="46"/>
      <c r="D107" s="46"/>
      <c r="E107" s="46"/>
      <c r="F107" s="46"/>
      <c r="G107" s="46"/>
      <c r="H107" s="46"/>
      <c r="I107" s="46"/>
      <c r="J107" s="46"/>
      <c r="K107" s="46"/>
      <c r="L107" s="46"/>
      <c r="M107" s="46"/>
      <c r="N107" s="46"/>
      <c r="O107" s="46"/>
      <c r="P107" s="46"/>
      <c r="Q107" s="46"/>
      <c r="R107" s="46"/>
      <c r="S107" s="46"/>
      <c r="T107" s="46"/>
      <c r="U107" s="46"/>
      <c r="V107" s="46"/>
      <c r="W107" s="46"/>
      <c r="X107" s="46"/>
      <c r="Y107" s="46"/>
      <c r="Z107" s="46"/>
    </row>
    <row r="108" spans="1:26" x14ac:dyDescent="0.25">
      <c r="A108" s="46"/>
      <c r="B108" s="46"/>
      <c r="C108" s="46"/>
      <c r="D108" s="46"/>
      <c r="E108" s="46"/>
      <c r="F108" s="46"/>
      <c r="G108" s="46"/>
      <c r="H108" s="46"/>
      <c r="I108" s="46"/>
      <c r="J108" s="46"/>
      <c r="K108" s="46"/>
      <c r="L108" s="46"/>
      <c r="M108" s="46"/>
      <c r="N108" s="46"/>
      <c r="O108" s="46"/>
      <c r="P108" s="46"/>
      <c r="Q108" s="46"/>
      <c r="R108" s="46"/>
      <c r="S108" s="46"/>
      <c r="T108" s="46"/>
      <c r="U108" s="46"/>
      <c r="V108" s="46"/>
      <c r="W108" s="46"/>
      <c r="X108" s="46"/>
      <c r="Y108" s="46"/>
      <c r="Z108" s="46"/>
    </row>
    <row r="109" spans="1:26" x14ac:dyDescent="0.25">
      <c r="A109" s="46"/>
      <c r="B109" s="46"/>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row>
    <row r="110" spans="1:26" x14ac:dyDescent="0.25">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row>
    <row r="111" spans="1:26" x14ac:dyDescent="0.25">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spans="1:26" x14ac:dyDescent="0.25">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spans="1:26" x14ac:dyDescent="0.25">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row>
    <row r="114" spans="1:26" x14ac:dyDescent="0.25">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row>
    <row r="115" spans="1:26" x14ac:dyDescent="0.2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spans="1:26" x14ac:dyDescent="0.25">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spans="1:26" x14ac:dyDescent="0.25">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spans="1:26" x14ac:dyDescent="0.25">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spans="1:26" x14ac:dyDescent="0.25">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spans="1:26" x14ac:dyDescent="0.25">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spans="1:26" x14ac:dyDescent="0.25">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spans="1:26" x14ac:dyDescent="0.25">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spans="1:26" x14ac:dyDescent="0.25">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spans="1:26" x14ac:dyDescent="0.25">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spans="1:26" x14ac:dyDescent="0.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spans="1:26" x14ac:dyDescent="0.25">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spans="1:26" x14ac:dyDescent="0.25">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spans="1:26" x14ac:dyDescent="0.25">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spans="1:26" x14ac:dyDescent="0.25">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spans="1:26" x14ac:dyDescent="0.25">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spans="1:26" x14ac:dyDescent="0.25">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spans="1:26" x14ac:dyDescent="0.25">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spans="1:26" x14ac:dyDescent="0.25">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spans="1:26" x14ac:dyDescent="0.25">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spans="1:26" x14ac:dyDescent="0.2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spans="1:26" x14ac:dyDescent="0.25">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spans="1:26" x14ac:dyDescent="0.25">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spans="1:26" x14ac:dyDescent="0.25">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spans="1:26" x14ac:dyDescent="0.25">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spans="1:26" x14ac:dyDescent="0.25">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spans="1:26" x14ac:dyDescent="0.25">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spans="1:26" x14ac:dyDescent="0.25">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spans="1:26" x14ac:dyDescent="0.25">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spans="1:26" x14ac:dyDescent="0.25">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spans="1:26" x14ac:dyDescent="0.2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spans="1:26" x14ac:dyDescent="0.25">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spans="1:26" x14ac:dyDescent="0.25">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spans="1:26" x14ac:dyDescent="0.25">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spans="1:26" x14ac:dyDescent="0.25">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spans="1:26" x14ac:dyDescent="0.25">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spans="1:26" x14ac:dyDescent="0.25">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spans="1:26" x14ac:dyDescent="0.25">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spans="1:26" x14ac:dyDescent="0.25">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spans="1:26" x14ac:dyDescent="0.25">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spans="1:26" x14ac:dyDescent="0.2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spans="1:26" x14ac:dyDescent="0.25">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spans="1:26" x14ac:dyDescent="0.25">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spans="1:26" x14ac:dyDescent="0.25">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spans="1:26" x14ac:dyDescent="0.25">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spans="1:26" x14ac:dyDescent="0.25">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spans="1:26" x14ac:dyDescent="0.25">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spans="1:26" x14ac:dyDescent="0.25">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spans="1:26" x14ac:dyDescent="0.25">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spans="1:26" x14ac:dyDescent="0.25">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spans="1:26" x14ac:dyDescent="0.2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spans="1:26" x14ac:dyDescent="0.25">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spans="1:26" x14ac:dyDescent="0.25">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spans="1:26" x14ac:dyDescent="0.25">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spans="1:26" x14ac:dyDescent="0.25">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spans="1:26" x14ac:dyDescent="0.25">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spans="1:26" x14ac:dyDescent="0.25">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spans="1:26" x14ac:dyDescent="0.25">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spans="1:26" x14ac:dyDescent="0.25">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spans="1:26" x14ac:dyDescent="0.25">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spans="1:26" x14ac:dyDescent="0.2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spans="1:26" x14ac:dyDescent="0.25">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spans="1:26" x14ac:dyDescent="0.25">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spans="1:26" x14ac:dyDescent="0.25">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spans="1:26" x14ac:dyDescent="0.25">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spans="1:26" x14ac:dyDescent="0.25">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spans="1:26" x14ac:dyDescent="0.25">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spans="1:26" x14ac:dyDescent="0.25">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spans="1:26" x14ac:dyDescent="0.25">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spans="1:26" x14ac:dyDescent="0.25">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spans="1:26" x14ac:dyDescent="0.2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spans="1:26" x14ac:dyDescent="0.25">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spans="1:26" x14ac:dyDescent="0.25">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spans="1:26" x14ac:dyDescent="0.25">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spans="1:26" x14ac:dyDescent="0.25">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spans="1:26" x14ac:dyDescent="0.25">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spans="1:26" x14ac:dyDescent="0.25">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spans="1:26" x14ac:dyDescent="0.25">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spans="1:26" x14ac:dyDescent="0.25">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spans="1:26" x14ac:dyDescent="0.25">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spans="1:26" x14ac:dyDescent="0.2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spans="1:26" x14ac:dyDescent="0.25">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spans="1:26" x14ac:dyDescent="0.25">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spans="1:26" x14ac:dyDescent="0.25">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spans="1:26" x14ac:dyDescent="0.25">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spans="1:26" x14ac:dyDescent="0.25">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spans="1:26" x14ac:dyDescent="0.25">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spans="1:26" x14ac:dyDescent="0.25">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spans="1:26" x14ac:dyDescent="0.25">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spans="1:26" x14ac:dyDescent="0.25">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spans="1:26" x14ac:dyDescent="0.2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spans="1:26" x14ac:dyDescent="0.25">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spans="1:26" x14ac:dyDescent="0.25">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spans="1:26" x14ac:dyDescent="0.25">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spans="1:26" x14ac:dyDescent="0.25">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spans="1:26" x14ac:dyDescent="0.25">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spans="1:26" x14ac:dyDescent="0.25">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spans="1:26" x14ac:dyDescent="0.25">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spans="1:26" x14ac:dyDescent="0.25">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spans="1:26" x14ac:dyDescent="0.25">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spans="1:26" x14ac:dyDescent="0.2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spans="1:26" x14ac:dyDescent="0.25">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spans="1:26" x14ac:dyDescent="0.25">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spans="1:26" x14ac:dyDescent="0.25">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spans="1:26" x14ac:dyDescent="0.25">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spans="1:26" x14ac:dyDescent="0.25">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spans="1:26" x14ac:dyDescent="0.25">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spans="1:26" x14ac:dyDescent="0.25">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spans="1:26" x14ac:dyDescent="0.25">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spans="1:26" x14ac:dyDescent="0.25">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spans="1:26" x14ac:dyDescent="0.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spans="1:26" x14ac:dyDescent="0.25">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spans="1:26" x14ac:dyDescent="0.25">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spans="1:26" x14ac:dyDescent="0.25">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spans="1:26" x14ac:dyDescent="0.25">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spans="1:26" x14ac:dyDescent="0.25">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spans="1:26" x14ac:dyDescent="0.25">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spans="1:26" x14ac:dyDescent="0.25">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spans="1:26" x14ac:dyDescent="0.25">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spans="1:26" x14ac:dyDescent="0.25">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spans="1:26" x14ac:dyDescent="0.2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spans="1:26" x14ac:dyDescent="0.25">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spans="1:26" x14ac:dyDescent="0.25">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spans="1:26" x14ac:dyDescent="0.25">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spans="1:26" x14ac:dyDescent="0.25">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spans="1:26" x14ac:dyDescent="0.25">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spans="1:26" x14ac:dyDescent="0.25">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spans="1:26" x14ac:dyDescent="0.25">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spans="1:26" x14ac:dyDescent="0.25">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spans="1:26" x14ac:dyDescent="0.25">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spans="1:26" x14ac:dyDescent="0.2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spans="1:26" x14ac:dyDescent="0.25">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spans="1:26" x14ac:dyDescent="0.25">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spans="1:26" x14ac:dyDescent="0.25">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spans="1:26" x14ac:dyDescent="0.25">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spans="1:26" x14ac:dyDescent="0.25">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spans="1:26" x14ac:dyDescent="0.25">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spans="1:26" x14ac:dyDescent="0.25">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spans="1:26" x14ac:dyDescent="0.25">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spans="1:26" x14ac:dyDescent="0.25">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spans="1:26" x14ac:dyDescent="0.2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spans="1:26" x14ac:dyDescent="0.25">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spans="1:26" x14ac:dyDescent="0.25">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spans="1:26" x14ac:dyDescent="0.25">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spans="1:26" x14ac:dyDescent="0.25">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spans="1:26" x14ac:dyDescent="0.25">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spans="1:26" x14ac:dyDescent="0.25">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spans="1:26" x14ac:dyDescent="0.25">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spans="1:26" x14ac:dyDescent="0.25">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spans="1:26" x14ac:dyDescent="0.25">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spans="1:26" x14ac:dyDescent="0.2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spans="1:26" x14ac:dyDescent="0.25">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spans="1:26" x14ac:dyDescent="0.25">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spans="1:26" x14ac:dyDescent="0.25">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spans="1:26" x14ac:dyDescent="0.25">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spans="1:26" x14ac:dyDescent="0.25">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spans="1:26" x14ac:dyDescent="0.25">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spans="1:26" x14ac:dyDescent="0.25">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spans="1:26" x14ac:dyDescent="0.25">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spans="1:26" x14ac:dyDescent="0.25">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spans="1:26" x14ac:dyDescent="0.2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spans="1:26" x14ac:dyDescent="0.25">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spans="1:26" x14ac:dyDescent="0.25">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spans="1:26" x14ac:dyDescent="0.25">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spans="1:26" x14ac:dyDescent="0.25">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spans="1:26" x14ac:dyDescent="0.25">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spans="1:26" x14ac:dyDescent="0.25">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spans="1:26" x14ac:dyDescent="0.25">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spans="1:26" x14ac:dyDescent="0.25">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spans="1:26" x14ac:dyDescent="0.25">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spans="1:26" x14ac:dyDescent="0.2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spans="1:26" x14ac:dyDescent="0.25">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spans="1:26" x14ac:dyDescent="0.25">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spans="1:26" x14ac:dyDescent="0.25">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spans="1:26" x14ac:dyDescent="0.25">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spans="1:26" x14ac:dyDescent="0.25">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spans="1:26" x14ac:dyDescent="0.25">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spans="1:26" x14ac:dyDescent="0.25">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spans="1:26" x14ac:dyDescent="0.25">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spans="1:26" x14ac:dyDescent="0.25">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spans="1:26" x14ac:dyDescent="0.2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spans="1:26" x14ac:dyDescent="0.25">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spans="1:26" x14ac:dyDescent="0.25">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spans="1:26" x14ac:dyDescent="0.25">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spans="1:26" x14ac:dyDescent="0.25">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spans="1:26" x14ac:dyDescent="0.25">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spans="1:26" x14ac:dyDescent="0.25">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spans="1:26" x14ac:dyDescent="0.25">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spans="1:26" x14ac:dyDescent="0.25">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spans="1:26" x14ac:dyDescent="0.25">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spans="1:26" x14ac:dyDescent="0.2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spans="1:26" x14ac:dyDescent="0.25">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spans="1:26" x14ac:dyDescent="0.25">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spans="1:26" x14ac:dyDescent="0.25">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spans="1:26" x14ac:dyDescent="0.25">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spans="1:26" x14ac:dyDescent="0.25">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spans="1:26" x14ac:dyDescent="0.25">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spans="1:26" x14ac:dyDescent="0.25">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spans="1:26" x14ac:dyDescent="0.25">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spans="1:26" x14ac:dyDescent="0.25">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spans="1:26" x14ac:dyDescent="0.2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spans="1:26" x14ac:dyDescent="0.25">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spans="1:26" x14ac:dyDescent="0.25">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spans="1:26" x14ac:dyDescent="0.25">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spans="1:26" x14ac:dyDescent="0.25">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spans="1:26" x14ac:dyDescent="0.25">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spans="1:26" x14ac:dyDescent="0.25">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spans="1:26" x14ac:dyDescent="0.25">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spans="1:26" x14ac:dyDescent="0.25">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spans="1:26" x14ac:dyDescent="0.25">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spans="1:26" x14ac:dyDescent="0.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spans="1:26" x14ac:dyDescent="0.25">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spans="1:26" x14ac:dyDescent="0.25">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spans="1:26" x14ac:dyDescent="0.25">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spans="1:26" x14ac:dyDescent="0.25">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spans="1:26" x14ac:dyDescent="0.25">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spans="1:26" x14ac:dyDescent="0.25">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spans="1:26" x14ac:dyDescent="0.25">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spans="1:26" x14ac:dyDescent="0.25">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spans="1:26" x14ac:dyDescent="0.25">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spans="1:26" x14ac:dyDescent="0.2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spans="1:26" x14ac:dyDescent="0.25">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spans="1:26" x14ac:dyDescent="0.25">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spans="1:26" x14ac:dyDescent="0.25">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spans="1:26" x14ac:dyDescent="0.25">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spans="1:26" x14ac:dyDescent="0.25">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spans="1:26" x14ac:dyDescent="0.25">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spans="1:26" x14ac:dyDescent="0.25">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spans="1:26" x14ac:dyDescent="0.25">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spans="1:26" x14ac:dyDescent="0.25">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spans="1:26" x14ac:dyDescent="0.2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spans="1:26" x14ac:dyDescent="0.25">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spans="1:26" x14ac:dyDescent="0.25">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spans="1:26" x14ac:dyDescent="0.25">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spans="1:26" x14ac:dyDescent="0.25">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spans="1:26" x14ac:dyDescent="0.25">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spans="1:26" x14ac:dyDescent="0.25">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spans="1:26" x14ac:dyDescent="0.25">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spans="1:26" x14ac:dyDescent="0.25">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spans="1:26" x14ac:dyDescent="0.25">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spans="1:26" x14ac:dyDescent="0.2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spans="1:26" x14ac:dyDescent="0.25">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spans="1:26" x14ac:dyDescent="0.25">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spans="1:26" x14ac:dyDescent="0.25">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spans="1:26" x14ac:dyDescent="0.25">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spans="1:26" x14ac:dyDescent="0.25">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spans="1:26" x14ac:dyDescent="0.25">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spans="1:26" x14ac:dyDescent="0.25">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spans="1:26" x14ac:dyDescent="0.25">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spans="1:26" x14ac:dyDescent="0.25">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spans="1:26" x14ac:dyDescent="0.2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spans="1:26" x14ac:dyDescent="0.25">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spans="1:26" x14ac:dyDescent="0.25">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spans="1:26" x14ac:dyDescent="0.25">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spans="1:26" x14ac:dyDescent="0.25">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spans="1:26" x14ac:dyDescent="0.25">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spans="1:26" x14ac:dyDescent="0.25">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spans="1:26" x14ac:dyDescent="0.25">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spans="1:26" x14ac:dyDescent="0.25">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spans="1:26" x14ac:dyDescent="0.25">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spans="1:26" x14ac:dyDescent="0.2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spans="1:26" x14ac:dyDescent="0.25">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spans="1:26" x14ac:dyDescent="0.25">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spans="1:26" x14ac:dyDescent="0.25">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spans="1:26" x14ac:dyDescent="0.25">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spans="1:26" x14ac:dyDescent="0.25">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spans="1:26" x14ac:dyDescent="0.25">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spans="1:26" x14ac:dyDescent="0.25">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spans="1:26" x14ac:dyDescent="0.25">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spans="1:26" x14ac:dyDescent="0.25">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spans="1:26" x14ac:dyDescent="0.2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spans="1:26" x14ac:dyDescent="0.25">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spans="1:26" x14ac:dyDescent="0.25">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spans="1:26" x14ac:dyDescent="0.25">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spans="1:26" x14ac:dyDescent="0.25">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spans="1:26" x14ac:dyDescent="0.25">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spans="1:26" x14ac:dyDescent="0.25">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spans="1:26" x14ac:dyDescent="0.25">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spans="1:26" x14ac:dyDescent="0.25">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spans="1:26" x14ac:dyDescent="0.25">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spans="1:26" x14ac:dyDescent="0.2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spans="1:26" x14ac:dyDescent="0.25">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spans="1:26" x14ac:dyDescent="0.25">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spans="1:26" x14ac:dyDescent="0.25">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spans="1:26" x14ac:dyDescent="0.25">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spans="1:26" x14ac:dyDescent="0.25">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spans="1:26" x14ac:dyDescent="0.25">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spans="1:26" x14ac:dyDescent="0.25">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spans="1:26" x14ac:dyDescent="0.25">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spans="1:26" x14ac:dyDescent="0.25">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spans="1:26" x14ac:dyDescent="0.2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spans="1:26" x14ac:dyDescent="0.25">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spans="1:26" x14ac:dyDescent="0.25">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spans="1:26" x14ac:dyDescent="0.25">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spans="1:26" x14ac:dyDescent="0.25">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spans="1:26" x14ac:dyDescent="0.25">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spans="1:26" x14ac:dyDescent="0.25">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spans="1:26" x14ac:dyDescent="0.25">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spans="1:26" x14ac:dyDescent="0.25">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spans="1:26" x14ac:dyDescent="0.25">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spans="1:26" x14ac:dyDescent="0.2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spans="1:26" x14ac:dyDescent="0.25">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spans="1:26" x14ac:dyDescent="0.25">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spans="1:26" x14ac:dyDescent="0.25">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spans="1:26" x14ac:dyDescent="0.25">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spans="1:26" x14ac:dyDescent="0.25">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spans="1:26" x14ac:dyDescent="0.25">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spans="1:26" x14ac:dyDescent="0.25">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spans="1:26" x14ac:dyDescent="0.25">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spans="1:26" x14ac:dyDescent="0.25">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spans="1:26" x14ac:dyDescent="0.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spans="1:26" x14ac:dyDescent="0.25">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spans="1:26" x14ac:dyDescent="0.25">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spans="1:26" x14ac:dyDescent="0.25">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spans="1:26" x14ac:dyDescent="0.25">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spans="1:26" x14ac:dyDescent="0.25">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spans="1:26" x14ac:dyDescent="0.25">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spans="1:26" x14ac:dyDescent="0.25">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spans="1:26" x14ac:dyDescent="0.25">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spans="1:26" x14ac:dyDescent="0.25">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spans="1:26" x14ac:dyDescent="0.2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spans="1:26" x14ac:dyDescent="0.25">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spans="1:26" x14ac:dyDescent="0.25">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spans="1:26" x14ac:dyDescent="0.25">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spans="1:26" x14ac:dyDescent="0.25">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spans="1:26" x14ac:dyDescent="0.25">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spans="1:26" x14ac:dyDescent="0.25">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spans="1:26" x14ac:dyDescent="0.25">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spans="1:26" x14ac:dyDescent="0.25">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spans="1:26" x14ac:dyDescent="0.25">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spans="1:26" x14ac:dyDescent="0.2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spans="1:26" x14ac:dyDescent="0.25">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spans="1:26" x14ac:dyDescent="0.25">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spans="1:26" x14ac:dyDescent="0.25">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spans="1:26" x14ac:dyDescent="0.25">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spans="1:26" x14ac:dyDescent="0.25">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spans="1:26" x14ac:dyDescent="0.25">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spans="1:26" x14ac:dyDescent="0.25">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spans="1:26" x14ac:dyDescent="0.25">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spans="1:26" x14ac:dyDescent="0.25">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spans="1:26" x14ac:dyDescent="0.2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spans="1:26" x14ac:dyDescent="0.25">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spans="1:26" x14ac:dyDescent="0.25">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spans="1:26" x14ac:dyDescent="0.25">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spans="1:26" x14ac:dyDescent="0.25">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spans="1:26" x14ac:dyDescent="0.25">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spans="1:26" x14ac:dyDescent="0.25">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spans="1:26" x14ac:dyDescent="0.25">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spans="1:26" x14ac:dyDescent="0.25">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spans="1:26" x14ac:dyDescent="0.25">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spans="1:26" x14ac:dyDescent="0.2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spans="1:26" x14ac:dyDescent="0.25">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spans="1:26" x14ac:dyDescent="0.25">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spans="1:26" x14ac:dyDescent="0.25">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spans="1:26" x14ac:dyDescent="0.25">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spans="1:26" x14ac:dyDescent="0.25">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spans="1:26" x14ac:dyDescent="0.25">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spans="1:26" x14ac:dyDescent="0.25">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spans="1:26" x14ac:dyDescent="0.25">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spans="1:26" x14ac:dyDescent="0.25">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spans="1:26" x14ac:dyDescent="0.2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spans="1:26" x14ac:dyDescent="0.25">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spans="1:26" x14ac:dyDescent="0.25">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spans="1:26" x14ac:dyDescent="0.25">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spans="1:26" x14ac:dyDescent="0.25">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spans="1:26" x14ac:dyDescent="0.25">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spans="1:26" x14ac:dyDescent="0.25">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spans="1:26" x14ac:dyDescent="0.25">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spans="1:26" x14ac:dyDescent="0.25">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spans="1:26" x14ac:dyDescent="0.25">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spans="1:26" x14ac:dyDescent="0.2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spans="1:26" x14ac:dyDescent="0.25">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spans="1:26" x14ac:dyDescent="0.25">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spans="1:26" x14ac:dyDescent="0.25">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spans="1:26" x14ac:dyDescent="0.25">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spans="1:26" x14ac:dyDescent="0.25">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spans="1:26" x14ac:dyDescent="0.25">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spans="1:26" x14ac:dyDescent="0.25">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spans="1:26" x14ac:dyDescent="0.25">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spans="1:26" x14ac:dyDescent="0.25">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spans="1:26" x14ac:dyDescent="0.2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spans="1:26" x14ac:dyDescent="0.25">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spans="1:26" x14ac:dyDescent="0.25">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spans="1:26" x14ac:dyDescent="0.25">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spans="1:26" x14ac:dyDescent="0.25">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spans="1:26" x14ac:dyDescent="0.25">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sheetData>
  <sheetProtection sheet="1" objects="1" scenarios="1"/>
  <mergeCells count="31">
    <mergeCell ref="C37:E37"/>
    <mergeCell ref="C32:E32"/>
    <mergeCell ref="C33:E33"/>
    <mergeCell ref="C34:E34"/>
    <mergeCell ref="C35:E35"/>
    <mergeCell ref="C36:E36"/>
    <mergeCell ref="C26:E26"/>
    <mergeCell ref="B28:E28"/>
    <mergeCell ref="C29:E29"/>
    <mergeCell ref="C30:E30"/>
    <mergeCell ref="C31:E31"/>
    <mergeCell ref="B21:E21"/>
    <mergeCell ref="C22:E22"/>
    <mergeCell ref="C23:E23"/>
    <mergeCell ref="C24:E24"/>
    <mergeCell ref="C25:E25"/>
    <mergeCell ref="C15:E15"/>
    <mergeCell ref="C16:E16"/>
    <mergeCell ref="C17:E17"/>
    <mergeCell ref="C18:E18"/>
    <mergeCell ref="C19:E19"/>
    <mergeCell ref="C9:E9"/>
    <mergeCell ref="C10:E10"/>
    <mergeCell ref="C11:E11"/>
    <mergeCell ref="B13:E13"/>
    <mergeCell ref="C14:E14"/>
    <mergeCell ref="B2:E2"/>
    <mergeCell ref="B4:E4"/>
    <mergeCell ref="B5:E5"/>
    <mergeCell ref="B7:E7"/>
    <mergeCell ref="C8:E8"/>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Z500"/>
  <sheetViews>
    <sheetView zoomScaleNormal="100" workbookViewId="0"/>
  </sheetViews>
  <sheetFormatPr defaultColWidth="8.7109375" defaultRowHeight="15" x14ac:dyDescent="0.25"/>
  <cols>
    <col min="1" max="1" width="3" customWidth="1"/>
    <col min="2" max="2" width="40" customWidth="1"/>
    <col min="3" max="3" width="80" customWidth="1"/>
  </cols>
  <sheetData>
    <row r="1" spans="1:26" x14ac:dyDescent="0.25">
      <c r="A1" s="46"/>
      <c r="B1" s="46"/>
      <c r="C1" s="46"/>
      <c r="D1" s="46"/>
      <c r="E1" s="46"/>
      <c r="F1" s="46"/>
      <c r="G1" s="46"/>
      <c r="H1" s="46"/>
      <c r="I1" s="46"/>
      <c r="J1" s="46"/>
      <c r="K1" s="46"/>
      <c r="L1" s="46"/>
      <c r="M1" s="46"/>
      <c r="N1" s="46"/>
      <c r="O1" s="46"/>
      <c r="P1" s="46"/>
      <c r="Q1" s="46"/>
      <c r="R1" s="46"/>
      <c r="S1" s="46"/>
      <c r="T1" s="46"/>
      <c r="U1" s="46"/>
      <c r="V1" s="46"/>
      <c r="W1" s="46"/>
      <c r="X1" s="46"/>
      <c r="Y1" s="46"/>
      <c r="Z1" s="46"/>
    </row>
    <row r="2" spans="1:26" ht="18" x14ac:dyDescent="0.25">
      <c r="A2" s="46"/>
      <c r="B2" s="44" t="s">
        <v>277</v>
      </c>
      <c r="C2" s="44"/>
      <c r="D2" s="46"/>
      <c r="E2" s="46"/>
      <c r="F2" s="46"/>
      <c r="G2" s="46"/>
      <c r="H2" s="46"/>
      <c r="I2" s="46"/>
      <c r="J2" s="46"/>
      <c r="K2" s="46"/>
      <c r="L2" s="46"/>
      <c r="M2" s="46"/>
      <c r="N2" s="46"/>
      <c r="O2" s="46"/>
      <c r="P2" s="46"/>
      <c r="Q2" s="46"/>
      <c r="R2" s="46"/>
      <c r="S2" s="46"/>
      <c r="T2" s="46"/>
      <c r="U2" s="46"/>
      <c r="V2" s="46"/>
      <c r="W2" s="46"/>
      <c r="X2" s="46"/>
      <c r="Y2" s="46"/>
      <c r="Z2" s="46"/>
    </row>
    <row r="3" spans="1:26" x14ac:dyDescent="0.25">
      <c r="A3" s="46"/>
      <c r="B3" s="90" t="s">
        <v>278</v>
      </c>
      <c r="C3" s="90" t="s">
        <v>279</v>
      </c>
      <c r="D3" s="46"/>
      <c r="E3" s="46"/>
      <c r="F3" s="46"/>
      <c r="G3" s="46"/>
      <c r="H3" s="46"/>
      <c r="I3" s="46"/>
      <c r="J3" s="46"/>
      <c r="K3" s="46"/>
      <c r="L3" s="46"/>
      <c r="M3" s="46"/>
      <c r="N3" s="46"/>
      <c r="O3" s="46"/>
      <c r="P3" s="46"/>
      <c r="Q3" s="46"/>
      <c r="R3" s="46"/>
      <c r="S3" s="46"/>
      <c r="T3" s="46"/>
      <c r="U3" s="46"/>
      <c r="V3" s="46"/>
      <c r="W3" s="46"/>
      <c r="X3" s="46"/>
      <c r="Y3" s="46"/>
      <c r="Z3" s="46"/>
    </row>
    <row r="4" spans="1:26" x14ac:dyDescent="0.25">
      <c r="A4" s="46"/>
      <c r="B4" s="48" t="s">
        <v>280</v>
      </c>
      <c r="C4" s="511" t="s">
        <v>281</v>
      </c>
      <c r="D4" s="46"/>
      <c r="E4" s="46"/>
      <c r="F4" s="46"/>
      <c r="G4" s="46"/>
      <c r="H4" s="46"/>
      <c r="I4" s="46"/>
      <c r="J4" s="46"/>
      <c r="K4" s="46"/>
      <c r="L4" s="46"/>
      <c r="M4" s="46"/>
      <c r="N4" s="46"/>
      <c r="O4" s="46"/>
      <c r="P4" s="46"/>
      <c r="Q4" s="46"/>
      <c r="R4" s="46"/>
      <c r="S4" s="46"/>
      <c r="T4" s="46"/>
      <c r="U4" s="46"/>
      <c r="V4" s="46"/>
      <c r="W4" s="46"/>
      <c r="X4" s="46"/>
      <c r="Y4" s="46"/>
      <c r="Z4" s="46"/>
    </row>
    <row r="5" spans="1:26" x14ac:dyDescent="0.25">
      <c r="A5" s="46"/>
      <c r="B5" s="48" t="s">
        <v>107</v>
      </c>
      <c r="C5" s="511" t="s">
        <v>282</v>
      </c>
      <c r="D5" s="46"/>
      <c r="E5" s="46"/>
      <c r="F5" s="46"/>
      <c r="G5" s="46"/>
      <c r="H5" s="46"/>
      <c r="I5" s="46"/>
      <c r="J5" s="46"/>
      <c r="K5" s="46"/>
      <c r="L5" s="46"/>
      <c r="M5" s="46"/>
      <c r="N5" s="46"/>
      <c r="O5" s="46"/>
      <c r="P5" s="46"/>
      <c r="Q5" s="46"/>
      <c r="R5" s="46"/>
      <c r="S5" s="46"/>
      <c r="T5" s="46"/>
      <c r="U5" s="46"/>
      <c r="V5" s="46"/>
      <c r="W5" s="46"/>
      <c r="X5" s="46"/>
      <c r="Y5" s="46"/>
      <c r="Z5" s="46"/>
    </row>
    <row r="6" spans="1:26" x14ac:dyDescent="0.25">
      <c r="A6" s="46"/>
      <c r="B6" s="48" t="s">
        <v>283</v>
      </c>
      <c r="C6" s="511" t="s">
        <v>284</v>
      </c>
      <c r="D6" s="46"/>
      <c r="E6" s="46"/>
      <c r="F6" s="46"/>
      <c r="G6" s="46"/>
      <c r="H6" s="46"/>
      <c r="I6" s="46"/>
      <c r="J6" s="46"/>
      <c r="K6" s="46"/>
      <c r="L6" s="46"/>
      <c r="M6" s="46"/>
      <c r="N6" s="46"/>
      <c r="O6" s="46"/>
      <c r="P6" s="46"/>
      <c r="Q6" s="46"/>
      <c r="R6" s="46"/>
      <c r="S6" s="46"/>
      <c r="T6" s="46"/>
      <c r="U6" s="46"/>
      <c r="V6" s="46"/>
      <c r="W6" s="46"/>
      <c r="X6" s="46"/>
      <c r="Y6" s="46"/>
      <c r="Z6" s="46"/>
    </row>
    <row r="7" spans="1:26" x14ac:dyDescent="0.25">
      <c r="A7" s="46"/>
      <c r="B7" s="48" t="s">
        <v>285</v>
      </c>
      <c r="C7" s="511" t="s">
        <v>286</v>
      </c>
      <c r="D7" s="46"/>
      <c r="E7" s="46"/>
      <c r="F7" s="46"/>
      <c r="G7" s="46"/>
      <c r="H7" s="46"/>
      <c r="I7" s="46"/>
      <c r="J7" s="46"/>
      <c r="K7" s="46"/>
      <c r="L7" s="46"/>
      <c r="M7" s="46"/>
      <c r="N7" s="46"/>
      <c r="O7" s="46"/>
      <c r="P7" s="46"/>
      <c r="Q7" s="46"/>
      <c r="R7" s="46"/>
      <c r="S7" s="46"/>
      <c r="T7" s="46"/>
      <c r="U7" s="46"/>
      <c r="V7" s="46"/>
      <c r="W7" s="46"/>
      <c r="X7" s="46"/>
      <c r="Y7" s="46"/>
      <c r="Z7" s="46"/>
    </row>
    <row r="8" spans="1:26" x14ac:dyDescent="0.25">
      <c r="A8" s="46"/>
      <c r="B8" s="48" t="s">
        <v>287</v>
      </c>
      <c r="C8" s="511" t="s">
        <v>288</v>
      </c>
      <c r="D8" s="46"/>
      <c r="E8" s="46"/>
      <c r="F8" s="46"/>
      <c r="G8" s="46"/>
      <c r="H8" s="46"/>
      <c r="I8" s="46"/>
      <c r="J8" s="46"/>
      <c r="K8" s="46"/>
      <c r="L8" s="46"/>
      <c r="M8" s="46"/>
      <c r="N8" s="46"/>
      <c r="O8" s="46"/>
      <c r="P8" s="46"/>
      <c r="Q8" s="46"/>
      <c r="R8" s="46"/>
      <c r="S8" s="46"/>
      <c r="T8" s="46"/>
      <c r="U8" s="46"/>
      <c r="V8" s="46"/>
      <c r="W8" s="46"/>
      <c r="X8" s="46"/>
      <c r="Y8" s="46"/>
      <c r="Z8" s="46"/>
    </row>
    <row r="9" spans="1:26" x14ac:dyDescent="0.25">
      <c r="A9" s="46"/>
      <c r="B9" s="48" t="s">
        <v>289</v>
      </c>
      <c r="C9" s="511" t="s">
        <v>290</v>
      </c>
      <c r="D9" s="46"/>
      <c r="E9" s="46"/>
      <c r="F9" s="46"/>
      <c r="G9" s="46"/>
      <c r="H9" s="46"/>
      <c r="I9" s="46"/>
      <c r="J9" s="46"/>
      <c r="K9" s="46"/>
      <c r="L9" s="46"/>
      <c r="M9" s="46"/>
      <c r="N9" s="46"/>
      <c r="O9" s="46"/>
      <c r="P9" s="46"/>
      <c r="Q9" s="46"/>
      <c r="R9" s="46"/>
      <c r="S9" s="46"/>
      <c r="T9" s="46"/>
      <c r="U9" s="46"/>
      <c r="V9" s="46"/>
      <c r="W9" s="46"/>
      <c r="X9" s="46"/>
      <c r="Y9" s="46"/>
      <c r="Z9" s="46"/>
    </row>
    <row r="10" spans="1:26" x14ac:dyDescent="0.25">
      <c r="A10" s="46"/>
      <c r="B10" s="48" t="s">
        <v>291</v>
      </c>
      <c r="C10" s="511" t="s">
        <v>292</v>
      </c>
      <c r="D10" s="46"/>
      <c r="E10" s="46"/>
      <c r="F10" s="46"/>
      <c r="G10" s="46"/>
      <c r="H10" s="46"/>
      <c r="I10" s="46"/>
      <c r="J10" s="46"/>
      <c r="K10" s="46"/>
      <c r="L10" s="46"/>
      <c r="M10" s="46"/>
      <c r="N10" s="46"/>
      <c r="O10" s="46"/>
      <c r="P10" s="46"/>
      <c r="Q10" s="46"/>
      <c r="R10" s="46"/>
      <c r="S10" s="46"/>
      <c r="T10" s="46"/>
      <c r="U10" s="46"/>
      <c r="V10" s="46"/>
      <c r="W10" s="46"/>
      <c r="X10" s="46"/>
      <c r="Y10" s="46"/>
      <c r="Z10" s="46"/>
    </row>
    <row r="11" spans="1:26" x14ac:dyDescent="0.25">
      <c r="A11" s="46"/>
      <c r="B11" s="48" t="s">
        <v>293</v>
      </c>
      <c r="C11" s="511" t="s">
        <v>294</v>
      </c>
      <c r="D11" s="46"/>
      <c r="E11" s="46"/>
      <c r="F11" s="46"/>
      <c r="G11" s="46"/>
      <c r="H11" s="46"/>
      <c r="I11" s="46"/>
      <c r="J11" s="46"/>
      <c r="K11" s="46"/>
      <c r="L11" s="46"/>
      <c r="M11" s="46"/>
      <c r="N11" s="46"/>
      <c r="O11" s="46"/>
      <c r="P11" s="46"/>
      <c r="Q11" s="46"/>
      <c r="R11" s="46"/>
      <c r="S11" s="46"/>
      <c r="T11" s="46"/>
      <c r="U11" s="46"/>
      <c r="V11" s="46"/>
      <c r="W11" s="46"/>
      <c r="X11" s="46"/>
      <c r="Y11" s="46"/>
      <c r="Z11" s="46"/>
    </row>
    <row r="12" spans="1:26" x14ac:dyDescent="0.25">
      <c r="A12" s="46"/>
      <c r="B12" s="48" t="s">
        <v>295</v>
      </c>
      <c r="C12" s="511" t="s">
        <v>296</v>
      </c>
      <c r="D12" s="46"/>
      <c r="E12" s="46"/>
      <c r="F12" s="46"/>
      <c r="G12" s="46"/>
      <c r="H12" s="46"/>
      <c r="I12" s="46"/>
      <c r="J12" s="46"/>
      <c r="K12" s="46"/>
      <c r="L12" s="46"/>
      <c r="M12" s="46"/>
      <c r="N12" s="46"/>
      <c r="O12" s="46"/>
      <c r="P12" s="46"/>
      <c r="Q12" s="46"/>
      <c r="R12" s="46"/>
      <c r="S12" s="46"/>
      <c r="T12" s="46"/>
      <c r="U12" s="46"/>
      <c r="V12" s="46"/>
      <c r="W12" s="46"/>
      <c r="X12" s="46"/>
      <c r="Y12" s="46"/>
      <c r="Z12" s="46"/>
    </row>
    <row r="13" spans="1:26" x14ac:dyDescent="0.25">
      <c r="A13" s="46"/>
      <c r="B13" s="512" t="s">
        <v>297</v>
      </c>
      <c r="C13" s="513" t="s">
        <v>298</v>
      </c>
      <c r="D13" s="46"/>
      <c r="E13" s="46"/>
      <c r="F13" s="46"/>
      <c r="G13" s="46"/>
      <c r="H13" s="46"/>
      <c r="I13" s="46"/>
      <c r="J13" s="46"/>
      <c r="K13" s="46"/>
      <c r="L13" s="46"/>
      <c r="M13" s="46"/>
      <c r="N13" s="46"/>
      <c r="O13" s="46"/>
      <c r="P13" s="46"/>
      <c r="Q13" s="46"/>
      <c r="R13" s="46"/>
      <c r="S13" s="46"/>
      <c r="T13" s="46"/>
      <c r="U13" s="46"/>
      <c r="V13" s="46"/>
      <c r="W13" s="46"/>
      <c r="X13" s="46"/>
      <c r="Y13" s="46"/>
      <c r="Z13" s="46"/>
    </row>
    <row r="14" spans="1:26" x14ac:dyDescent="0.25">
      <c r="A14" s="46"/>
      <c r="B14" s="514" t="s">
        <v>612</v>
      </c>
      <c r="C14" s="515" t="s">
        <v>613</v>
      </c>
      <c r="D14" s="46"/>
      <c r="E14" s="46"/>
      <c r="F14" s="46"/>
      <c r="G14" s="46"/>
      <c r="H14" s="46"/>
      <c r="I14" s="46"/>
      <c r="J14" s="46"/>
      <c r="K14" s="46"/>
      <c r="L14" s="46"/>
      <c r="M14" s="46"/>
      <c r="N14" s="46"/>
      <c r="O14" s="46"/>
      <c r="P14" s="46"/>
      <c r="Q14" s="46"/>
      <c r="R14" s="46"/>
      <c r="S14" s="46"/>
      <c r="T14" s="46"/>
      <c r="U14" s="46"/>
      <c r="V14" s="46"/>
      <c r="W14" s="46"/>
      <c r="X14" s="46"/>
      <c r="Y14" s="46"/>
      <c r="Z14" s="46"/>
    </row>
    <row r="15" spans="1:26" x14ac:dyDescent="0.25">
      <c r="A15" s="46"/>
      <c r="B15" s="514" t="s">
        <v>614</v>
      </c>
      <c r="C15" s="515" t="s">
        <v>615</v>
      </c>
      <c r="D15" s="46"/>
      <c r="E15" s="46"/>
      <c r="F15" s="46"/>
      <c r="G15" s="46"/>
      <c r="H15" s="46"/>
      <c r="I15" s="46"/>
      <c r="J15" s="46"/>
      <c r="K15" s="46"/>
      <c r="L15" s="46"/>
      <c r="M15" s="46"/>
      <c r="N15" s="46"/>
      <c r="O15" s="46"/>
      <c r="P15" s="46"/>
      <c r="Q15" s="46"/>
      <c r="R15" s="46"/>
      <c r="S15" s="46"/>
      <c r="T15" s="46"/>
      <c r="U15" s="46"/>
      <c r="V15" s="46"/>
      <c r="W15" s="46"/>
      <c r="X15" s="46"/>
      <c r="Y15" s="46"/>
      <c r="Z15" s="46"/>
    </row>
    <row r="16" spans="1:26" x14ac:dyDescent="0.25">
      <c r="A16" s="46"/>
      <c r="B16" s="514" t="s">
        <v>616</v>
      </c>
      <c r="C16" s="515" t="s">
        <v>617</v>
      </c>
      <c r="D16" s="46"/>
      <c r="E16" s="46"/>
      <c r="F16" s="46"/>
      <c r="G16" s="46"/>
      <c r="H16" s="46"/>
      <c r="I16" s="46"/>
      <c r="J16" s="46"/>
      <c r="K16" s="46"/>
      <c r="L16" s="46"/>
      <c r="M16" s="46"/>
      <c r="N16" s="46"/>
      <c r="O16" s="46"/>
      <c r="P16" s="46"/>
      <c r="Q16" s="46"/>
      <c r="R16" s="46"/>
      <c r="S16" s="46"/>
      <c r="T16" s="46"/>
      <c r="U16" s="46"/>
      <c r="V16" s="46"/>
      <c r="W16" s="46"/>
      <c r="X16" s="46"/>
      <c r="Y16" s="46"/>
      <c r="Z16" s="46"/>
    </row>
    <row r="17" spans="1:26" x14ac:dyDescent="0.25">
      <c r="A17" s="46"/>
      <c r="B17" s="514" t="s">
        <v>657</v>
      </c>
      <c r="C17" s="515" t="s">
        <v>618</v>
      </c>
      <c r="D17" s="46"/>
      <c r="E17" s="46"/>
      <c r="F17" s="46"/>
      <c r="G17" s="46"/>
      <c r="H17" s="46"/>
      <c r="I17" s="46"/>
      <c r="J17" s="46"/>
      <c r="K17" s="46"/>
      <c r="L17" s="46"/>
      <c r="M17" s="46"/>
      <c r="N17" s="46"/>
      <c r="O17" s="46"/>
      <c r="P17" s="46"/>
      <c r="Q17" s="46"/>
      <c r="R17" s="46"/>
      <c r="S17" s="46"/>
      <c r="T17" s="46"/>
      <c r="U17" s="46"/>
      <c r="V17" s="46"/>
      <c r="W17" s="46"/>
      <c r="X17" s="46"/>
      <c r="Y17" s="46"/>
      <c r="Z17" s="46"/>
    </row>
    <row r="18" spans="1:26" x14ac:dyDescent="0.25">
      <c r="A18" s="46"/>
      <c r="B18" s="514" t="s">
        <v>619</v>
      </c>
      <c r="C18" s="515" t="s">
        <v>620</v>
      </c>
      <c r="D18" s="46"/>
      <c r="E18" s="46"/>
      <c r="F18" s="46"/>
      <c r="G18" s="46"/>
      <c r="H18" s="46"/>
      <c r="I18" s="46"/>
      <c r="J18" s="46"/>
      <c r="K18" s="46"/>
      <c r="L18" s="46"/>
      <c r="M18" s="46"/>
      <c r="N18" s="46"/>
      <c r="O18" s="46"/>
      <c r="P18" s="46"/>
      <c r="Q18" s="46"/>
      <c r="R18" s="46"/>
      <c r="S18" s="46"/>
      <c r="T18" s="46"/>
      <c r="U18" s="46"/>
      <c r="V18" s="46"/>
      <c r="W18" s="46"/>
      <c r="X18" s="46"/>
      <c r="Y18" s="46"/>
      <c r="Z18" s="46"/>
    </row>
    <row r="19" spans="1:26" x14ac:dyDescent="0.25">
      <c r="A19" s="46"/>
      <c r="B19" s="514" t="s">
        <v>784</v>
      </c>
      <c r="C19" s="515" t="s">
        <v>785</v>
      </c>
      <c r="D19" s="46"/>
      <c r="E19" s="46"/>
      <c r="F19" s="46"/>
      <c r="G19" s="46"/>
      <c r="H19" s="46"/>
      <c r="I19" s="46"/>
      <c r="J19" s="46"/>
      <c r="K19" s="46"/>
      <c r="L19" s="46"/>
      <c r="M19" s="46"/>
      <c r="N19" s="46"/>
      <c r="O19" s="46"/>
      <c r="P19" s="46"/>
      <c r="Q19" s="46"/>
      <c r="R19" s="46"/>
      <c r="S19" s="46"/>
      <c r="T19" s="46"/>
      <c r="U19" s="46"/>
      <c r="V19" s="46"/>
      <c r="W19" s="46"/>
      <c r="X19" s="46"/>
      <c r="Y19" s="46"/>
      <c r="Z19" s="46"/>
    </row>
    <row r="20" spans="1:26" x14ac:dyDescent="0.25">
      <c r="A20" s="46"/>
      <c r="B20" s="516" t="s">
        <v>786</v>
      </c>
      <c r="C20" s="517" t="s">
        <v>787</v>
      </c>
      <c r="D20" s="46"/>
      <c r="E20" s="46"/>
      <c r="F20" s="46"/>
      <c r="G20" s="46"/>
      <c r="H20" s="46"/>
      <c r="I20" s="46"/>
      <c r="J20" s="46"/>
      <c r="K20" s="46"/>
      <c r="L20" s="46"/>
      <c r="M20" s="46"/>
      <c r="N20" s="46"/>
      <c r="O20" s="46"/>
      <c r="P20" s="46"/>
      <c r="Q20" s="46"/>
      <c r="R20" s="46"/>
      <c r="S20" s="46"/>
      <c r="T20" s="46"/>
      <c r="U20" s="46"/>
      <c r="V20" s="46"/>
      <c r="W20" s="46"/>
      <c r="X20" s="46"/>
      <c r="Y20" s="46"/>
      <c r="Z20" s="46"/>
    </row>
    <row r="21" spans="1:26" x14ac:dyDescent="0.25">
      <c r="A21" s="46"/>
      <c r="B21" s="46"/>
      <c r="C21" s="46"/>
      <c r="D21" s="46"/>
      <c r="E21" s="46"/>
      <c r="F21" s="46"/>
      <c r="G21" s="46"/>
      <c r="H21" s="46"/>
      <c r="I21" s="46"/>
      <c r="J21" s="46"/>
      <c r="K21" s="46"/>
      <c r="L21" s="46"/>
      <c r="M21" s="46"/>
      <c r="N21" s="46"/>
      <c r="O21" s="46"/>
      <c r="P21" s="46"/>
      <c r="Q21" s="46"/>
      <c r="R21" s="46"/>
      <c r="S21" s="46"/>
      <c r="T21" s="46"/>
      <c r="U21" s="46"/>
      <c r="V21" s="46"/>
      <c r="W21" s="46"/>
      <c r="X21" s="46"/>
      <c r="Y21" s="46"/>
      <c r="Z21" s="46"/>
    </row>
    <row r="22" spans="1:26" x14ac:dyDescent="0.25">
      <c r="A22" s="46"/>
      <c r="B22" s="46"/>
      <c r="C22" s="46"/>
      <c r="D22" s="46"/>
      <c r="E22" s="46"/>
      <c r="F22" s="46"/>
      <c r="G22" s="46"/>
      <c r="H22" s="46"/>
      <c r="I22" s="46"/>
      <c r="J22" s="46"/>
      <c r="K22" s="46"/>
      <c r="L22" s="46"/>
      <c r="M22" s="46"/>
      <c r="N22" s="46"/>
      <c r="O22" s="46"/>
      <c r="P22" s="46"/>
      <c r="Q22" s="46"/>
      <c r="R22" s="46"/>
      <c r="S22" s="46"/>
      <c r="T22" s="46"/>
      <c r="U22" s="46"/>
      <c r="V22" s="46"/>
      <c r="W22" s="46"/>
      <c r="X22" s="46"/>
      <c r="Y22" s="46"/>
      <c r="Z22" s="46"/>
    </row>
    <row r="23" spans="1:26" x14ac:dyDescent="0.25">
      <c r="A23" s="46"/>
      <c r="B23" s="46"/>
      <c r="C23" s="46"/>
      <c r="D23" s="46"/>
      <c r="E23" s="46"/>
      <c r="F23" s="46"/>
      <c r="G23" s="46"/>
      <c r="H23" s="46"/>
      <c r="I23" s="46"/>
      <c r="J23" s="46"/>
      <c r="K23" s="46"/>
      <c r="L23" s="46"/>
      <c r="M23" s="46"/>
      <c r="N23" s="46"/>
      <c r="O23" s="46"/>
      <c r="P23" s="46"/>
      <c r="Q23" s="46"/>
      <c r="R23" s="46"/>
      <c r="S23" s="46"/>
      <c r="T23" s="46"/>
      <c r="U23" s="46"/>
      <c r="V23" s="46"/>
      <c r="W23" s="46"/>
      <c r="X23" s="46"/>
      <c r="Y23" s="46"/>
      <c r="Z23" s="46"/>
    </row>
    <row r="24" spans="1:26" x14ac:dyDescent="0.25">
      <c r="A24" s="46"/>
      <c r="B24" s="46"/>
      <c r="C24" s="46"/>
      <c r="D24" s="46"/>
      <c r="E24" s="46"/>
      <c r="F24" s="46"/>
      <c r="G24" s="46"/>
      <c r="H24" s="46"/>
      <c r="I24" s="46"/>
      <c r="J24" s="46"/>
      <c r="K24" s="46"/>
      <c r="L24" s="46"/>
      <c r="M24" s="46"/>
      <c r="N24" s="46"/>
      <c r="O24" s="46"/>
      <c r="P24" s="46"/>
      <c r="Q24" s="46"/>
      <c r="R24" s="46"/>
      <c r="S24" s="46"/>
      <c r="T24" s="46"/>
      <c r="U24" s="46"/>
      <c r="V24" s="46"/>
      <c r="W24" s="46"/>
      <c r="X24" s="46"/>
      <c r="Y24" s="46"/>
      <c r="Z24" s="46"/>
    </row>
    <row r="25" spans="1:26" x14ac:dyDescent="0.25">
      <c r="A25" s="46"/>
      <c r="B25" s="46"/>
      <c r="C25" s="46"/>
      <c r="D25" s="46"/>
      <c r="E25" s="46"/>
      <c r="F25" s="46"/>
      <c r="G25" s="46"/>
      <c r="H25" s="46"/>
      <c r="I25" s="46"/>
      <c r="J25" s="46"/>
      <c r="K25" s="46"/>
      <c r="L25" s="46"/>
      <c r="M25" s="46"/>
      <c r="N25" s="46"/>
      <c r="O25" s="46"/>
      <c r="P25" s="46"/>
      <c r="Q25" s="46"/>
      <c r="R25" s="46"/>
      <c r="S25" s="46"/>
      <c r="T25" s="46"/>
      <c r="U25" s="46"/>
      <c r="V25" s="46"/>
      <c r="W25" s="46"/>
      <c r="X25" s="46"/>
      <c r="Y25" s="46"/>
      <c r="Z25" s="46"/>
    </row>
    <row r="26" spans="1:26" x14ac:dyDescent="0.25">
      <c r="A26" s="46"/>
      <c r="B26" s="46"/>
      <c r="C26" s="46"/>
      <c r="D26" s="46"/>
      <c r="E26" s="46"/>
      <c r="F26" s="46"/>
      <c r="G26" s="46"/>
      <c r="H26" s="46"/>
      <c r="I26" s="46"/>
      <c r="J26" s="46"/>
      <c r="K26" s="46"/>
      <c r="L26" s="46"/>
      <c r="M26" s="46"/>
      <c r="N26" s="46"/>
      <c r="O26" s="46"/>
      <c r="P26" s="46"/>
      <c r="Q26" s="46"/>
      <c r="R26" s="46"/>
      <c r="S26" s="46"/>
      <c r="T26" s="46"/>
      <c r="U26" s="46"/>
      <c r="V26" s="46"/>
      <c r="W26" s="46"/>
      <c r="X26" s="46"/>
      <c r="Y26" s="46"/>
      <c r="Z26" s="46"/>
    </row>
    <row r="27" spans="1:26" x14ac:dyDescent="0.25">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row>
    <row r="28" spans="1:26" x14ac:dyDescent="0.25">
      <c r="A28" s="46"/>
      <c r="B28" s="46"/>
      <c r="C28" s="46"/>
      <c r="D28" s="46"/>
      <c r="E28" s="46"/>
      <c r="F28" s="46"/>
      <c r="G28" s="46"/>
      <c r="H28" s="46"/>
      <c r="I28" s="46"/>
      <c r="J28" s="46"/>
      <c r="K28" s="46"/>
      <c r="L28" s="46"/>
      <c r="M28" s="46"/>
      <c r="N28" s="46"/>
      <c r="O28" s="46"/>
      <c r="P28" s="46"/>
      <c r="Q28" s="46"/>
      <c r="R28" s="46"/>
      <c r="S28" s="46"/>
      <c r="T28" s="46"/>
      <c r="U28" s="46"/>
      <c r="V28" s="46"/>
      <c r="W28" s="46"/>
      <c r="X28" s="46"/>
      <c r="Y28" s="46"/>
      <c r="Z28" s="46"/>
    </row>
    <row r="29" spans="1:26" x14ac:dyDescent="0.25">
      <c r="A29" s="46"/>
      <c r="B29" s="46"/>
      <c r="C29" s="46"/>
      <c r="D29" s="46"/>
      <c r="E29" s="46"/>
      <c r="F29" s="46"/>
      <c r="G29" s="46"/>
      <c r="H29" s="46"/>
      <c r="I29" s="46"/>
      <c r="J29" s="46"/>
      <c r="K29" s="46"/>
      <c r="L29" s="46"/>
      <c r="M29" s="46"/>
      <c r="N29" s="46"/>
      <c r="O29" s="46"/>
      <c r="P29" s="46"/>
      <c r="Q29" s="46"/>
      <c r="R29" s="46"/>
      <c r="S29" s="46"/>
      <c r="T29" s="46"/>
      <c r="U29" s="46"/>
      <c r="V29" s="46"/>
      <c r="W29" s="46"/>
      <c r="X29" s="46"/>
      <c r="Y29" s="46"/>
      <c r="Z29" s="46"/>
    </row>
    <row r="30" spans="1:26" x14ac:dyDescent="0.25">
      <c r="A30" s="46"/>
      <c r="B30" s="46"/>
      <c r="C30" s="46"/>
      <c r="D30" s="46"/>
      <c r="E30" s="46"/>
      <c r="F30" s="46"/>
      <c r="G30" s="46"/>
      <c r="H30" s="46"/>
      <c r="I30" s="46"/>
      <c r="J30" s="46"/>
      <c r="K30" s="46"/>
      <c r="L30" s="46"/>
      <c r="M30" s="46"/>
      <c r="N30" s="46"/>
      <c r="O30" s="46"/>
      <c r="P30" s="46"/>
      <c r="Q30" s="46"/>
      <c r="R30" s="46"/>
      <c r="S30" s="46"/>
      <c r="T30" s="46"/>
      <c r="U30" s="46"/>
      <c r="V30" s="46"/>
      <c r="W30" s="46"/>
      <c r="X30" s="46"/>
      <c r="Y30" s="46"/>
      <c r="Z30" s="46"/>
    </row>
    <row r="31" spans="1:26" x14ac:dyDescent="0.25">
      <c r="A31" s="46"/>
      <c r="B31" s="46"/>
      <c r="C31" s="46"/>
      <c r="D31" s="46"/>
      <c r="E31" s="46"/>
      <c r="F31" s="46"/>
      <c r="G31" s="46"/>
      <c r="H31" s="46"/>
      <c r="I31" s="46"/>
      <c r="J31" s="46"/>
      <c r="K31" s="46"/>
      <c r="L31" s="46"/>
      <c r="M31" s="46"/>
      <c r="N31" s="46"/>
      <c r="O31" s="46"/>
      <c r="P31" s="46"/>
      <c r="Q31" s="46"/>
      <c r="R31" s="46"/>
      <c r="S31" s="46"/>
      <c r="T31" s="46"/>
      <c r="U31" s="46"/>
      <c r="V31" s="46"/>
      <c r="W31" s="46"/>
      <c r="X31" s="46"/>
      <c r="Y31" s="46"/>
      <c r="Z31" s="46"/>
    </row>
    <row r="32" spans="1:26" x14ac:dyDescent="0.25">
      <c r="A32" s="46"/>
      <c r="B32" s="46"/>
      <c r="C32" s="46"/>
      <c r="D32" s="46"/>
      <c r="E32" s="46"/>
      <c r="F32" s="46"/>
      <c r="G32" s="46"/>
      <c r="H32" s="46"/>
      <c r="I32" s="46"/>
      <c r="J32" s="46"/>
      <c r="K32" s="46"/>
      <c r="L32" s="46"/>
      <c r="M32" s="46"/>
      <c r="N32" s="46"/>
      <c r="O32" s="46"/>
      <c r="P32" s="46"/>
      <c r="Q32" s="46"/>
      <c r="R32" s="46"/>
      <c r="S32" s="46"/>
      <c r="T32" s="46"/>
      <c r="U32" s="46"/>
      <c r="V32" s="46"/>
      <c r="W32" s="46"/>
      <c r="X32" s="46"/>
      <c r="Y32" s="46"/>
      <c r="Z32" s="46"/>
    </row>
    <row r="33" spans="1:26" x14ac:dyDescent="0.25">
      <c r="A33" s="46"/>
      <c r="B33" s="46"/>
      <c r="C33" s="46"/>
      <c r="D33" s="46"/>
      <c r="E33" s="46"/>
      <c r="F33" s="46"/>
      <c r="G33" s="46"/>
      <c r="H33" s="46"/>
      <c r="I33" s="46"/>
      <c r="J33" s="46"/>
      <c r="K33" s="46"/>
      <c r="L33" s="46"/>
      <c r="M33" s="46"/>
      <c r="N33" s="46"/>
      <c r="O33" s="46"/>
      <c r="P33" s="46"/>
      <c r="Q33" s="46"/>
      <c r="R33" s="46"/>
      <c r="S33" s="46"/>
      <c r="T33" s="46"/>
      <c r="U33" s="46"/>
      <c r="V33" s="46"/>
      <c r="W33" s="46"/>
      <c r="X33" s="46"/>
      <c r="Y33" s="46"/>
      <c r="Z33" s="46"/>
    </row>
    <row r="34" spans="1:26" x14ac:dyDescent="0.25">
      <c r="A34" s="46"/>
      <c r="B34" s="46"/>
      <c r="C34" s="46"/>
      <c r="D34" s="46"/>
      <c r="E34" s="46"/>
      <c r="F34" s="46"/>
      <c r="G34" s="46"/>
      <c r="H34" s="46"/>
      <c r="I34" s="46"/>
      <c r="J34" s="46"/>
      <c r="K34" s="46"/>
      <c r="L34" s="46"/>
      <c r="M34" s="46"/>
      <c r="N34" s="46"/>
      <c r="O34" s="46"/>
      <c r="P34" s="46"/>
      <c r="Q34" s="46"/>
      <c r="R34" s="46"/>
      <c r="S34" s="46"/>
      <c r="T34" s="46"/>
      <c r="U34" s="46"/>
      <c r="V34" s="46"/>
      <c r="W34" s="46"/>
      <c r="X34" s="46"/>
      <c r="Y34" s="46"/>
      <c r="Z34" s="46"/>
    </row>
    <row r="35" spans="1:26" x14ac:dyDescent="0.25">
      <c r="A35" s="46"/>
      <c r="B35" s="46"/>
      <c r="C35" s="46"/>
      <c r="D35" s="46"/>
      <c r="E35" s="46"/>
      <c r="F35" s="46"/>
      <c r="G35" s="46"/>
      <c r="H35" s="46"/>
      <c r="I35" s="46"/>
      <c r="J35" s="46"/>
      <c r="K35" s="46"/>
      <c r="L35" s="46"/>
      <c r="M35" s="46"/>
      <c r="N35" s="46"/>
      <c r="O35" s="46"/>
      <c r="P35" s="46"/>
      <c r="Q35" s="46"/>
      <c r="R35" s="46"/>
      <c r="S35" s="46"/>
      <c r="T35" s="46"/>
      <c r="U35" s="46"/>
      <c r="V35" s="46"/>
      <c r="W35" s="46"/>
      <c r="X35" s="46"/>
      <c r="Y35" s="46"/>
      <c r="Z35" s="46"/>
    </row>
    <row r="36" spans="1:26" x14ac:dyDescent="0.25">
      <c r="A36" s="46"/>
      <c r="B36" s="46"/>
      <c r="C36" s="46"/>
      <c r="D36" s="46"/>
      <c r="E36" s="46"/>
      <c r="F36" s="46"/>
      <c r="G36" s="46"/>
      <c r="H36" s="46"/>
      <c r="I36" s="46"/>
      <c r="J36" s="46"/>
      <c r="K36" s="46"/>
      <c r="L36" s="46"/>
      <c r="M36" s="46"/>
      <c r="N36" s="46"/>
      <c r="O36" s="46"/>
      <c r="P36" s="46"/>
      <c r="Q36" s="46"/>
      <c r="R36" s="46"/>
      <c r="S36" s="46"/>
      <c r="T36" s="46"/>
      <c r="U36" s="46"/>
      <c r="V36" s="46"/>
      <c r="W36" s="46"/>
      <c r="X36" s="46"/>
      <c r="Y36" s="46"/>
      <c r="Z36" s="46"/>
    </row>
    <row r="37" spans="1:26" x14ac:dyDescent="0.25">
      <c r="A37" s="46"/>
      <c r="B37" s="46"/>
      <c r="C37" s="46"/>
      <c r="D37" s="46"/>
      <c r="E37" s="46"/>
      <c r="F37" s="46"/>
      <c r="G37" s="46"/>
      <c r="H37" s="46"/>
      <c r="I37" s="46"/>
      <c r="J37" s="46"/>
      <c r="K37" s="46"/>
      <c r="L37" s="46"/>
      <c r="M37" s="46"/>
      <c r="N37" s="46"/>
      <c r="O37" s="46"/>
      <c r="P37" s="46"/>
      <c r="Q37" s="46"/>
      <c r="R37" s="46"/>
      <c r="S37" s="46"/>
      <c r="T37" s="46"/>
      <c r="U37" s="46"/>
      <c r="V37" s="46"/>
      <c r="W37" s="46"/>
      <c r="X37" s="46"/>
      <c r="Y37" s="46"/>
      <c r="Z37" s="46"/>
    </row>
    <row r="38" spans="1:26" x14ac:dyDescent="0.25">
      <c r="A38" s="46"/>
      <c r="B38" s="46"/>
      <c r="C38" s="46"/>
      <c r="D38" s="46"/>
      <c r="E38" s="46"/>
      <c r="F38" s="46"/>
      <c r="G38" s="46"/>
      <c r="H38" s="46"/>
      <c r="I38" s="46"/>
      <c r="J38" s="46"/>
      <c r="K38" s="46"/>
      <c r="L38" s="46"/>
      <c r="M38" s="46"/>
      <c r="N38" s="46"/>
      <c r="O38" s="46"/>
      <c r="P38" s="46"/>
      <c r="Q38" s="46"/>
      <c r="R38" s="46"/>
      <c r="S38" s="46"/>
      <c r="T38" s="46"/>
      <c r="U38" s="46"/>
      <c r="V38" s="46"/>
      <c r="W38" s="46"/>
      <c r="X38" s="46"/>
      <c r="Y38" s="46"/>
      <c r="Z38" s="46"/>
    </row>
    <row r="39" spans="1:26" x14ac:dyDescent="0.25">
      <c r="A39" s="46"/>
      <c r="B39" s="46"/>
      <c r="C39" s="46"/>
      <c r="D39" s="46"/>
      <c r="E39" s="46"/>
      <c r="F39" s="46"/>
      <c r="G39" s="46"/>
      <c r="H39" s="46"/>
      <c r="I39" s="46"/>
      <c r="J39" s="46"/>
      <c r="K39" s="46"/>
      <c r="L39" s="46"/>
      <c r="M39" s="46"/>
      <c r="N39" s="46"/>
      <c r="O39" s="46"/>
      <c r="P39" s="46"/>
      <c r="Q39" s="46"/>
      <c r="R39" s="46"/>
      <c r="S39" s="46"/>
      <c r="T39" s="46"/>
      <c r="U39" s="46"/>
      <c r="V39" s="46"/>
      <c r="W39" s="46"/>
      <c r="X39" s="46"/>
      <c r="Y39" s="46"/>
      <c r="Z39" s="46"/>
    </row>
    <row r="40" spans="1:26" x14ac:dyDescent="0.25">
      <c r="A40" s="46"/>
      <c r="B40" s="46"/>
      <c r="C40" s="46"/>
      <c r="D40" s="46"/>
      <c r="E40" s="46"/>
      <c r="F40" s="46"/>
      <c r="G40" s="46"/>
      <c r="H40" s="46"/>
      <c r="I40" s="46"/>
      <c r="J40" s="46"/>
      <c r="K40" s="46"/>
      <c r="L40" s="46"/>
      <c r="M40" s="46"/>
      <c r="N40" s="46"/>
      <c r="O40" s="46"/>
      <c r="P40" s="46"/>
      <c r="Q40" s="46"/>
      <c r="R40" s="46"/>
      <c r="S40" s="46"/>
      <c r="T40" s="46"/>
      <c r="U40" s="46"/>
      <c r="V40" s="46"/>
      <c r="W40" s="46"/>
      <c r="X40" s="46"/>
      <c r="Y40" s="46"/>
      <c r="Z40" s="46"/>
    </row>
    <row r="41" spans="1:26" x14ac:dyDescent="0.25">
      <c r="A41" s="46"/>
      <c r="B41" s="46"/>
      <c r="C41" s="46"/>
      <c r="D41" s="46"/>
      <c r="E41" s="46"/>
      <c r="F41" s="46"/>
      <c r="G41" s="46"/>
      <c r="H41" s="46"/>
      <c r="I41" s="46"/>
      <c r="J41" s="46"/>
      <c r="K41" s="46"/>
      <c r="L41" s="46"/>
      <c r="M41" s="46"/>
      <c r="N41" s="46"/>
      <c r="O41" s="46"/>
      <c r="P41" s="46"/>
      <c r="Q41" s="46"/>
      <c r="R41" s="46"/>
      <c r="S41" s="46"/>
      <c r="T41" s="46"/>
      <c r="U41" s="46"/>
      <c r="V41" s="46"/>
      <c r="W41" s="46"/>
      <c r="X41" s="46"/>
      <c r="Y41" s="46"/>
      <c r="Z41" s="46"/>
    </row>
    <row r="42" spans="1:26" x14ac:dyDescent="0.25">
      <c r="A42" s="46"/>
      <c r="B42" s="46"/>
      <c r="C42" s="46"/>
      <c r="D42" s="46"/>
      <c r="E42" s="46"/>
      <c r="F42" s="46"/>
      <c r="G42" s="46"/>
      <c r="H42" s="46"/>
      <c r="I42" s="46"/>
      <c r="J42" s="46"/>
      <c r="K42" s="46"/>
      <c r="L42" s="46"/>
      <c r="M42" s="46"/>
      <c r="N42" s="46"/>
      <c r="O42" s="46"/>
      <c r="P42" s="46"/>
      <c r="Q42" s="46"/>
      <c r="R42" s="46"/>
      <c r="S42" s="46"/>
      <c r="T42" s="46"/>
      <c r="U42" s="46"/>
      <c r="V42" s="46"/>
      <c r="W42" s="46"/>
      <c r="X42" s="46"/>
      <c r="Y42" s="46"/>
      <c r="Z42" s="46"/>
    </row>
    <row r="43" spans="1:26" x14ac:dyDescent="0.25">
      <c r="A43" s="46"/>
      <c r="B43" s="46"/>
      <c r="C43" s="46"/>
      <c r="D43" s="46"/>
      <c r="E43" s="46"/>
      <c r="F43" s="46"/>
      <c r="G43" s="46"/>
      <c r="H43" s="46"/>
      <c r="I43" s="46"/>
      <c r="J43" s="46"/>
      <c r="K43" s="46"/>
      <c r="L43" s="46"/>
      <c r="M43" s="46"/>
      <c r="N43" s="46"/>
      <c r="O43" s="46"/>
      <c r="P43" s="46"/>
      <c r="Q43" s="46"/>
      <c r="R43" s="46"/>
      <c r="S43" s="46"/>
      <c r="T43" s="46"/>
      <c r="U43" s="46"/>
      <c r="V43" s="46"/>
      <c r="W43" s="46"/>
      <c r="X43" s="46"/>
      <c r="Y43" s="46"/>
      <c r="Z43" s="46"/>
    </row>
    <row r="44" spans="1:26" x14ac:dyDescent="0.25">
      <c r="A44" s="46"/>
      <c r="B44" s="46"/>
      <c r="C44" s="46"/>
      <c r="D44" s="46"/>
      <c r="E44" s="46"/>
      <c r="F44" s="46"/>
      <c r="G44" s="46"/>
      <c r="H44" s="46"/>
      <c r="I44" s="46"/>
      <c r="J44" s="46"/>
      <c r="K44" s="46"/>
      <c r="L44" s="46"/>
      <c r="M44" s="46"/>
      <c r="N44" s="46"/>
      <c r="O44" s="46"/>
      <c r="P44" s="46"/>
      <c r="Q44" s="46"/>
      <c r="R44" s="46"/>
      <c r="S44" s="46"/>
      <c r="T44" s="46"/>
      <c r="U44" s="46"/>
      <c r="V44" s="46"/>
      <c r="W44" s="46"/>
      <c r="X44" s="46"/>
      <c r="Y44" s="46"/>
      <c r="Z44" s="46"/>
    </row>
    <row r="45" spans="1:26" x14ac:dyDescent="0.25">
      <c r="A45" s="46"/>
      <c r="B45" s="46"/>
      <c r="C45" s="46"/>
      <c r="D45" s="46"/>
      <c r="E45" s="46"/>
      <c r="F45" s="46"/>
      <c r="G45" s="46"/>
      <c r="H45" s="46"/>
      <c r="I45" s="46"/>
      <c r="J45" s="46"/>
      <c r="K45" s="46"/>
      <c r="L45" s="46"/>
      <c r="M45" s="46"/>
      <c r="N45" s="46"/>
      <c r="O45" s="46"/>
      <c r="P45" s="46"/>
      <c r="Q45" s="46"/>
      <c r="R45" s="46"/>
      <c r="S45" s="46"/>
      <c r="T45" s="46"/>
      <c r="U45" s="46"/>
      <c r="V45" s="46"/>
      <c r="W45" s="46"/>
      <c r="X45" s="46"/>
      <c r="Y45" s="46"/>
      <c r="Z45" s="46"/>
    </row>
    <row r="46" spans="1:26" x14ac:dyDescent="0.25">
      <c r="A46" s="46"/>
      <c r="B46" s="46"/>
      <c r="C46" s="46"/>
      <c r="D46" s="46"/>
      <c r="E46" s="46"/>
      <c r="F46" s="46"/>
      <c r="G46" s="46"/>
      <c r="H46" s="46"/>
      <c r="I46" s="46"/>
      <c r="J46" s="46"/>
      <c r="K46" s="46"/>
      <c r="L46" s="46"/>
      <c r="M46" s="46"/>
      <c r="N46" s="46"/>
      <c r="O46" s="46"/>
      <c r="P46" s="46"/>
      <c r="Q46" s="46"/>
      <c r="R46" s="46"/>
      <c r="S46" s="46"/>
      <c r="T46" s="46"/>
      <c r="U46" s="46"/>
      <c r="V46" s="46"/>
      <c r="W46" s="46"/>
      <c r="X46" s="46"/>
      <c r="Y46" s="46"/>
      <c r="Z46" s="46"/>
    </row>
    <row r="47" spans="1:26" x14ac:dyDescent="0.25">
      <c r="A47" s="46"/>
      <c r="B47" s="46"/>
      <c r="C47" s="46"/>
      <c r="D47" s="46"/>
      <c r="E47" s="46"/>
      <c r="F47" s="46"/>
      <c r="G47" s="46"/>
      <c r="H47" s="46"/>
      <c r="I47" s="46"/>
      <c r="J47" s="46"/>
      <c r="K47" s="46"/>
      <c r="L47" s="46"/>
      <c r="M47" s="46"/>
      <c r="N47" s="46"/>
      <c r="O47" s="46"/>
      <c r="P47" s="46"/>
      <c r="Q47" s="46"/>
      <c r="R47" s="46"/>
      <c r="S47" s="46"/>
      <c r="T47" s="46"/>
      <c r="U47" s="46"/>
      <c r="V47" s="46"/>
      <c r="W47" s="46"/>
      <c r="X47" s="46"/>
      <c r="Y47" s="46"/>
      <c r="Z47" s="46"/>
    </row>
    <row r="48" spans="1:26" x14ac:dyDescent="0.25">
      <c r="A48" s="46"/>
      <c r="B48" s="46"/>
      <c r="C48" s="46"/>
      <c r="D48" s="46"/>
      <c r="E48" s="46"/>
      <c r="F48" s="46"/>
      <c r="G48" s="46"/>
      <c r="H48" s="46"/>
      <c r="I48" s="46"/>
      <c r="J48" s="46"/>
      <c r="K48" s="46"/>
      <c r="L48" s="46"/>
      <c r="M48" s="46"/>
      <c r="N48" s="46"/>
      <c r="O48" s="46"/>
      <c r="P48" s="46"/>
      <c r="Q48" s="46"/>
      <c r="R48" s="46"/>
      <c r="S48" s="46"/>
      <c r="T48" s="46"/>
      <c r="U48" s="46"/>
      <c r="V48" s="46"/>
      <c r="W48" s="46"/>
      <c r="X48" s="46"/>
      <c r="Y48" s="46"/>
      <c r="Z48" s="46"/>
    </row>
    <row r="49" spans="1:26" x14ac:dyDescent="0.25">
      <c r="A49" s="46"/>
      <c r="B49" s="46"/>
      <c r="C49" s="46"/>
      <c r="D49" s="46"/>
      <c r="E49" s="46"/>
      <c r="F49" s="46"/>
      <c r="G49" s="46"/>
      <c r="H49" s="46"/>
      <c r="I49" s="46"/>
      <c r="J49" s="46"/>
      <c r="K49" s="46"/>
      <c r="L49" s="46"/>
      <c r="M49" s="46"/>
      <c r="N49" s="46"/>
      <c r="O49" s="46"/>
      <c r="P49" s="46"/>
      <c r="Q49" s="46"/>
      <c r="R49" s="46"/>
      <c r="S49" s="46"/>
      <c r="T49" s="46"/>
      <c r="U49" s="46"/>
      <c r="V49" s="46"/>
      <c r="W49" s="46"/>
      <c r="X49" s="46"/>
      <c r="Y49" s="46"/>
      <c r="Z49" s="46"/>
    </row>
    <row r="50" spans="1:26" x14ac:dyDescent="0.25">
      <c r="A50" s="46"/>
      <c r="B50" s="46"/>
      <c r="C50" s="46"/>
      <c r="D50" s="46"/>
      <c r="E50" s="46"/>
      <c r="F50" s="46"/>
      <c r="G50" s="46"/>
      <c r="H50" s="46"/>
      <c r="I50" s="46"/>
      <c r="J50" s="46"/>
      <c r="K50" s="46"/>
      <c r="L50" s="46"/>
      <c r="M50" s="46"/>
      <c r="N50" s="46"/>
      <c r="O50" s="46"/>
      <c r="P50" s="46"/>
      <c r="Q50" s="46"/>
      <c r="R50" s="46"/>
      <c r="S50" s="46"/>
      <c r="T50" s="46"/>
      <c r="U50" s="46"/>
      <c r="V50" s="46"/>
      <c r="W50" s="46"/>
      <c r="X50" s="46"/>
      <c r="Y50" s="46"/>
      <c r="Z50" s="46"/>
    </row>
    <row r="51" spans="1:26" x14ac:dyDescent="0.25">
      <c r="A51" s="46"/>
      <c r="B51" s="46"/>
      <c r="C51" s="46"/>
      <c r="D51" s="46"/>
      <c r="E51" s="46"/>
      <c r="F51" s="46"/>
      <c r="G51" s="46"/>
      <c r="H51" s="46"/>
      <c r="I51" s="46"/>
      <c r="J51" s="46"/>
      <c r="K51" s="46"/>
      <c r="L51" s="46"/>
      <c r="M51" s="46"/>
      <c r="N51" s="46"/>
      <c r="O51" s="46"/>
      <c r="P51" s="46"/>
      <c r="Q51" s="46"/>
      <c r="R51" s="46"/>
      <c r="S51" s="46"/>
      <c r="T51" s="46"/>
      <c r="U51" s="46"/>
      <c r="V51" s="46"/>
      <c r="W51" s="46"/>
      <c r="X51" s="46"/>
      <c r="Y51" s="46"/>
      <c r="Z51" s="46"/>
    </row>
    <row r="52" spans="1:26" x14ac:dyDescent="0.25">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row>
    <row r="53" spans="1:26" x14ac:dyDescent="0.25">
      <c r="A53" s="46"/>
      <c r="B53" s="46"/>
      <c r="C53" s="46"/>
      <c r="D53" s="46"/>
      <c r="E53" s="46"/>
      <c r="F53" s="46"/>
      <c r="G53" s="46"/>
      <c r="H53" s="46"/>
      <c r="I53" s="46"/>
      <c r="J53" s="46"/>
      <c r="K53" s="46"/>
      <c r="L53" s="46"/>
      <c r="M53" s="46"/>
      <c r="N53" s="46"/>
      <c r="O53" s="46"/>
      <c r="P53" s="46"/>
      <c r="Q53" s="46"/>
      <c r="R53" s="46"/>
      <c r="S53" s="46"/>
      <c r="T53" s="46"/>
      <c r="U53" s="46"/>
      <c r="V53" s="46"/>
      <c r="W53" s="46"/>
      <c r="X53" s="46"/>
      <c r="Y53" s="46"/>
      <c r="Z53" s="46"/>
    </row>
    <row r="54" spans="1:26" x14ac:dyDescent="0.25">
      <c r="A54" s="46"/>
      <c r="B54" s="46"/>
      <c r="C54" s="46"/>
      <c r="D54" s="46"/>
      <c r="E54" s="46"/>
      <c r="F54" s="46"/>
      <c r="G54" s="46"/>
      <c r="H54" s="46"/>
      <c r="I54" s="46"/>
      <c r="J54" s="46"/>
      <c r="K54" s="46"/>
      <c r="L54" s="46"/>
      <c r="M54" s="46"/>
      <c r="N54" s="46"/>
      <c r="O54" s="46"/>
      <c r="P54" s="46"/>
      <c r="Q54" s="46"/>
      <c r="R54" s="46"/>
      <c r="S54" s="46"/>
      <c r="T54" s="46"/>
      <c r="U54" s="46"/>
      <c r="V54" s="46"/>
      <c r="W54" s="46"/>
      <c r="X54" s="46"/>
      <c r="Y54" s="46"/>
      <c r="Z54" s="46"/>
    </row>
    <row r="55" spans="1:26" x14ac:dyDescent="0.25">
      <c r="A55" s="46"/>
      <c r="B55" s="46"/>
      <c r="C55" s="46"/>
      <c r="D55" s="46"/>
      <c r="E55" s="46"/>
      <c r="F55" s="46"/>
      <c r="G55" s="46"/>
      <c r="H55" s="46"/>
      <c r="I55" s="46"/>
      <c r="J55" s="46"/>
      <c r="K55" s="46"/>
      <c r="L55" s="46"/>
      <c r="M55" s="46"/>
      <c r="N55" s="46"/>
      <c r="O55" s="46"/>
      <c r="P55" s="46"/>
      <c r="Q55" s="46"/>
      <c r="R55" s="46"/>
      <c r="S55" s="46"/>
      <c r="T55" s="46"/>
      <c r="U55" s="46"/>
      <c r="V55" s="46"/>
      <c r="W55" s="46"/>
      <c r="X55" s="46"/>
      <c r="Y55" s="46"/>
      <c r="Z55" s="46"/>
    </row>
    <row r="56" spans="1:26" x14ac:dyDescent="0.25">
      <c r="A56" s="46"/>
      <c r="B56" s="46"/>
      <c r="C56" s="46"/>
      <c r="D56" s="46"/>
      <c r="E56" s="46"/>
      <c r="F56" s="46"/>
      <c r="G56" s="46"/>
      <c r="H56" s="46"/>
      <c r="I56" s="46"/>
      <c r="J56" s="46"/>
      <c r="K56" s="46"/>
      <c r="L56" s="46"/>
      <c r="M56" s="46"/>
      <c r="N56" s="46"/>
      <c r="O56" s="46"/>
      <c r="P56" s="46"/>
      <c r="Q56" s="46"/>
      <c r="R56" s="46"/>
      <c r="S56" s="46"/>
      <c r="T56" s="46"/>
      <c r="U56" s="46"/>
      <c r="V56" s="46"/>
      <c r="W56" s="46"/>
      <c r="X56" s="46"/>
      <c r="Y56" s="46"/>
      <c r="Z56" s="46"/>
    </row>
    <row r="57" spans="1:26" x14ac:dyDescent="0.25">
      <c r="A57" s="46"/>
      <c r="B57" s="46"/>
      <c r="C57" s="46"/>
      <c r="D57" s="46"/>
      <c r="E57" s="46"/>
      <c r="F57" s="46"/>
      <c r="G57" s="46"/>
      <c r="H57" s="46"/>
      <c r="I57" s="46"/>
      <c r="J57" s="46"/>
      <c r="K57" s="46"/>
      <c r="L57" s="46"/>
      <c r="M57" s="46"/>
      <c r="N57" s="46"/>
      <c r="O57" s="46"/>
      <c r="P57" s="46"/>
      <c r="Q57" s="46"/>
      <c r="R57" s="46"/>
      <c r="S57" s="46"/>
      <c r="T57" s="46"/>
      <c r="U57" s="46"/>
      <c r="V57" s="46"/>
      <c r="W57" s="46"/>
      <c r="X57" s="46"/>
      <c r="Y57" s="46"/>
      <c r="Z57" s="46"/>
    </row>
    <row r="58" spans="1:26" x14ac:dyDescent="0.25">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row>
    <row r="59" spans="1:26" x14ac:dyDescent="0.25">
      <c r="A59" s="46"/>
      <c r="B59" s="46"/>
      <c r="C59" s="46"/>
      <c r="D59" s="46"/>
      <c r="E59" s="46"/>
      <c r="F59" s="46"/>
      <c r="G59" s="46"/>
      <c r="H59" s="46"/>
      <c r="I59" s="46"/>
      <c r="J59" s="46"/>
      <c r="K59" s="46"/>
      <c r="L59" s="46"/>
      <c r="M59" s="46"/>
      <c r="N59" s="46"/>
      <c r="O59" s="46"/>
      <c r="P59" s="46"/>
      <c r="Q59" s="46"/>
      <c r="R59" s="46"/>
      <c r="S59" s="46"/>
      <c r="T59" s="46"/>
      <c r="U59" s="46"/>
      <c r="V59" s="46"/>
      <c r="W59" s="46"/>
      <c r="X59" s="46"/>
      <c r="Y59" s="46"/>
      <c r="Z59" s="46"/>
    </row>
    <row r="60" spans="1:26" x14ac:dyDescent="0.25">
      <c r="A60" s="46"/>
      <c r="B60" s="46"/>
      <c r="C60" s="46"/>
      <c r="D60" s="46"/>
      <c r="E60" s="46"/>
      <c r="F60" s="46"/>
      <c r="G60" s="46"/>
      <c r="H60" s="46"/>
      <c r="I60" s="46"/>
      <c r="J60" s="46"/>
      <c r="K60" s="46"/>
      <c r="L60" s="46"/>
      <c r="M60" s="46"/>
      <c r="N60" s="46"/>
      <c r="O60" s="46"/>
      <c r="P60" s="46"/>
      <c r="Q60" s="46"/>
      <c r="R60" s="46"/>
      <c r="S60" s="46"/>
      <c r="T60" s="46"/>
      <c r="U60" s="46"/>
      <c r="V60" s="46"/>
      <c r="W60" s="46"/>
      <c r="X60" s="46"/>
      <c r="Y60" s="46"/>
      <c r="Z60" s="46"/>
    </row>
    <row r="61" spans="1:26" x14ac:dyDescent="0.25">
      <c r="A61" s="46"/>
      <c r="B61" s="46"/>
      <c r="C61" s="46"/>
      <c r="D61" s="46"/>
      <c r="E61" s="46"/>
      <c r="F61" s="46"/>
      <c r="G61" s="46"/>
      <c r="H61" s="46"/>
      <c r="I61" s="46"/>
      <c r="J61" s="46"/>
      <c r="K61" s="46"/>
      <c r="L61" s="46"/>
      <c r="M61" s="46"/>
      <c r="N61" s="46"/>
      <c r="O61" s="46"/>
      <c r="P61" s="46"/>
      <c r="Q61" s="46"/>
      <c r="R61" s="46"/>
      <c r="S61" s="46"/>
      <c r="T61" s="46"/>
      <c r="U61" s="46"/>
      <c r="V61" s="46"/>
      <c r="W61" s="46"/>
      <c r="X61" s="46"/>
      <c r="Y61" s="46"/>
      <c r="Z61" s="46"/>
    </row>
    <row r="62" spans="1:26" x14ac:dyDescent="0.25">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row>
    <row r="63" spans="1:26" x14ac:dyDescent="0.25">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row>
    <row r="64" spans="1:26" x14ac:dyDescent="0.25">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spans="1:26" x14ac:dyDescent="0.25">
      <c r="A65" s="46"/>
      <c r="B65" s="46"/>
      <c r="C65" s="46"/>
      <c r="D65" s="46"/>
      <c r="E65" s="46"/>
      <c r="F65" s="46"/>
      <c r="G65" s="46"/>
      <c r="H65" s="46"/>
      <c r="I65" s="46"/>
      <c r="J65" s="46"/>
      <c r="K65" s="46"/>
      <c r="L65" s="46"/>
      <c r="M65" s="46"/>
      <c r="N65" s="46"/>
      <c r="O65" s="46"/>
      <c r="P65" s="46"/>
      <c r="Q65" s="46"/>
      <c r="R65" s="46"/>
      <c r="S65" s="46"/>
      <c r="T65" s="46"/>
      <c r="U65" s="46"/>
      <c r="V65" s="46"/>
      <c r="W65" s="46"/>
      <c r="X65" s="46"/>
      <c r="Y65" s="46"/>
      <c r="Z65" s="46"/>
    </row>
    <row r="66" spans="1:26" x14ac:dyDescent="0.25">
      <c r="A66" s="46"/>
      <c r="B66" s="46"/>
      <c r="C66" s="46"/>
      <c r="D66" s="46"/>
      <c r="E66" s="46"/>
      <c r="F66" s="46"/>
      <c r="G66" s="46"/>
      <c r="H66" s="46"/>
      <c r="I66" s="46"/>
      <c r="J66" s="46"/>
      <c r="K66" s="46"/>
      <c r="L66" s="46"/>
      <c r="M66" s="46"/>
      <c r="N66" s="46"/>
      <c r="O66" s="46"/>
      <c r="P66" s="46"/>
      <c r="Q66" s="46"/>
      <c r="R66" s="46"/>
      <c r="S66" s="46"/>
      <c r="T66" s="46"/>
      <c r="U66" s="46"/>
      <c r="V66" s="46"/>
      <c r="W66" s="46"/>
      <c r="X66" s="46"/>
      <c r="Y66" s="46"/>
      <c r="Z66" s="46"/>
    </row>
    <row r="67" spans="1:26" x14ac:dyDescent="0.25">
      <c r="A67" s="46"/>
      <c r="B67" s="46"/>
      <c r="C67" s="46"/>
      <c r="D67" s="46"/>
      <c r="E67" s="46"/>
      <c r="F67" s="46"/>
      <c r="G67" s="46"/>
      <c r="H67" s="46"/>
      <c r="I67" s="46"/>
      <c r="J67" s="46"/>
      <c r="K67" s="46"/>
      <c r="L67" s="46"/>
      <c r="M67" s="46"/>
      <c r="N67" s="46"/>
      <c r="O67" s="46"/>
      <c r="P67" s="46"/>
      <c r="Q67" s="46"/>
      <c r="R67" s="46"/>
      <c r="S67" s="46"/>
      <c r="T67" s="46"/>
      <c r="U67" s="46"/>
      <c r="V67" s="46"/>
      <c r="W67" s="46"/>
      <c r="X67" s="46"/>
      <c r="Y67" s="46"/>
      <c r="Z67" s="46"/>
    </row>
    <row r="68" spans="1:26" x14ac:dyDescent="0.25">
      <c r="A68" s="46"/>
      <c r="B68" s="46"/>
      <c r="C68" s="46"/>
      <c r="D68" s="46"/>
      <c r="E68" s="46"/>
      <c r="F68" s="46"/>
      <c r="G68" s="46"/>
      <c r="H68" s="46"/>
      <c r="I68" s="46"/>
      <c r="J68" s="46"/>
      <c r="K68" s="46"/>
      <c r="L68" s="46"/>
      <c r="M68" s="46"/>
      <c r="N68" s="46"/>
      <c r="O68" s="46"/>
      <c r="P68" s="46"/>
      <c r="Q68" s="46"/>
      <c r="R68" s="46"/>
      <c r="S68" s="46"/>
      <c r="T68" s="46"/>
      <c r="U68" s="46"/>
      <c r="V68" s="46"/>
      <c r="W68" s="46"/>
      <c r="X68" s="46"/>
      <c r="Y68" s="46"/>
      <c r="Z68" s="46"/>
    </row>
    <row r="69" spans="1:26" x14ac:dyDescent="0.25">
      <c r="A69" s="46"/>
      <c r="B69" s="46"/>
      <c r="C69" s="46"/>
      <c r="D69" s="46"/>
      <c r="E69" s="46"/>
      <c r="F69" s="46"/>
      <c r="G69" s="46"/>
      <c r="H69" s="46"/>
      <c r="I69" s="46"/>
      <c r="J69" s="46"/>
      <c r="K69" s="46"/>
      <c r="L69" s="46"/>
      <c r="M69" s="46"/>
      <c r="N69" s="46"/>
      <c r="O69" s="46"/>
      <c r="P69" s="46"/>
      <c r="Q69" s="46"/>
      <c r="R69" s="46"/>
      <c r="S69" s="46"/>
      <c r="T69" s="46"/>
      <c r="U69" s="46"/>
      <c r="V69" s="46"/>
      <c r="W69" s="46"/>
      <c r="X69" s="46"/>
      <c r="Y69" s="46"/>
      <c r="Z69" s="46"/>
    </row>
    <row r="70" spans="1:26" x14ac:dyDescent="0.25">
      <c r="A70" s="46"/>
      <c r="B70" s="46"/>
      <c r="C70" s="46"/>
      <c r="D70" s="46"/>
      <c r="E70" s="46"/>
      <c r="F70" s="46"/>
      <c r="G70" s="46"/>
      <c r="H70" s="46"/>
      <c r="I70" s="46"/>
      <c r="J70" s="46"/>
      <c r="K70" s="46"/>
      <c r="L70" s="46"/>
      <c r="M70" s="46"/>
      <c r="N70" s="46"/>
      <c r="O70" s="46"/>
      <c r="P70" s="46"/>
      <c r="Q70" s="46"/>
      <c r="R70" s="46"/>
      <c r="S70" s="46"/>
      <c r="T70" s="46"/>
      <c r="U70" s="46"/>
      <c r="V70" s="46"/>
      <c r="W70" s="46"/>
      <c r="X70" s="46"/>
      <c r="Y70" s="46"/>
      <c r="Z70" s="46"/>
    </row>
    <row r="71" spans="1:26" x14ac:dyDescent="0.25">
      <c r="A71" s="46"/>
      <c r="B71" s="46"/>
      <c r="C71" s="46"/>
      <c r="D71" s="46"/>
      <c r="E71" s="46"/>
      <c r="F71" s="46"/>
      <c r="G71" s="46"/>
      <c r="H71" s="46"/>
      <c r="I71" s="46"/>
      <c r="J71" s="46"/>
      <c r="K71" s="46"/>
      <c r="L71" s="46"/>
      <c r="M71" s="46"/>
      <c r="N71" s="46"/>
      <c r="O71" s="46"/>
      <c r="P71" s="46"/>
      <c r="Q71" s="46"/>
      <c r="R71" s="46"/>
      <c r="S71" s="46"/>
      <c r="T71" s="46"/>
      <c r="U71" s="46"/>
      <c r="V71" s="46"/>
      <c r="W71" s="46"/>
      <c r="X71" s="46"/>
      <c r="Y71" s="46"/>
      <c r="Z71" s="46"/>
    </row>
    <row r="72" spans="1:26" x14ac:dyDescent="0.25">
      <c r="A72" s="46"/>
      <c r="B72" s="46"/>
      <c r="C72" s="46"/>
      <c r="D72" s="46"/>
      <c r="E72" s="46"/>
      <c r="F72" s="46"/>
      <c r="G72" s="46"/>
      <c r="H72" s="46"/>
      <c r="I72" s="46"/>
      <c r="J72" s="46"/>
      <c r="K72" s="46"/>
      <c r="L72" s="46"/>
      <c r="M72" s="46"/>
      <c r="N72" s="46"/>
      <c r="O72" s="46"/>
      <c r="P72" s="46"/>
      <c r="Q72" s="46"/>
      <c r="R72" s="46"/>
      <c r="S72" s="46"/>
      <c r="T72" s="46"/>
      <c r="U72" s="46"/>
      <c r="V72" s="46"/>
      <c r="W72" s="46"/>
      <c r="X72" s="46"/>
      <c r="Y72" s="46"/>
      <c r="Z72" s="46"/>
    </row>
    <row r="73" spans="1:26" x14ac:dyDescent="0.25">
      <c r="A73" s="46"/>
      <c r="B73" s="46"/>
      <c r="C73" s="46"/>
      <c r="D73" s="46"/>
      <c r="E73" s="46"/>
      <c r="F73" s="46"/>
      <c r="G73" s="46"/>
      <c r="H73" s="46"/>
      <c r="I73" s="46"/>
      <c r="J73" s="46"/>
      <c r="K73" s="46"/>
      <c r="L73" s="46"/>
      <c r="M73" s="46"/>
      <c r="N73" s="46"/>
      <c r="O73" s="46"/>
      <c r="P73" s="46"/>
      <c r="Q73" s="46"/>
      <c r="R73" s="46"/>
      <c r="S73" s="46"/>
      <c r="T73" s="46"/>
      <c r="U73" s="46"/>
      <c r="V73" s="46"/>
      <c r="W73" s="46"/>
      <c r="X73" s="46"/>
      <c r="Y73" s="46"/>
      <c r="Z73" s="46"/>
    </row>
    <row r="74" spans="1:26" x14ac:dyDescent="0.25">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spans="1:26" x14ac:dyDescent="0.25">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row>
    <row r="76" spans="1:26" x14ac:dyDescent="0.25">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row>
    <row r="77" spans="1:26" x14ac:dyDescent="0.25">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row>
    <row r="78" spans="1:26" x14ac:dyDescent="0.25">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row>
    <row r="79" spans="1:26" x14ac:dyDescent="0.25">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row>
    <row r="80" spans="1:26" x14ac:dyDescent="0.25">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x14ac:dyDescent="0.25">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row>
    <row r="83" spans="1:26" x14ac:dyDescent="0.25">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row>
    <row r="84" spans="1:26" x14ac:dyDescent="0.25">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spans="1:26" x14ac:dyDescent="0.25">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row>
    <row r="86" spans="1:26" x14ac:dyDescent="0.25">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row>
    <row r="87" spans="1:26" x14ac:dyDescent="0.25">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spans="1:26" x14ac:dyDescent="0.25">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row>
    <row r="89" spans="1:26" x14ac:dyDescent="0.25">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row>
    <row r="90" spans="1:26" x14ac:dyDescent="0.25">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row>
    <row r="91" spans="1:26"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spans="1:26"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spans="1:26" x14ac:dyDescent="0.25">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x14ac:dyDescent="0.25">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x14ac:dyDescent="0.25">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x14ac:dyDescent="0.25">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spans="1:26" x14ac:dyDescent="0.25">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0" spans="1:26" x14ac:dyDescent="0.25">
      <c r="A100" s="46"/>
      <c r="B100" s="46"/>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row>
    <row r="101" spans="1:26" x14ac:dyDescent="0.25">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row>
    <row r="102" spans="1:26" x14ac:dyDescent="0.25">
      <c r="A102" s="46"/>
      <c r="B102" s="46"/>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row>
    <row r="103" spans="1:26" x14ac:dyDescent="0.25">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row>
    <row r="104" spans="1:26" x14ac:dyDescent="0.2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row>
    <row r="105" spans="1:26" x14ac:dyDescent="0.25">
      <c r="A105" s="46"/>
      <c r="B105" s="46"/>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row>
    <row r="106" spans="1:26" x14ac:dyDescent="0.25">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row>
    <row r="107" spans="1:26" x14ac:dyDescent="0.25">
      <c r="A107" s="46"/>
      <c r="B107" s="46"/>
      <c r="C107" s="46"/>
      <c r="D107" s="46"/>
      <c r="E107" s="46"/>
      <c r="F107" s="46"/>
      <c r="G107" s="46"/>
      <c r="H107" s="46"/>
      <c r="I107" s="46"/>
      <c r="J107" s="46"/>
      <c r="K107" s="46"/>
      <c r="L107" s="46"/>
      <c r="M107" s="46"/>
      <c r="N107" s="46"/>
      <c r="O107" s="46"/>
      <c r="P107" s="46"/>
      <c r="Q107" s="46"/>
      <c r="R107" s="46"/>
      <c r="S107" s="46"/>
      <c r="T107" s="46"/>
      <c r="U107" s="46"/>
      <c r="V107" s="46"/>
      <c r="W107" s="46"/>
      <c r="X107" s="46"/>
      <c r="Y107" s="46"/>
      <c r="Z107" s="46"/>
    </row>
    <row r="108" spans="1:26" x14ac:dyDescent="0.25">
      <c r="A108" s="46"/>
      <c r="B108" s="46"/>
      <c r="C108" s="46"/>
      <c r="D108" s="46"/>
      <c r="E108" s="46"/>
      <c r="F108" s="46"/>
      <c r="G108" s="46"/>
      <c r="H108" s="46"/>
      <c r="I108" s="46"/>
      <c r="J108" s="46"/>
      <c r="K108" s="46"/>
      <c r="L108" s="46"/>
      <c r="M108" s="46"/>
      <c r="N108" s="46"/>
      <c r="O108" s="46"/>
      <c r="P108" s="46"/>
      <c r="Q108" s="46"/>
      <c r="R108" s="46"/>
      <c r="S108" s="46"/>
      <c r="T108" s="46"/>
      <c r="U108" s="46"/>
      <c r="V108" s="46"/>
      <c r="W108" s="46"/>
      <c r="X108" s="46"/>
      <c r="Y108" s="46"/>
      <c r="Z108" s="46"/>
    </row>
    <row r="109" spans="1:26" x14ac:dyDescent="0.25">
      <c r="A109" s="46"/>
      <c r="B109" s="46"/>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row>
    <row r="110" spans="1:26" x14ac:dyDescent="0.25">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row>
    <row r="111" spans="1:26" x14ac:dyDescent="0.25">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spans="1:26" x14ac:dyDescent="0.25">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spans="1:26" x14ac:dyDescent="0.25">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row>
    <row r="114" spans="1:26" x14ac:dyDescent="0.25">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row>
    <row r="115" spans="1:26" x14ac:dyDescent="0.2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spans="1:26" x14ac:dyDescent="0.25">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spans="1:26" x14ac:dyDescent="0.25">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spans="1:26" x14ac:dyDescent="0.25">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spans="1:26" x14ac:dyDescent="0.25">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spans="1:26" x14ac:dyDescent="0.25">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spans="1:26" x14ac:dyDescent="0.25">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spans="1:26" x14ac:dyDescent="0.25">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spans="1:26" x14ac:dyDescent="0.25">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spans="1:26" x14ac:dyDescent="0.25">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spans="1:26" x14ac:dyDescent="0.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spans="1:26" x14ac:dyDescent="0.25">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spans="1:26" x14ac:dyDescent="0.25">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spans="1:26" x14ac:dyDescent="0.25">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spans="1:26" x14ac:dyDescent="0.25">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spans="1:26" x14ac:dyDescent="0.25">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spans="1:26" x14ac:dyDescent="0.25">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spans="1:26" x14ac:dyDescent="0.25">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spans="1:26" x14ac:dyDescent="0.25">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spans="1:26" x14ac:dyDescent="0.25">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spans="1:26" x14ac:dyDescent="0.2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spans="1:26" x14ac:dyDescent="0.25">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spans="1:26" x14ac:dyDescent="0.25">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spans="1:26" x14ac:dyDescent="0.25">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spans="1:26" x14ac:dyDescent="0.25">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spans="1:26" x14ac:dyDescent="0.25">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spans="1:26" x14ac:dyDescent="0.25">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spans="1:26" x14ac:dyDescent="0.25">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spans="1:26" x14ac:dyDescent="0.25">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spans="1:26" x14ac:dyDescent="0.25">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spans="1:26" x14ac:dyDescent="0.2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spans="1:26" x14ac:dyDescent="0.25">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spans="1:26" x14ac:dyDescent="0.25">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spans="1:26" x14ac:dyDescent="0.25">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spans="1:26" x14ac:dyDescent="0.25">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spans="1:26" x14ac:dyDescent="0.25">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spans="1:26" x14ac:dyDescent="0.25">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spans="1:26" x14ac:dyDescent="0.25">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spans="1:26" x14ac:dyDescent="0.25">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spans="1:26" x14ac:dyDescent="0.25">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spans="1:26" x14ac:dyDescent="0.2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spans="1:26" x14ac:dyDescent="0.25">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spans="1:26" x14ac:dyDescent="0.25">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spans="1:26" x14ac:dyDescent="0.25">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spans="1:26" x14ac:dyDescent="0.25">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spans="1:26" x14ac:dyDescent="0.25">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spans="1:26" x14ac:dyDescent="0.25">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spans="1:26" x14ac:dyDescent="0.25">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spans="1:26" x14ac:dyDescent="0.25">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spans="1:26" x14ac:dyDescent="0.25">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spans="1:26" x14ac:dyDescent="0.2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spans="1:26" x14ac:dyDescent="0.25">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spans="1:26" x14ac:dyDescent="0.25">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spans="1:26" x14ac:dyDescent="0.25">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spans="1:26" x14ac:dyDescent="0.25">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spans="1:26" x14ac:dyDescent="0.25">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spans="1:26" x14ac:dyDescent="0.25">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spans="1:26" x14ac:dyDescent="0.25">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spans="1:26" x14ac:dyDescent="0.25">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spans="1:26" x14ac:dyDescent="0.25">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spans="1:26" x14ac:dyDescent="0.2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spans="1:26" x14ac:dyDescent="0.25">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spans="1:26" x14ac:dyDescent="0.25">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spans="1:26" x14ac:dyDescent="0.25">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spans="1:26" x14ac:dyDescent="0.25">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spans="1:26" x14ac:dyDescent="0.25">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spans="1:26" x14ac:dyDescent="0.25">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spans="1:26" x14ac:dyDescent="0.25">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spans="1:26" x14ac:dyDescent="0.25">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spans="1:26" x14ac:dyDescent="0.25">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spans="1:26" x14ac:dyDescent="0.2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spans="1:26" x14ac:dyDescent="0.25">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spans="1:26" x14ac:dyDescent="0.25">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spans="1:26" x14ac:dyDescent="0.25">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spans="1:26" x14ac:dyDescent="0.25">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spans="1:26" x14ac:dyDescent="0.25">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spans="1:26" x14ac:dyDescent="0.25">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spans="1:26" x14ac:dyDescent="0.25">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spans="1:26" x14ac:dyDescent="0.25">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spans="1:26" x14ac:dyDescent="0.25">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spans="1:26" x14ac:dyDescent="0.2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spans="1:26" x14ac:dyDescent="0.25">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spans="1:26" x14ac:dyDescent="0.25">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spans="1:26" x14ac:dyDescent="0.25">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spans="1:26" x14ac:dyDescent="0.25">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spans="1:26" x14ac:dyDescent="0.25">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spans="1:26" x14ac:dyDescent="0.25">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spans="1:26" x14ac:dyDescent="0.25">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spans="1:26" x14ac:dyDescent="0.25">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spans="1:26" x14ac:dyDescent="0.25">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spans="1:26" x14ac:dyDescent="0.2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spans="1:26" x14ac:dyDescent="0.25">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spans="1:26" x14ac:dyDescent="0.25">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spans="1:26" x14ac:dyDescent="0.25">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spans="1:26" x14ac:dyDescent="0.25">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spans="1:26" x14ac:dyDescent="0.25">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spans="1:26" x14ac:dyDescent="0.25">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spans="1:26" x14ac:dyDescent="0.25">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spans="1:26" x14ac:dyDescent="0.25">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spans="1:26" x14ac:dyDescent="0.25">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spans="1:26" x14ac:dyDescent="0.2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spans="1:26" x14ac:dyDescent="0.25">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spans="1:26" x14ac:dyDescent="0.25">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spans="1:26" x14ac:dyDescent="0.25">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spans="1:26" x14ac:dyDescent="0.25">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spans="1:26" x14ac:dyDescent="0.25">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spans="1:26" x14ac:dyDescent="0.25">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spans="1:26" x14ac:dyDescent="0.25">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spans="1:26" x14ac:dyDescent="0.25">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spans="1:26" x14ac:dyDescent="0.25">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spans="1:26" x14ac:dyDescent="0.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spans="1:26" x14ac:dyDescent="0.25">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spans="1:26" x14ac:dyDescent="0.25">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spans="1:26" x14ac:dyDescent="0.25">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spans="1:26" x14ac:dyDescent="0.25">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spans="1:26" x14ac:dyDescent="0.25">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spans="1:26" x14ac:dyDescent="0.25">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spans="1:26" x14ac:dyDescent="0.25">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spans="1:26" x14ac:dyDescent="0.25">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spans="1:26" x14ac:dyDescent="0.25">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spans="1:26" x14ac:dyDescent="0.2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spans="1:26" x14ac:dyDescent="0.25">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spans="1:26" x14ac:dyDescent="0.25">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spans="1:26" x14ac:dyDescent="0.25">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spans="1:26" x14ac:dyDescent="0.25">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spans="1:26" x14ac:dyDescent="0.25">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spans="1:26" x14ac:dyDescent="0.25">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spans="1:26" x14ac:dyDescent="0.25">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spans="1:26" x14ac:dyDescent="0.25">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spans="1:26" x14ac:dyDescent="0.25">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spans="1:26" x14ac:dyDescent="0.2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spans="1:26" x14ac:dyDescent="0.25">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spans="1:26" x14ac:dyDescent="0.25">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spans="1:26" x14ac:dyDescent="0.25">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spans="1:26" x14ac:dyDescent="0.25">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spans="1:26" x14ac:dyDescent="0.25">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spans="1:26" x14ac:dyDescent="0.25">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spans="1:26" x14ac:dyDescent="0.25">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spans="1:26" x14ac:dyDescent="0.25">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spans="1:26" x14ac:dyDescent="0.25">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spans="1:26" x14ac:dyDescent="0.2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spans="1:26" x14ac:dyDescent="0.25">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spans="1:26" x14ac:dyDescent="0.25">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spans="1:26" x14ac:dyDescent="0.25">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spans="1:26" x14ac:dyDescent="0.25">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spans="1:26" x14ac:dyDescent="0.25">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spans="1:26" x14ac:dyDescent="0.25">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spans="1:26" x14ac:dyDescent="0.25">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spans="1:26" x14ac:dyDescent="0.25">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spans="1:26" x14ac:dyDescent="0.25">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spans="1:26" x14ac:dyDescent="0.2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spans="1:26" x14ac:dyDescent="0.25">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spans="1:26" x14ac:dyDescent="0.25">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spans="1:26" x14ac:dyDescent="0.25">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spans="1:26" x14ac:dyDescent="0.25">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spans="1:26" x14ac:dyDescent="0.25">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spans="1:26" x14ac:dyDescent="0.25">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spans="1:26" x14ac:dyDescent="0.25">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spans="1:26" x14ac:dyDescent="0.25">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spans="1:26" x14ac:dyDescent="0.25">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spans="1:26" x14ac:dyDescent="0.2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spans="1:26" x14ac:dyDescent="0.25">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spans="1:26" x14ac:dyDescent="0.25">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spans="1:26" x14ac:dyDescent="0.25">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spans="1:26" x14ac:dyDescent="0.25">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spans="1:26" x14ac:dyDescent="0.25">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spans="1:26" x14ac:dyDescent="0.25">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spans="1:26" x14ac:dyDescent="0.25">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spans="1:26" x14ac:dyDescent="0.25">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spans="1:26" x14ac:dyDescent="0.25">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spans="1:26" x14ac:dyDescent="0.2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spans="1:26" x14ac:dyDescent="0.25">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spans="1:26" x14ac:dyDescent="0.25">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spans="1:26" x14ac:dyDescent="0.25">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spans="1:26" x14ac:dyDescent="0.25">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spans="1:26" x14ac:dyDescent="0.25">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spans="1:26" x14ac:dyDescent="0.25">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spans="1:26" x14ac:dyDescent="0.25">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spans="1:26" x14ac:dyDescent="0.25">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spans="1:26" x14ac:dyDescent="0.25">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spans="1:26" x14ac:dyDescent="0.2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spans="1:26" x14ac:dyDescent="0.25">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spans="1:26" x14ac:dyDescent="0.25">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spans="1:26" x14ac:dyDescent="0.25">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spans="1:26" x14ac:dyDescent="0.25">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spans="1:26" x14ac:dyDescent="0.25">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spans="1:26" x14ac:dyDescent="0.25">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spans="1:26" x14ac:dyDescent="0.25">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spans="1:26" x14ac:dyDescent="0.25">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spans="1:26" x14ac:dyDescent="0.25">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spans="1:26" x14ac:dyDescent="0.2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spans="1:26" x14ac:dyDescent="0.25">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spans="1:26" x14ac:dyDescent="0.25">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spans="1:26" x14ac:dyDescent="0.25">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spans="1:26" x14ac:dyDescent="0.25">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spans="1:26" x14ac:dyDescent="0.25">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spans="1:26" x14ac:dyDescent="0.25">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spans="1:26" x14ac:dyDescent="0.25">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spans="1:26" x14ac:dyDescent="0.25">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spans="1:26" x14ac:dyDescent="0.25">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spans="1:26" x14ac:dyDescent="0.2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spans="1:26" x14ac:dyDescent="0.25">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spans="1:26" x14ac:dyDescent="0.25">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spans="1:26" x14ac:dyDescent="0.25">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spans="1:26" x14ac:dyDescent="0.25">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spans="1:26" x14ac:dyDescent="0.25">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spans="1:26" x14ac:dyDescent="0.25">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spans="1:26" x14ac:dyDescent="0.25">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spans="1:26" x14ac:dyDescent="0.25">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spans="1:26" x14ac:dyDescent="0.25">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spans="1:26" x14ac:dyDescent="0.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spans="1:26" x14ac:dyDescent="0.25">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spans="1:26" x14ac:dyDescent="0.25">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spans="1:26" x14ac:dyDescent="0.25">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spans="1:26" x14ac:dyDescent="0.25">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spans="1:26" x14ac:dyDescent="0.25">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spans="1:26" x14ac:dyDescent="0.25">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spans="1:26" x14ac:dyDescent="0.25">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spans="1:26" x14ac:dyDescent="0.25">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spans="1:26" x14ac:dyDescent="0.25">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spans="1:26" x14ac:dyDescent="0.2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spans="1:26" x14ac:dyDescent="0.25">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spans="1:26" x14ac:dyDescent="0.25">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spans="1:26" x14ac:dyDescent="0.25">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spans="1:26" x14ac:dyDescent="0.25">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spans="1:26" x14ac:dyDescent="0.25">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spans="1:26" x14ac:dyDescent="0.25">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spans="1:26" x14ac:dyDescent="0.25">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spans="1:26" x14ac:dyDescent="0.25">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spans="1:26" x14ac:dyDescent="0.25">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spans="1:26" x14ac:dyDescent="0.2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spans="1:26" x14ac:dyDescent="0.25">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spans="1:26" x14ac:dyDescent="0.25">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spans="1:26" x14ac:dyDescent="0.25">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spans="1:26" x14ac:dyDescent="0.25">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spans="1:26" x14ac:dyDescent="0.25">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spans="1:26" x14ac:dyDescent="0.25">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spans="1:26" x14ac:dyDescent="0.25">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spans="1:26" x14ac:dyDescent="0.25">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spans="1:26" x14ac:dyDescent="0.25">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spans="1:26" x14ac:dyDescent="0.2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spans="1:26" x14ac:dyDescent="0.25">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spans="1:26" x14ac:dyDescent="0.25">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spans="1:26" x14ac:dyDescent="0.25">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spans="1:26" x14ac:dyDescent="0.25">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spans="1:26" x14ac:dyDescent="0.25">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spans="1:26" x14ac:dyDescent="0.25">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spans="1:26" x14ac:dyDescent="0.25">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spans="1:26" x14ac:dyDescent="0.25">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spans="1:26" x14ac:dyDescent="0.25">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spans="1:26" x14ac:dyDescent="0.2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spans="1:26" x14ac:dyDescent="0.25">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spans="1:26" x14ac:dyDescent="0.25">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spans="1:26" x14ac:dyDescent="0.25">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spans="1:26" x14ac:dyDescent="0.25">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spans="1:26" x14ac:dyDescent="0.25">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spans="1:26" x14ac:dyDescent="0.25">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spans="1:26" x14ac:dyDescent="0.25">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spans="1:26" x14ac:dyDescent="0.25">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spans="1:26" x14ac:dyDescent="0.25">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spans="1:26" x14ac:dyDescent="0.2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spans="1:26" x14ac:dyDescent="0.25">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spans="1:26" x14ac:dyDescent="0.25">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spans="1:26" x14ac:dyDescent="0.25">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spans="1:26" x14ac:dyDescent="0.25">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spans="1:26" x14ac:dyDescent="0.25">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spans="1:26" x14ac:dyDescent="0.25">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spans="1:26" x14ac:dyDescent="0.25">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spans="1:26" x14ac:dyDescent="0.25">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spans="1:26" x14ac:dyDescent="0.25">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spans="1:26" x14ac:dyDescent="0.2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spans="1:26" x14ac:dyDescent="0.25">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spans="1:26" x14ac:dyDescent="0.25">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spans="1:26" x14ac:dyDescent="0.25">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spans="1:26" x14ac:dyDescent="0.25">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spans="1:26" x14ac:dyDescent="0.25">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spans="1:26" x14ac:dyDescent="0.25">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spans="1:26" x14ac:dyDescent="0.25">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spans="1:26" x14ac:dyDescent="0.25">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spans="1:26" x14ac:dyDescent="0.25">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spans="1:26" x14ac:dyDescent="0.2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spans="1:26" x14ac:dyDescent="0.25">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spans="1:26" x14ac:dyDescent="0.25">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spans="1:26" x14ac:dyDescent="0.25">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spans="1:26" x14ac:dyDescent="0.25">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spans="1:26" x14ac:dyDescent="0.25">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spans="1:26" x14ac:dyDescent="0.25">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spans="1:26" x14ac:dyDescent="0.25">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spans="1:26" x14ac:dyDescent="0.25">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spans="1:26" x14ac:dyDescent="0.25">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spans="1:26" x14ac:dyDescent="0.2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spans="1:26" x14ac:dyDescent="0.25">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spans="1:26" x14ac:dyDescent="0.25">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spans="1:26" x14ac:dyDescent="0.25">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spans="1:26" x14ac:dyDescent="0.25">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spans="1:26" x14ac:dyDescent="0.25">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spans="1:26" x14ac:dyDescent="0.25">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spans="1:26" x14ac:dyDescent="0.25">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spans="1:26" x14ac:dyDescent="0.25">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spans="1:26" x14ac:dyDescent="0.25">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spans="1:26" x14ac:dyDescent="0.2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spans="1:26" x14ac:dyDescent="0.25">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spans="1:26" x14ac:dyDescent="0.25">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spans="1:26" x14ac:dyDescent="0.25">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spans="1:26" x14ac:dyDescent="0.25">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spans="1:26" x14ac:dyDescent="0.25">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spans="1:26" x14ac:dyDescent="0.25">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spans="1:26" x14ac:dyDescent="0.25">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spans="1:26" x14ac:dyDescent="0.25">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spans="1:26" x14ac:dyDescent="0.25">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spans="1:26" x14ac:dyDescent="0.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spans="1:26" x14ac:dyDescent="0.25">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spans="1:26" x14ac:dyDescent="0.25">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spans="1:26" x14ac:dyDescent="0.25">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spans="1:26" x14ac:dyDescent="0.25">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spans="1:26" x14ac:dyDescent="0.25">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spans="1:26" x14ac:dyDescent="0.25">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spans="1:26" x14ac:dyDescent="0.25">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spans="1:26" x14ac:dyDescent="0.25">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spans="1:26" x14ac:dyDescent="0.25">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spans="1:26" x14ac:dyDescent="0.2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spans="1:26" x14ac:dyDescent="0.25">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spans="1:26" x14ac:dyDescent="0.25">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spans="1:26" x14ac:dyDescent="0.25">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spans="1:26" x14ac:dyDescent="0.25">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spans="1:26" x14ac:dyDescent="0.25">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spans="1:26" x14ac:dyDescent="0.25">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spans="1:26" x14ac:dyDescent="0.25">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spans="1:26" x14ac:dyDescent="0.25">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spans="1:26" x14ac:dyDescent="0.25">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spans="1:26" x14ac:dyDescent="0.2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spans="1:26" x14ac:dyDescent="0.25">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spans="1:26" x14ac:dyDescent="0.25">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spans="1:26" x14ac:dyDescent="0.25">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spans="1:26" x14ac:dyDescent="0.25">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spans="1:26" x14ac:dyDescent="0.25">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spans="1:26" x14ac:dyDescent="0.25">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spans="1:26" x14ac:dyDescent="0.25">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spans="1:26" x14ac:dyDescent="0.25">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spans="1:26" x14ac:dyDescent="0.25">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spans="1:26" x14ac:dyDescent="0.2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spans="1:26" x14ac:dyDescent="0.25">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spans="1:26" x14ac:dyDescent="0.25">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spans="1:26" x14ac:dyDescent="0.25">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spans="1:26" x14ac:dyDescent="0.25">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spans="1:26" x14ac:dyDescent="0.25">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spans="1:26" x14ac:dyDescent="0.25">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spans="1:26" x14ac:dyDescent="0.25">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spans="1:26" x14ac:dyDescent="0.25">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spans="1:26" x14ac:dyDescent="0.25">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spans="1:26" x14ac:dyDescent="0.2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spans="1:26" x14ac:dyDescent="0.25">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spans="1:26" x14ac:dyDescent="0.25">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spans="1:26" x14ac:dyDescent="0.25">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spans="1:26" x14ac:dyDescent="0.25">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spans="1:26" x14ac:dyDescent="0.25">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spans="1:26" x14ac:dyDescent="0.25">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spans="1:26" x14ac:dyDescent="0.25">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spans="1:26" x14ac:dyDescent="0.25">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spans="1:26" x14ac:dyDescent="0.25">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spans="1:26" x14ac:dyDescent="0.2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spans="1:26" x14ac:dyDescent="0.25">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spans="1:26" x14ac:dyDescent="0.25">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spans="1:26" x14ac:dyDescent="0.25">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spans="1:26" x14ac:dyDescent="0.25">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spans="1:26" x14ac:dyDescent="0.25">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spans="1:26" x14ac:dyDescent="0.25">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spans="1:26" x14ac:dyDescent="0.25">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spans="1:26" x14ac:dyDescent="0.25">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spans="1:26" x14ac:dyDescent="0.25">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spans="1:26" x14ac:dyDescent="0.2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spans="1:26" x14ac:dyDescent="0.25">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spans="1:26" x14ac:dyDescent="0.25">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spans="1:26" x14ac:dyDescent="0.25">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spans="1:26" x14ac:dyDescent="0.25">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spans="1:26" x14ac:dyDescent="0.25">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spans="1:26" x14ac:dyDescent="0.25">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spans="1:26" x14ac:dyDescent="0.25">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spans="1:26" x14ac:dyDescent="0.25">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spans="1:26" x14ac:dyDescent="0.25">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spans="1:26" x14ac:dyDescent="0.2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spans="1:26" x14ac:dyDescent="0.25">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spans="1:26" x14ac:dyDescent="0.25">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spans="1:26" x14ac:dyDescent="0.25">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spans="1:26" x14ac:dyDescent="0.25">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spans="1:26" x14ac:dyDescent="0.25">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sheetData>
  <sheetProtection sheet="1" objects="1" scenarios="1"/>
  <mergeCells count="1">
    <mergeCell ref="B2:C2"/>
  </mergeCells>
  <hyperlinks>
    <hyperlink ref="C4" r:id="rId1" xr:uid="{00000000-0004-0000-0700-000000000000}"/>
    <hyperlink ref="C5" r:id="rId2" xr:uid="{00000000-0004-0000-0700-000001000000}"/>
    <hyperlink ref="C6" r:id="rId3" xr:uid="{00000000-0004-0000-0700-000002000000}"/>
    <hyperlink ref="C7" r:id="rId4" xr:uid="{00000000-0004-0000-0700-000003000000}"/>
    <hyperlink ref="C8" r:id="rId5" xr:uid="{00000000-0004-0000-0700-000004000000}"/>
    <hyperlink ref="C9" r:id="rId6" xr:uid="{00000000-0004-0000-0700-000005000000}"/>
    <hyperlink ref="C10" r:id="rId7" xr:uid="{00000000-0004-0000-0700-000006000000}"/>
    <hyperlink ref="C11" r:id="rId8" xr:uid="{00000000-0004-0000-0700-000007000000}"/>
    <hyperlink ref="C12" r:id="rId9" xr:uid="{00000000-0004-0000-0700-000008000000}"/>
    <hyperlink ref="C13" r:id="rId10" xr:uid="{00000000-0004-0000-0700-000009000000}"/>
  </hyperlink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Z500"/>
  <sheetViews>
    <sheetView zoomScaleNormal="100" workbookViewId="0">
      <selection activeCell="C14" sqref="C14"/>
    </sheetView>
  </sheetViews>
  <sheetFormatPr defaultColWidth="8.7109375" defaultRowHeight="15" x14ac:dyDescent="0.25"/>
  <cols>
    <col min="1" max="1" width="3" customWidth="1"/>
    <col min="2" max="2" width="46" customWidth="1"/>
    <col min="3" max="3" width="20" customWidth="1"/>
    <col min="4" max="4" width="18" customWidth="1"/>
    <col min="5" max="5" width="60" customWidth="1"/>
  </cols>
  <sheetData>
    <row r="1" spans="1:26" x14ac:dyDescent="0.25">
      <c r="A1" s="46"/>
      <c r="B1" s="46"/>
      <c r="C1" s="46"/>
      <c r="D1" s="46"/>
      <c r="E1" s="46"/>
      <c r="F1" s="46"/>
      <c r="G1" s="46"/>
      <c r="H1" s="46"/>
      <c r="I1" s="46"/>
      <c r="J1" s="46"/>
      <c r="K1" s="46"/>
      <c r="L1" s="46"/>
      <c r="M1" s="46"/>
      <c r="N1" s="46"/>
      <c r="O1" s="46"/>
      <c r="P1" s="46"/>
      <c r="Q1" s="46"/>
      <c r="R1" s="46"/>
      <c r="S1" s="46"/>
      <c r="T1" s="46"/>
      <c r="U1" s="46"/>
      <c r="V1" s="46"/>
      <c r="W1" s="46"/>
      <c r="X1" s="46"/>
      <c r="Y1" s="46"/>
      <c r="Z1" s="46"/>
    </row>
    <row r="2" spans="1:26" ht="18" x14ac:dyDescent="0.25">
      <c r="A2" s="46"/>
      <c r="B2" s="44" t="s">
        <v>144</v>
      </c>
      <c r="C2" s="44"/>
      <c r="D2" s="44"/>
      <c r="E2" s="44"/>
      <c r="F2" s="46"/>
      <c r="G2" s="46"/>
      <c r="H2" s="46"/>
      <c r="I2" s="46"/>
      <c r="J2" s="46"/>
      <c r="K2" s="46"/>
      <c r="L2" s="46"/>
      <c r="M2" s="46"/>
      <c r="N2" s="46"/>
      <c r="O2" s="46"/>
      <c r="P2" s="46"/>
      <c r="Q2" s="46"/>
      <c r="R2" s="46"/>
      <c r="S2" s="46"/>
      <c r="T2" s="46"/>
      <c r="U2" s="46"/>
      <c r="V2" s="46"/>
      <c r="W2" s="46"/>
      <c r="X2" s="46"/>
      <c r="Y2" s="46"/>
      <c r="Z2" s="46"/>
    </row>
    <row r="3" spans="1:26" x14ac:dyDescent="0.25">
      <c r="A3" s="46"/>
      <c r="B3" s="46"/>
      <c r="C3" s="46"/>
      <c r="D3" s="46"/>
      <c r="E3" s="46"/>
      <c r="F3" s="46"/>
      <c r="G3" s="46"/>
      <c r="H3" s="46"/>
      <c r="I3" s="46"/>
      <c r="J3" s="46"/>
      <c r="K3" s="46"/>
      <c r="L3" s="46"/>
      <c r="M3" s="46"/>
      <c r="N3" s="46"/>
      <c r="O3" s="46"/>
      <c r="P3" s="46"/>
      <c r="Q3" s="46"/>
      <c r="R3" s="46"/>
      <c r="S3" s="46"/>
      <c r="T3" s="46"/>
      <c r="U3" s="46"/>
      <c r="V3" s="46"/>
      <c r="W3" s="46"/>
      <c r="X3" s="46"/>
      <c r="Y3" s="46"/>
      <c r="Z3" s="46"/>
    </row>
    <row r="4" spans="1:26" x14ac:dyDescent="0.25">
      <c r="A4" s="46"/>
      <c r="B4" s="45" t="s">
        <v>145</v>
      </c>
      <c r="C4" s="45"/>
      <c r="D4" s="45"/>
      <c r="E4" s="45"/>
      <c r="F4" s="46"/>
      <c r="G4" s="46"/>
      <c r="H4" s="46"/>
      <c r="I4" s="46"/>
      <c r="J4" s="46"/>
      <c r="K4" s="46"/>
      <c r="L4" s="46"/>
      <c r="M4" s="46"/>
      <c r="N4" s="46"/>
      <c r="O4" s="46"/>
      <c r="P4" s="46"/>
      <c r="Q4" s="46"/>
      <c r="R4" s="46"/>
      <c r="S4" s="46"/>
      <c r="T4" s="46"/>
      <c r="U4" s="46"/>
      <c r="V4" s="46"/>
      <c r="W4" s="46"/>
      <c r="X4" s="46"/>
      <c r="Y4" s="46"/>
      <c r="Z4" s="46"/>
    </row>
    <row r="5" spans="1:26" ht="45" customHeight="1" x14ac:dyDescent="0.25">
      <c r="A5" s="46"/>
      <c r="B5" s="123" t="s">
        <v>146</v>
      </c>
      <c r="C5" s="123"/>
      <c r="D5" s="123"/>
      <c r="E5" s="123"/>
      <c r="F5" s="46"/>
      <c r="G5" s="46"/>
      <c r="H5" s="46"/>
      <c r="I5" s="46"/>
      <c r="J5" s="46"/>
      <c r="K5" s="46"/>
      <c r="L5" s="46"/>
      <c r="M5" s="46"/>
      <c r="N5" s="46"/>
      <c r="O5" s="46"/>
      <c r="P5" s="46"/>
      <c r="Q5" s="46"/>
      <c r="R5" s="46"/>
      <c r="S5" s="46"/>
      <c r="T5" s="46"/>
      <c r="U5" s="46"/>
      <c r="V5" s="46"/>
      <c r="W5" s="46"/>
      <c r="X5" s="46"/>
      <c r="Y5" s="46"/>
      <c r="Z5" s="46"/>
    </row>
    <row r="6" spans="1:26" x14ac:dyDescent="0.25">
      <c r="A6" s="46"/>
      <c r="B6" s="46"/>
      <c r="C6" s="46"/>
      <c r="D6" s="46"/>
      <c r="E6" s="46"/>
      <c r="F6" s="46"/>
      <c r="G6" s="46"/>
      <c r="H6" s="46"/>
      <c r="I6" s="46"/>
      <c r="J6" s="46"/>
      <c r="K6" s="46"/>
      <c r="L6" s="46"/>
      <c r="M6" s="46"/>
      <c r="N6" s="46"/>
      <c r="O6" s="46"/>
      <c r="P6" s="46"/>
      <c r="Q6" s="46"/>
      <c r="R6" s="46"/>
      <c r="S6" s="46"/>
      <c r="T6" s="46"/>
      <c r="U6" s="46"/>
      <c r="V6" s="46"/>
      <c r="W6" s="46"/>
      <c r="X6" s="46"/>
      <c r="Y6" s="46"/>
      <c r="Z6" s="46"/>
    </row>
    <row r="7" spans="1:26" x14ac:dyDescent="0.25">
      <c r="A7" s="46"/>
      <c r="B7" s="48" t="s">
        <v>147</v>
      </c>
      <c r="C7" s="52">
        <f>7.68*C8</f>
        <v>7.0655999999999999</v>
      </c>
      <c r="D7" s="51" t="s">
        <v>148</v>
      </c>
      <c r="E7" s="47" t="s">
        <v>149</v>
      </c>
      <c r="F7" s="46"/>
      <c r="G7" s="46"/>
      <c r="H7" s="46"/>
      <c r="I7" s="46"/>
      <c r="J7" s="46"/>
      <c r="K7" s="46"/>
      <c r="L7" s="46"/>
      <c r="M7" s="46"/>
      <c r="N7" s="46"/>
      <c r="O7" s="46"/>
      <c r="P7" s="46"/>
      <c r="Q7" s="46"/>
      <c r="R7" s="46"/>
      <c r="S7" s="46"/>
      <c r="T7" s="46"/>
      <c r="U7" s="46"/>
      <c r="V7" s="46"/>
      <c r="W7" s="46"/>
      <c r="X7" s="46"/>
      <c r="Y7" s="46"/>
      <c r="Z7" s="46"/>
    </row>
    <row r="8" spans="1:26" x14ac:dyDescent="0.25">
      <c r="A8" s="46"/>
      <c r="B8" s="48" t="s">
        <v>150</v>
      </c>
      <c r="C8" s="21">
        <v>0.92</v>
      </c>
      <c r="D8" s="47" t="s">
        <v>151</v>
      </c>
      <c r="E8" s="47" t="s">
        <v>152</v>
      </c>
      <c r="F8" s="46"/>
      <c r="G8" s="46"/>
      <c r="H8" s="46"/>
      <c r="I8" s="46"/>
      <c r="J8" s="46"/>
      <c r="K8" s="46"/>
      <c r="L8" s="46"/>
      <c r="M8" s="46"/>
      <c r="N8" s="46"/>
      <c r="O8" s="46"/>
      <c r="P8" s="46"/>
      <c r="Q8" s="46"/>
      <c r="R8" s="46"/>
      <c r="S8" s="46"/>
      <c r="T8" s="46"/>
      <c r="U8" s="46"/>
      <c r="V8" s="46"/>
      <c r="W8" s="46"/>
      <c r="X8" s="46"/>
      <c r="Y8" s="46"/>
      <c r="Z8" s="46"/>
    </row>
    <row r="9" spans="1:26" x14ac:dyDescent="0.25">
      <c r="A9" s="46"/>
      <c r="B9" s="46"/>
      <c r="C9" s="46"/>
      <c r="D9" s="46"/>
      <c r="E9" s="46"/>
      <c r="F9" s="46"/>
      <c r="G9" s="46"/>
      <c r="H9" s="46"/>
      <c r="I9" s="46"/>
      <c r="J9" s="46"/>
      <c r="K9" s="46"/>
      <c r="L9" s="46"/>
      <c r="M9" s="46"/>
      <c r="N9" s="46"/>
      <c r="O9" s="46"/>
      <c r="P9" s="46"/>
      <c r="Q9" s="46"/>
      <c r="R9" s="46"/>
      <c r="S9" s="46"/>
      <c r="T9" s="46"/>
      <c r="U9" s="46"/>
      <c r="V9" s="46"/>
      <c r="W9" s="46"/>
      <c r="X9" s="46"/>
      <c r="Y9" s="46"/>
      <c r="Z9" s="46"/>
    </row>
    <row r="10" spans="1:26" x14ac:dyDescent="0.25">
      <c r="A10" s="46"/>
      <c r="B10" s="45" t="s">
        <v>153</v>
      </c>
      <c r="C10" s="45"/>
      <c r="D10" s="45"/>
      <c r="E10" s="45"/>
      <c r="F10" s="46"/>
      <c r="G10" s="46"/>
      <c r="H10" s="46"/>
      <c r="I10" s="46"/>
      <c r="J10" s="46"/>
      <c r="K10" s="46"/>
      <c r="L10" s="46"/>
      <c r="M10" s="46"/>
      <c r="N10" s="46"/>
      <c r="O10" s="46"/>
      <c r="P10" s="46"/>
      <c r="Q10" s="46"/>
      <c r="R10" s="46"/>
      <c r="S10" s="46"/>
      <c r="T10" s="46"/>
      <c r="U10" s="46"/>
      <c r="V10" s="46"/>
      <c r="W10" s="46"/>
      <c r="X10" s="46"/>
      <c r="Y10" s="46"/>
      <c r="Z10" s="46"/>
    </row>
    <row r="11" spans="1:26" ht="34.5" customHeight="1" x14ac:dyDescent="0.25">
      <c r="A11" s="46"/>
      <c r="B11" s="123" t="s">
        <v>154</v>
      </c>
      <c r="C11" s="123"/>
      <c r="D11" s="123"/>
      <c r="E11" s="123"/>
      <c r="F11" s="46"/>
      <c r="G11" s="46"/>
      <c r="H11" s="46"/>
      <c r="I11" s="46"/>
      <c r="J11" s="46"/>
      <c r="K11" s="46"/>
      <c r="L11" s="46"/>
      <c r="M11" s="46"/>
      <c r="N11" s="46"/>
      <c r="O11" s="46"/>
      <c r="P11" s="46"/>
      <c r="Q11" s="46"/>
      <c r="R11" s="46"/>
      <c r="S11" s="46"/>
      <c r="T11" s="46"/>
      <c r="U11" s="46"/>
      <c r="V11" s="46"/>
      <c r="W11" s="46"/>
      <c r="X11" s="46"/>
      <c r="Y11" s="46"/>
      <c r="Z11" s="46"/>
    </row>
    <row r="12" spans="1:26" x14ac:dyDescent="0.25">
      <c r="A12" s="46"/>
      <c r="B12" s="46"/>
      <c r="C12" s="46"/>
      <c r="D12" s="46"/>
      <c r="E12" s="46"/>
      <c r="F12" s="46"/>
      <c r="G12" s="46"/>
      <c r="H12" s="46"/>
      <c r="I12" s="46"/>
      <c r="J12" s="46"/>
      <c r="K12" s="46"/>
      <c r="L12" s="46"/>
      <c r="M12" s="46"/>
      <c r="N12" s="46"/>
      <c r="O12" s="46"/>
      <c r="P12" s="46"/>
      <c r="Q12" s="46"/>
      <c r="R12" s="46"/>
      <c r="S12" s="46"/>
      <c r="T12" s="46"/>
      <c r="U12" s="46"/>
      <c r="V12" s="46"/>
      <c r="W12" s="46"/>
      <c r="X12" s="46"/>
      <c r="Y12" s="46"/>
      <c r="Z12" s="46"/>
    </row>
    <row r="13" spans="1:26" x14ac:dyDescent="0.25">
      <c r="A13" s="46"/>
      <c r="B13" s="48" t="s">
        <v>155</v>
      </c>
      <c r="C13" s="5">
        <v>0.25</v>
      </c>
      <c r="D13" s="47" t="s">
        <v>156</v>
      </c>
      <c r="E13" s="47" t="s">
        <v>157</v>
      </c>
      <c r="F13" s="46"/>
      <c r="G13" s="46"/>
      <c r="H13" s="46"/>
      <c r="I13" s="46"/>
      <c r="J13" s="46"/>
      <c r="K13" s="46"/>
      <c r="L13" s="46"/>
      <c r="M13" s="46"/>
      <c r="N13" s="46"/>
      <c r="O13" s="46"/>
      <c r="P13" s="46"/>
      <c r="Q13" s="46"/>
      <c r="R13" s="46"/>
      <c r="S13" s="46"/>
      <c r="T13" s="46"/>
      <c r="U13" s="46"/>
      <c r="V13" s="46"/>
      <c r="W13" s="46"/>
      <c r="X13" s="46"/>
      <c r="Y13" s="46"/>
      <c r="Z13" s="46"/>
    </row>
    <row r="14" spans="1:26" x14ac:dyDescent="0.25">
      <c r="A14" s="46"/>
      <c r="B14" s="53" t="s">
        <v>158</v>
      </c>
      <c r="C14" s="54">
        <f>ROUND(C13/IF('Hardware Inputs'!C8&gt;=3,1/3,IF('Hardware Inputs'!C8=2,0.5,1)),2)</f>
        <v>0.75</v>
      </c>
      <c r="D14" s="51" t="s">
        <v>159</v>
      </c>
      <c r="E14" s="47" t="s">
        <v>160</v>
      </c>
      <c r="F14" s="46"/>
      <c r="G14" s="46"/>
      <c r="H14" s="46"/>
      <c r="I14" s="46"/>
      <c r="J14" s="46"/>
      <c r="K14" s="46"/>
      <c r="L14" s="46"/>
      <c r="M14" s="46"/>
      <c r="N14" s="46"/>
      <c r="O14" s="46"/>
      <c r="P14" s="46"/>
      <c r="Q14" s="46"/>
      <c r="R14" s="46"/>
      <c r="S14" s="46"/>
      <c r="T14" s="46"/>
      <c r="U14" s="46"/>
      <c r="V14" s="46"/>
      <c r="W14" s="46"/>
      <c r="X14" s="46"/>
      <c r="Y14" s="46"/>
      <c r="Z14" s="46"/>
    </row>
    <row r="15" spans="1:26" x14ac:dyDescent="0.25">
      <c r="A15" s="46"/>
      <c r="B15" s="46"/>
      <c r="C15" s="46"/>
      <c r="D15" s="46"/>
      <c r="E15" s="46"/>
      <c r="F15" s="46"/>
      <c r="G15" s="46"/>
      <c r="H15" s="46"/>
      <c r="I15" s="46"/>
      <c r="J15" s="46"/>
      <c r="K15" s="46"/>
      <c r="L15" s="46"/>
      <c r="M15" s="46"/>
      <c r="N15" s="46"/>
      <c r="O15" s="46"/>
      <c r="P15" s="46"/>
      <c r="Q15" s="46"/>
      <c r="R15" s="46"/>
      <c r="S15" s="46"/>
      <c r="T15" s="46"/>
      <c r="U15" s="46"/>
      <c r="V15" s="46"/>
      <c r="W15" s="46"/>
      <c r="X15" s="46"/>
      <c r="Y15" s="46"/>
      <c r="Z15" s="46"/>
    </row>
    <row r="16" spans="1:26" x14ac:dyDescent="0.25">
      <c r="A16" s="46"/>
      <c r="B16" s="45" t="s">
        <v>161</v>
      </c>
      <c r="C16" s="45"/>
      <c r="D16" s="45"/>
      <c r="E16" s="45"/>
      <c r="F16" s="46"/>
      <c r="G16" s="46"/>
      <c r="H16" s="46"/>
      <c r="I16" s="46"/>
      <c r="J16" s="46"/>
      <c r="K16" s="46"/>
      <c r="L16" s="46"/>
      <c r="M16" s="46"/>
      <c r="N16" s="46"/>
      <c r="O16" s="46"/>
      <c r="P16" s="46"/>
      <c r="Q16" s="46"/>
      <c r="R16" s="46"/>
      <c r="S16" s="46"/>
      <c r="T16" s="46"/>
      <c r="U16" s="46"/>
      <c r="V16" s="46"/>
      <c r="W16" s="46"/>
      <c r="X16" s="46"/>
      <c r="Y16" s="46"/>
      <c r="Z16" s="46"/>
    </row>
    <row r="17" spans="1:26" ht="30" customHeight="1" x14ac:dyDescent="0.25">
      <c r="A17" s="46"/>
      <c r="B17" s="123" t="s">
        <v>162</v>
      </c>
      <c r="C17" s="123"/>
      <c r="D17" s="123"/>
      <c r="E17" s="123"/>
      <c r="F17" s="46"/>
      <c r="G17" s="46"/>
      <c r="H17" s="46"/>
      <c r="I17" s="46"/>
      <c r="J17" s="46"/>
      <c r="K17" s="46"/>
      <c r="L17" s="46"/>
      <c r="M17" s="46"/>
      <c r="N17" s="46"/>
      <c r="O17" s="46"/>
      <c r="P17" s="46"/>
      <c r="Q17" s="46"/>
      <c r="R17" s="46"/>
      <c r="S17" s="46"/>
      <c r="T17" s="46"/>
      <c r="U17" s="46"/>
      <c r="V17" s="46"/>
      <c r="W17" s="46"/>
      <c r="X17" s="46"/>
      <c r="Y17" s="46"/>
      <c r="Z17" s="46"/>
    </row>
    <row r="18" spans="1:26" x14ac:dyDescent="0.25">
      <c r="A18" s="46"/>
      <c r="B18" s="48" t="s">
        <v>163</v>
      </c>
      <c r="C18" s="52">
        <f>ROUND(1*(1000/1024)^3,2)</f>
        <v>0.93</v>
      </c>
      <c r="D18" s="51" t="s">
        <v>164</v>
      </c>
      <c r="E18" s="47" t="s">
        <v>165</v>
      </c>
      <c r="F18" s="46"/>
      <c r="G18" s="46"/>
      <c r="H18" s="46"/>
      <c r="I18" s="46"/>
      <c r="J18" s="46"/>
      <c r="K18" s="46"/>
      <c r="L18" s="46"/>
      <c r="M18" s="46"/>
      <c r="N18" s="46"/>
      <c r="O18" s="46"/>
      <c r="P18" s="46"/>
      <c r="Q18" s="46"/>
      <c r="R18" s="46"/>
      <c r="S18" s="46"/>
      <c r="T18" s="46"/>
      <c r="U18" s="46"/>
      <c r="V18" s="46"/>
      <c r="W18" s="46"/>
      <c r="X18" s="46"/>
      <c r="Y18" s="46"/>
      <c r="Z18" s="46"/>
    </row>
    <row r="19" spans="1:26" x14ac:dyDescent="0.25">
      <c r="A19" s="46"/>
      <c r="B19" s="48" t="s">
        <v>166</v>
      </c>
      <c r="C19" s="52">
        <f>ROUND(5*(1000/1024)^3,2)</f>
        <v>4.66</v>
      </c>
      <c r="D19" s="51" t="s">
        <v>164</v>
      </c>
      <c r="E19" s="47" t="s">
        <v>165</v>
      </c>
      <c r="F19" s="46"/>
      <c r="G19" s="46"/>
      <c r="H19" s="46"/>
      <c r="I19" s="46"/>
      <c r="J19" s="46"/>
      <c r="K19" s="46"/>
      <c r="L19" s="46"/>
      <c r="M19" s="46"/>
      <c r="N19" s="46"/>
      <c r="O19" s="46"/>
      <c r="P19" s="46"/>
      <c r="Q19" s="46"/>
      <c r="R19" s="46"/>
      <c r="S19" s="46"/>
      <c r="T19" s="46"/>
      <c r="U19" s="46"/>
      <c r="V19" s="46"/>
      <c r="W19" s="46"/>
      <c r="X19" s="46"/>
      <c r="Y19" s="46"/>
      <c r="Z19" s="46"/>
    </row>
    <row r="20" spans="1:26" x14ac:dyDescent="0.25">
      <c r="A20" s="46"/>
      <c r="B20" s="48" t="s">
        <v>167</v>
      </c>
      <c r="C20" s="52">
        <f>ROUND(10*(1000/1024)^3,2)</f>
        <v>9.31</v>
      </c>
      <c r="D20" s="51" t="s">
        <v>164</v>
      </c>
      <c r="E20" s="47" t="s">
        <v>165</v>
      </c>
      <c r="F20" s="46"/>
      <c r="G20" s="46"/>
      <c r="H20" s="46"/>
      <c r="I20" s="46"/>
      <c r="J20" s="46"/>
      <c r="K20" s="46"/>
      <c r="L20" s="46"/>
      <c r="M20" s="46"/>
      <c r="N20" s="46"/>
      <c r="O20" s="46"/>
      <c r="P20" s="46"/>
      <c r="Q20" s="46"/>
      <c r="R20" s="46"/>
      <c r="S20" s="46"/>
      <c r="T20" s="46"/>
      <c r="U20" s="46"/>
      <c r="V20" s="46"/>
      <c r="W20" s="46"/>
      <c r="X20" s="46"/>
      <c r="Y20" s="46"/>
      <c r="Z20" s="46"/>
    </row>
    <row r="21" spans="1:26" x14ac:dyDescent="0.25">
      <c r="A21" s="46"/>
      <c r="B21" s="48" t="s">
        <v>168</v>
      </c>
      <c r="C21" s="52">
        <f>ROUND(25*(1000/1024)^3,2)</f>
        <v>23.28</v>
      </c>
      <c r="D21" s="51" t="s">
        <v>164</v>
      </c>
      <c r="E21" s="47" t="s">
        <v>165</v>
      </c>
      <c r="F21" s="46"/>
      <c r="G21" s="46"/>
      <c r="H21" s="46"/>
      <c r="I21" s="46"/>
      <c r="J21" s="46"/>
      <c r="K21" s="46"/>
      <c r="L21" s="46"/>
      <c r="M21" s="46"/>
      <c r="N21" s="46"/>
      <c r="O21" s="46"/>
      <c r="P21" s="46"/>
      <c r="Q21" s="46"/>
      <c r="R21" s="46"/>
      <c r="S21" s="46"/>
      <c r="T21" s="46"/>
      <c r="U21" s="46"/>
      <c r="V21" s="46"/>
      <c r="W21" s="46"/>
      <c r="X21" s="46"/>
      <c r="Y21" s="46"/>
      <c r="Z21" s="46"/>
    </row>
    <row r="22" spans="1:26" x14ac:dyDescent="0.25">
      <c r="A22" s="46"/>
      <c r="B22" s="48" t="s">
        <v>169</v>
      </c>
      <c r="C22" s="52">
        <f>ROUND(50*(1000/1024)^3,2)</f>
        <v>46.57</v>
      </c>
      <c r="D22" s="51" t="s">
        <v>164</v>
      </c>
      <c r="E22" s="47" t="s">
        <v>165</v>
      </c>
      <c r="F22" s="46"/>
      <c r="G22" s="46"/>
      <c r="H22" s="46"/>
      <c r="I22" s="46"/>
      <c r="J22" s="46"/>
      <c r="K22" s="46"/>
      <c r="L22" s="46"/>
      <c r="M22" s="46"/>
      <c r="N22" s="46"/>
      <c r="O22" s="46"/>
      <c r="P22" s="46"/>
      <c r="Q22" s="46"/>
      <c r="R22" s="46"/>
      <c r="S22" s="46"/>
      <c r="T22" s="46"/>
      <c r="U22" s="46"/>
      <c r="V22" s="46"/>
      <c r="W22" s="46"/>
      <c r="X22" s="46"/>
      <c r="Y22" s="46"/>
      <c r="Z22" s="46"/>
    </row>
    <row r="23" spans="1:26" x14ac:dyDescent="0.25">
      <c r="A23" s="46"/>
      <c r="B23" s="48" t="s">
        <v>170</v>
      </c>
      <c r="C23" s="52">
        <f>ROUND(100*(1000/1024)^3,2)</f>
        <v>93.13</v>
      </c>
      <c r="D23" s="51" t="s">
        <v>164</v>
      </c>
      <c r="E23" s="47" t="s">
        <v>165</v>
      </c>
      <c r="F23" s="46"/>
      <c r="G23" s="46"/>
      <c r="H23" s="46"/>
      <c r="I23" s="46"/>
      <c r="J23" s="46"/>
      <c r="K23" s="46"/>
      <c r="L23" s="46"/>
      <c r="M23" s="46"/>
      <c r="N23" s="46"/>
      <c r="O23" s="46"/>
      <c r="P23" s="46"/>
      <c r="Q23" s="46"/>
      <c r="R23" s="46"/>
      <c r="S23" s="46"/>
      <c r="T23" s="46"/>
      <c r="U23" s="46"/>
      <c r="V23" s="46"/>
      <c r="W23" s="46"/>
      <c r="X23" s="46"/>
      <c r="Y23" s="46"/>
      <c r="Z23" s="46"/>
    </row>
    <row r="24" spans="1:26" x14ac:dyDescent="0.25">
      <c r="A24" s="46"/>
      <c r="B24" s="46"/>
      <c r="C24" s="46"/>
      <c r="D24" s="46"/>
      <c r="E24" s="46"/>
      <c r="F24" s="46"/>
      <c r="G24" s="46"/>
      <c r="H24" s="46"/>
      <c r="I24" s="46"/>
      <c r="J24" s="46"/>
      <c r="K24" s="46"/>
      <c r="L24" s="46"/>
      <c r="M24" s="46"/>
      <c r="N24" s="46"/>
      <c r="O24" s="46"/>
      <c r="P24" s="46"/>
      <c r="Q24" s="46"/>
      <c r="R24" s="46"/>
      <c r="S24" s="46"/>
      <c r="T24" s="46"/>
      <c r="U24" s="46"/>
      <c r="V24" s="46"/>
      <c r="W24" s="46"/>
      <c r="X24" s="46"/>
      <c r="Y24" s="46"/>
      <c r="Z24" s="46"/>
    </row>
    <row r="25" spans="1:26" x14ac:dyDescent="0.25">
      <c r="A25" s="46"/>
      <c r="B25" s="518" t="s">
        <v>826</v>
      </c>
      <c r="C25" s="519"/>
      <c r="D25" s="519"/>
      <c r="E25" s="519"/>
      <c r="F25" s="46"/>
      <c r="G25" s="46"/>
      <c r="H25" s="46"/>
      <c r="I25" s="46"/>
      <c r="J25" s="46"/>
      <c r="K25" s="46"/>
      <c r="L25" s="46"/>
      <c r="M25" s="46"/>
      <c r="N25" s="46"/>
      <c r="O25" s="46"/>
      <c r="P25" s="46"/>
      <c r="Q25" s="46"/>
      <c r="R25" s="46"/>
      <c r="S25" s="46"/>
      <c r="T25" s="46"/>
      <c r="U25" s="46"/>
      <c r="V25" s="46"/>
      <c r="W25" s="46"/>
      <c r="X25" s="46"/>
      <c r="Y25" s="46"/>
      <c r="Z25" s="46"/>
    </row>
    <row r="26" spans="1:26" x14ac:dyDescent="0.25">
      <c r="A26" s="46"/>
      <c r="B26" s="520" t="s">
        <v>829</v>
      </c>
      <c r="C26" s="521"/>
      <c r="D26" s="521"/>
      <c r="E26" s="521"/>
      <c r="F26" s="46"/>
      <c r="G26" s="46"/>
      <c r="H26" s="46"/>
      <c r="I26" s="46"/>
      <c r="J26" s="46"/>
      <c r="K26" s="46"/>
      <c r="L26" s="46"/>
      <c r="M26" s="46"/>
      <c r="N26" s="46"/>
      <c r="O26" s="46"/>
      <c r="P26" s="46"/>
      <c r="Q26" s="46"/>
      <c r="R26" s="46"/>
      <c r="S26" s="46"/>
      <c r="T26" s="46"/>
      <c r="U26" s="46"/>
      <c r="V26" s="46"/>
      <c r="W26" s="46"/>
      <c r="X26" s="46"/>
      <c r="Y26" s="46"/>
      <c r="Z26" s="46"/>
    </row>
    <row r="27" spans="1:26" x14ac:dyDescent="0.25">
      <c r="A27" s="46"/>
      <c r="B27" s="46"/>
      <c r="C27" s="46"/>
      <c r="D27" s="46"/>
      <c r="E27" s="46"/>
      <c r="F27" s="46"/>
      <c r="G27" s="46"/>
      <c r="H27" s="46"/>
      <c r="I27" s="46"/>
      <c r="J27" s="46"/>
      <c r="K27" s="46"/>
      <c r="L27" s="46"/>
      <c r="M27" s="46"/>
      <c r="N27" s="46"/>
      <c r="O27" s="46"/>
      <c r="P27" s="46"/>
      <c r="Q27" s="46"/>
      <c r="R27" s="46"/>
      <c r="S27" s="46"/>
      <c r="T27" s="46"/>
      <c r="U27" s="46"/>
      <c r="V27" s="46"/>
      <c r="W27" s="46"/>
      <c r="X27" s="46"/>
      <c r="Y27" s="46"/>
      <c r="Z27" s="46"/>
    </row>
    <row r="28" spans="1:26" x14ac:dyDescent="0.25">
      <c r="A28" s="46"/>
      <c r="B28" s="522" t="s">
        <v>830</v>
      </c>
      <c r="C28" s="523"/>
      <c r="D28" s="134"/>
      <c r="E28" s="524" t="s">
        <v>827</v>
      </c>
      <c r="F28" s="46"/>
      <c r="G28" s="46"/>
      <c r="H28" s="46"/>
      <c r="I28" s="46"/>
      <c r="J28" s="46"/>
      <c r="K28" s="46"/>
      <c r="L28" s="46"/>
      <c r="M28" s="46"/>
      <c r="N28" s="46"/>
      <c r="O28" s="46"/>
      <c r="P28" s="46"/>
      <c r="Q28" s="46"/>
      <c r="R28" s="46"/>
      <c r="S28" s="46"/>
      <c r="T28" s="46"/>
      <c r="U28" s="46"/>
      <c r="V28" s="46"/>
      <c r="W28" s="46"/>
      <c r="X28" s="46"/>
      <c r="Y28" s="46"/>
      <c r="Z28" s="46"/>
    </row>
    <row r="29" spans="1:26" x14ac:dyDescent="0.25">
      <c r="A29" s="46"/>
      <c r="B29" s="46"/>
      <c r="C29" s="46"/>
      <c r="D29" s="46"/>
      <c r="E29" s="46"/>
      <c r="F29" s="46"/>
      <c r="G29" s="46"/>
      <c r="H29" s="46"/>
      <c r="I29" s="46"/>
      <c r="J29" s="46"/>
      <c r="K29" s="46"/>
      <c r="L29" s="46"/>
      <c r="M29" s="46"/>
      <c r="N29" s="46"/>
      <c r="O29" s="46"/>
      <c r="P29" s="46"/>
      <c r="Q29" s="46"/>
      <c r="R29" s="46"/>
      <c r="S29" s="46"/>
      <c r="T29" s="46"/>
      <c r="U29" s="46"/>
      <c r="V29" s="46"/>
      <c r="W29" s="46"/>
      <c r="X29" s="46"/>
      <c r="Y29" s="46"/>
      <c r="Z29" s="46"/>
    </row>
    <row r="30" spans="1:26" x14ac:dyDescent="0.25">
      <c r="A30" s="46"/>
      <c r="B30" s="146" t="s">
        <v>831</v>
      </c>
      <c r="C30" s="525" t="s">
        <v>832</v>
      </c>
      <c r="D30" s="525" t="s">
        <v>833</v>
      </c>
      <c r="E30" s="525" t="s">
        <v>834</v>
      </c>
      <c r="F30" s="46"/>
      <c r="G30" s="46"/>
      <c r="H30" s="46"/>
      <c r="I30" s="46"/>
      <c r="J30" s="46"/>
      <c r="K30" s="46"/>
      <c r="L30" s="46"/>
      <c r="M30" s="46"/>
      <c r="N30" s="46"/>
      <c r="O30" s="46"/>
      <c r="P30" s="46"/>
      <c r="Q30" s="46"/>
      <c r="R30" s="46"/>
      <c r="S30" s="46"/>
      <c r="T30" s="46"/>
      <c r="U30" s="46"/>
      <c r="V30" s="46"/>
      <c r="W30" s="46"/>
      <c r="X30" s="46"/>
      <c r="Y30" s="46"/>
      <c r="Z30" s="46"/>
    </row>
    <row r="31" spans="1:26" x14ac:dyDescent="0.25">
      <c r="A31" s="46"/>
      <c r="B31" s="526" t="s">
        <v>81</v>
      </c>
      <c r="C31" s="527">
        <f>'Hardware Inputs'!C16</f>
        <v>12</v>
      </c>
      <c r="D31" s="22"/>
      <c r="E31" s="283">
        <f t="shared" ref="E31:E39" si="0">IF(D31&lt;&gt;"",D31,C31)</f>
        <v>12</v>
      </c>
      <c r="F31" s="46"/>
      <c r="G31" s="46"/>
      <c r="H31" s="46"/>
      <c r="I31" s="46"/>
      <c r="J31" s="46"/>
      <c r="K31" s="46"/>
      <c r="L31" s="46"/>
      <c r="M31" s="46"/>
      <c r="N31" s="46"/>
      <c r="O31" s="46"/>
      <c r="P31" s="46"/>
      <c r="Q31" s="46"/>
      <c r="R31" s="46"/>
      <c r="S31" s="46"/>
      <c r="T31" s="46"/>
      <c r="U31" s="46"/>
      <c r="V31" s="46"/>
      <c r="W31" s="46"/>
      <c r="X31" s="46"/>
      <c r="Y31" s="46"/>
      <c r="Z31" s="46"/>
    </row>
    <row r="32" spans="1:26" x14ac:dyDescent="0.25">
      <c r="A32" s="46"/>
      <c r="B32" s="528" t="s">
        <v>835</v>
      </c>
      <c r="C32" s="527">
        <f>'Hardware Inputs'!C18</f>
        <v>46.08</v>
      </c>
      <c r="D32" s="22"/>
      <c r="E32" s="283">
        <f t="shared" si="0"/>
        <v>46.08</v>
      </c>
      <c r="F32" s="46"/>
      <c r="G32" s="46"/>
      <c r="H32" s="46"/>
      <c r="I32" s="46"/>
      <c r="J32" s="46"/>
      <c r="K32" s="46"/>
      <c r="L32" s="46"/>
      <c r="M32" s="46"/>
      <c r="N32" s="46"/>
      <c r="O32" s="46"/>
      <c r="P32" s="46"/>
      <c r="Q32" s="46"/>
      <c r="R32" s="46"/>
      <c r="S32" s="46"/>
      <c r="T32" s="46"/>
      <c r="U32" s="46"/>
      <c r="V32" s="46"/>
      <c r="W32" s="46"/>
      <c r="X32" s="46"/>
      <c r="Y32" s="46"/>
      <c r="Z32" s="46"/>
    </row>
    <row r="33" spans="1:26" x14ac:dyDescent="0.25">
      <c r="A33" s="46"/>
      <c r="B33" s="529" t="s">
        <v>836</v>
      </c>
      <c r="C33" s="527">
        <f>'Hardware Inputs'!C20</f>
        <v>42.393599999999999</v>
      </c>
      <c r="D33" s="22"/>
      <c r="E33" s="283">
        <f t="shared" si="0"/>
        <v>42.393599999999999</v>
      </c>
      <c r="F33" s="46"/>
      <c r="G33" s="46"/>
      <c r="H33" s="46"/>
      <c r="I33" s="46"/>
      <c r="J33" s="46"/>
      <c r="K33" s="46"/>
      <c r="L33" s="46"/>
      <c r="M33" s="46"/>
      <c r="N33" s="46"/>
      <c r="O33" s="46"/>
      <c r="P33" s="46"/>
      <c r="Q33" s="46"/>
      <c r="R33" s="46"/>
      <c r="S33" s="46"/>
      <c r="T33" s="46"/>
      <c r="U33" s="46"/>
      <c r="V33" s="46"/>
      <c r="W33" s="46"/>
      <c r="X33" s="46"/>
      <c r="Y33" s="46"/>
      <c r="Z33" s="46"/>
    </row>
    <row r="34" spans="1:26" x14ac:dyDescent="0.25">
      <c r="A34" s="46"/>
      <c r="B34" s="529" t="s">
        <v>837</v>
      </c>
      <c r="C34" s="527">
        <f>'Hardware Inputs'!C21</f>
        <v>10.5984</v>
      </c>
      <c r="D34" s="22"/>
      <c r="E34" s="283">
        <f t="shared" si="0"/>
        <v>10.5984</v>
      </c>
      <c r="F34" s="46"/>
      <c r="G34" s="46"/>
      <c r="H34" s="46"/>
      <c r="I34" s="46"/>
      <c r="J34" s="46"/>
      <c r="K34" s="46"/>
      <c r="L34" s="46"/>
      <c r="M34" s="46"/>
      <c r="N34" s="46"/>
      <c r="O34" s="46"/>
      <c r="P34" s="46"/>
      <c r="Q34" s="46"/>
      <c r="R34" s="46"/>
      <c r="S34" s="46"/>
      <c r="T34" s="46"/>
      <c r="U34" s="46"/>
      <c r="V34" s="46"/>
      <c r="W34" s="46"/>
      <c r="X34" s="46"/>
      <c r="Y34" s="46"/>
      <c r="Z34" s="46"/>
    </row>
    <row r="35" spans="1:26" x14ac:dyDescent="0.25">
      <c r="A35" s="46"/>
      <c r="B35" s="529" t="s">
        <v>838</v>
      </c>
      <c r="C35" s="527">
        <f>'Hardware Inputs'!C24</f>
        <v>31.045200000000001</v>
      </c>
      <c r="D35" s="22"/>
      <c r="E35" s="283">
        <f t="shared" si="0"/>
        <v>31.045200000000001</v>
      </c>
      <c r="F35" s="46"/>
      <c r="G35" s="46"/>
      <c r="H35" s="46"/>
      <c r="I35" s="46"/>
      <c r="J35" s="46"/>
      <c r="K35" s="46"/>
      <c r="L35" s="46"/>
      <c r="M35" s="46"/>
      <c r="N35" s="46"/>
      <c r="O35" s="46"/>
      <c r="P35" s="46"/>
      <c r="Q35" s="46"/>
      <c r="R35" s="46"/>
      <c r="S35" s="46"/>
      <c r="T35" s="46"/>
      <c r="U35" s="46"/>
      <c r="V35" s="46"/>
      <c r="W35" s="46"/>
      <c r="X35" s="46"/>
      <c r="Y35" s="46"/>
      <c r="Z35" s="46"/>
    </row>
    <row r="36" spans="1:26" x14ac:dyDescent="0.25">
      <c r="A36" s="46"/>
      <c r="B36" s="529" t="s">
        <v>488</v>
      </c>
      <c r="C36" s="527">
        <f>'Hardware Inputs'!C37</f>
        <v>192</v>
      </c>
      <c r="D36" s="22"/>
      <c r="E36" s="283">
        <f t="shared" si="0"/>
        <v>192</v>
      </c>
      <c r="F36" s="46"/>
      <c r="G36" s="46"/>
      <c r="H36" s="46"/>
      <c r="I36" s="46"/>
      <c r="J36" s="46"/>
      <c r="K36" s="46"/>
      <c r="L36" s="46"/>
      <c r="M36" s="46"/>
      <c r="N36" s="46"/>
      <c r="O36" s="46"/>
      <c r="P36" s="46"/>
      <c r="Q36" s="46"/>
      <c r="R36" s="46"/>
      <c r="S36" s="46"/>
      <c r="T36" s="46"/>
      <c r="U36" s="46"/>
      <c r="V36" s="46"/>
      <c r="W36" s="46"/>
      <c r="X36" s="46"/>
      <c r="Y36" s="46"/>
      <c r="Z36" s="46"/>
    </row>
    <row r="37" spans="1:26" x14ac:dyDescent="0.25">
      <c r="A37" s="46"/>
      <c r="B37" s="529" t="s">
        <v>839</v>
      </c>
      <c r="C37" s="527">
        <f>'Hardware Inputs'!C38</f>
        <v>672</v>
      </c>
      <c r="D37" s="22"/>
      <c r="E37" s="283">
        <f t="shared" si="0"/>
        <v>672</v>
      </c>
      <c r="F37" s="46"/>
      <c r="G37" s="46"/>
      <c r="H37" s="46"/>
      <c r="I37" s="46"/>
      <c r="J37" s="46"/>
      <c r="K37" s="46"/>
      <c r="L37" s="46"/>
      <c r="M37" s="46"/>
      <c r="N37" s="46"/>
      <c r="O37" s="46"/>
      <c r="P37" s="46"/>
      <c r="Q37" s="46"/>
      <c r="R37" s="46"/>
      <c r="S37" s="46"/>
      <c r="T37" s="46"/>
      <c r="U37" s="46"/>
      <c r="V37" s="46"/>
      <c r="W37" s="46"/>
      <c r="X37" s="46"/>
      <c r="Y37" s="46"/>
      <c r="Z37" s="46"/>
    </row>
    <row r="38" spans="1:26" x14ac:dyDescent="0.25">
      <c r="A38" s="46"/>
      <c r="B38" s="529" t="s">
        <v>840</v>
      </c>
      <c r="C38" s="527">
        <f>'Hardware Inputs'!C39</f>
        <v>128</v>
      </c>
      <c r="D38" s="22"/>
      <c r="E38" s="283">
        <f t="shared" si="0"/>
        <v>128</v>
      </c>
      <c r="F38" s="46"/>
      <c r="G38" s="46"/>
      <c r="H38" s="46"/>
      <c r="I38" s="46"/>
      <c r="J38" s="46"/>
      <c r="K38" s="46"/>
      <c r="L38" s="46"/>
      <c r="M38" s="46"/>
      <c r="N38" s="46"/>
      <c r="O38" s="46"/>
      <c r="P38" s="46"/>
      <c r="Q38" s="46"/>
      <c r="R38" s="46"/>
      <c r="S38" s="46"/>
      <c r="T38" s="46"/>
      <c r="U38" s="46"/>
      <c r="V38" s="46"/>
      <c r="W38" s="46"/>
      <c r="X38" s="46"/>
      <c r="Y38" s="46"/>
      <c r="Z38" s="46"/>
    </row>
    <row r="39" spans="1:26" x14ac:dyDescent="0.25">
      <c r="A39" s="46"/>
      <c r="B39" s="529" t="s">
        <v>841</v>
      </c>
      <c r="C39" s="527">
        <f>'Hardware Inputs'!C40</f>
        <v>448</v>
      </c>
      <c r="D39" s="22"/>
      <c r="E39" s="283">
        <f t="shared" si="0"/>
        <v>448</v>
      </c>
      <c r="F39" s="46"/>
      <c r="G39" s="46"/>
      <c r="H39" s="46"/>
      <c r="I39" s="46"/>
      <c r="J39" s="46"/>
      <c r="K39" s="46"/>
      <c r="L39" s="46"/>
      <c r="M39" s="46"/>
      <c r="N39" s="46"/>
      <c r="O39" s="46"/>
      <c r="P39" s="46"/>
      <c r="Q39" s="46"/>
      <c r="R39" s="46"/>
      <c r="S39" s="46"/>
      <c r="T39" s="46"/>
      <c r="U39" s="46"/>
      <c r="V39" s="46"/>
      <c r="W39" s="46"/>
      <c r="X39" s="46"/>
      <c r="Y39" s="46"/>
      <c r="Z39" s="46"/>
    </row>
    <row r="40" spans="1:26" x14ac:dyDescent="0.25">
      <c r="A40" s="46"/>
      <c r="B40" s="46"/>
      <c r="C40" s="46"/>
      <c r="D40" s="46"/>
      <c r="E40" s="46"/>
      <c r="F40" s="46"/>
      <c r="G40" s="46"/>
      <c r="H40" s="46"/>
      <c r="I40" s="46"/>
      <c r="J40" s="46"/>
      <c r="K40" s="46"/>
      <c r="L40" s="46"/>
      <c r="M40" s="46"/>
      <c r="N40" s="46"/>
      <c r="O40" s="46"/>
      <c r="P40" s="46"/>
      <c r="Q40" s="46"/>
      <c r="R40" s="46"/>
      <c r="S40" s="46"/>
      <c r="T40" s="46"/>
      <c r="U40" s="46"/>
      <c r="V40" s="46"/>
      <c r="W40" s="46"/>
      <c r="X40" s="46"/>
      <c r="Y40" s="46"/>
      <c r="Z40" s="46"/>
    </row>
    <row r="41" spans="1:26" x14ac:dyDescent="0.25">
      <c r="A41" s="46"/>
      <c r="B41" s="530" t="s">
        <v>842</v>
      </c>
      <c r="C41" s="525" t="s">
        <v>832</v>
      </c>
      <c r="D41" s="525" t="s">
        <v>843</v>
      </c>
      <c r="E41" s="525" t="s">
        <v>834</v>
      </c>
      <c r="F41" s="46"/>
      <c r="G41" s="46"/>
      <c r="H41" s="46"/>
      <c r="I41" s="46"/>
      <c r="J41" s="46"/>
      <c r="K41" s="46"/>
      <c r="L41" s="46"/>
      <c r="M41" s="46"/>
      <c r="N41" s="46"/>
      <c r="O41" s="46"/>
      <c r="P41" s="46"/>
      <c r="Q41" s="46"/>
      <c r="R41" s="46"/>
      <c r="S41" s="46"/>
      <c r="T41" s="46"/>
      <c r="U41" s="46"/>
      <c r="V41" s="46"/>
      <c r="W41" s="46"/>
      <c r="X41" s="46"/>
      <c r="Y41" s="46"/>
      <c r="Z41" s="46"/>
    </row>
    <row r="42" spans="1:26" x14ac:dyDescent="0.25">
      <c r="A42" s="46"/>
      <c r="B42" s="529" t="s">
        <v>844</v>
      </c>
      <c r="C42" s="527">
        <f>'AVD Planning'!C13</f>
        <v>5.53</v>
      </c>
      <c r="D42" s="22"/>
      <c r="E42" s="283">
        <f t="shared" ref="E42:E51" si="1">IF(D42&lt;&gt;"",D42,C42)</f>
        <v>5.53</v>
      </c>
      <c r="F42" s="46"/>
      <c r="G42" s="46"/>
      <c r="H42" s="46"/>
      <c r="I42" s="46"/>
      <c r="J42" s="46"/>
      <c r="K42" s="46"/>
      <c r="L42" s="46"/>
      <c r="M42" s="46"/>
      <c r="N42" s="46"/>
      <c r="O42" s="46"/>
      <c r="P42" s="46"/>
      <c r="Q42" s="46"/>
      <c r="R42" s="46"/>
      <c r="S42" s="46"/>
      <c r="T42" s="46"/>
      <c r="U42" s="46"/>
      <c r="V42" s="46"/>
      <c r="W42" s="46"/>
      <c r="X42" s="46"/>
      <c r="Y42" s="46"/>
      <c r="Z42" s="46"/>
    </row>
    <row r="43" spans="1:26" x14ac:dyDescent="0.25">
      <c r="A43" s="46"/>
      <c r="B43" s="529" t="s">
        <v>845</v>
      </c>
      <c r="C43" s="527">
        <f>'AVD Planning'!C14</f>
        <v>11.06</v>
      </c>
      <c r="D43" s="22"/>
      <c r="E43" s="283">
        <f t="shared" si="1"/>
        <v>11.06</v>
      </c>
      <c r="F43" s="46"/>
      <c r="G43" s="46"/>
      <c r="H43" s="46"/>
      <c r="I43" s="46"/>
      <c r="J43" s="46"/>
      <c r="K43" s="46"/>
      <c r="L43" s="46"/>
      <c r="M43" s="46"/>
      <c r="N43" s="46"/>
      <c r="O43" s="46"/>
      <c r="P43" s="46"/>
      <c r="Q43" s="46"/>
      <c r="R43" s="46"/>
      <c r="S43" s="46"/>
      <c r="T43" s="46"/>
      <c r="U43" s="46"/>
      <c r="V43" s="46"/>
      <c r="W43" s="46"/>
      <c r="X43" s="46"/>
      <c r="Y43" s="46"/>
      <c r="Z43" s="46"/>
    </row>
    <row r="44" spans="1:26" x14ac:dyDescent="0.25">
      <c r="A44" s="46"/>
      <c r="B44" s="529" t="s">
        <v>846</v>
      </c>
      <c r="C44" s="527">
        <f>'AVD Planning'!C23</f>
        <v>8.25</v>
      </c>
      <c r="D44" s="22"/>
      <c r="E44" s="283">
        <f t="shared" si="1"/>
        <v>8.25</v>
      </c>
      <c r="F44" s="46"/>
      <c r="G44" s="46"/>
      <c r="H44" s="46"/>
      <c r="I44" s="46"/>
      <c r="J44" s="46"/>
      <c r="K44" s="46"/>
      <c r="L44" s="46"/>
      <c r="M44" s="46"/>
      <c r="N44" s="46"/>
      <c r="O44" s="46"/>
      <c r="P44" s="46"/>
      <c r="Q44" s="46"/>
      <c r="R44" s="46"/>
      <c r="S44" s="46"/>
      <c r="T44" s="46"/>
      <c r="U44" s="46"/>
      <c r="V44" s="46"/>
      <c r="W44" s="46"/>
      <c r="X44" s="46"/>
      <c r="Y44" s="46"/>
      <c r="Z44" s="46"/>
    </row>
    <row r="45" spans="1:26" x14ac:dyDescent="0.25">
      <c r="A45" s="46"/>
      <c r="B45" s="529" t="s">
        <v>847</v>
      </c>
      <c r="C45" s="527">
        <f>'AVD Planning'!C24</f>
        <v>24.75</v>
      </c>
      <c r="D45" s="22"/>
      <c r="E45" s="283">
        <f t="shared" si="1"/>
        <v>24.75</v>
      </c>
      <c r="F45" s="46"/>
      <c r="G45" s="46"/>
      <c r="H45" s="46"/>
      <c r="I45" s="46"/>
      <c r="J45" s="46"/>
      <c r="K45" s="46"/>
      <c r="L45" s="46"/>
      <c r="M45" s="46"/>
      <c r="N45" s="46"/>
      <c r="O45" s="46"/>
      <c r="P45" s="46"/>
      <c r="Q45" s="46"/>
      <c r="R45" s="46"/>
      <c r="S45" s="46"/>
      <c r="T45" s="46"/>
      <c r="U45" s="46"/>
      <c r="V45" s="46"/>
      <c r="W45" s="46"/>
      <c r="X45" s="46"/>
      <c r="Y45" s="46"/>
      <c r="Z45" s="46"/>
    </row>
    <row r="46" spans="1:26" x14ac:dyDescent="0.25">
      <c r="A46" s="46"/>
      <c r="B46" s="529" t="s">
        <v>848</v>
      </c>
      <c r="C46" s="527">
        <f>'AVD Planning'!C25</f>
        <v>35.81</v>
      </c>
      <c r="D46" s="22"/>
      <c r="E46" s="283">
        <f t="shared" si="1"/>
        <v>35.81</v>
      </c>
      <c r="F46" s="46"/>
      <c r="G46" s="46"/>
      <c r="H46" s="46"/>
      <c r="I46" s="46"/>
      <c r="J46" s="46"/>
      <c r="K46" s="46"/>
      <c r="L46" s="46"/>
      <c r="M46" s="46"/>
      <c r="N46" s="46"/>
      <c r="O46" s="46"/>
      <c r="P46" s="46"/>
      <c r="Q46" s="46"/>
      <c r="R46" s="46"/>
      <c r="S46" s="46"/>
      <c r="T46" s="46"/>
      <c r="U46" s="46"/>
      <c r="V46" s="46"/>
      <c r="W46" s="46"/>
      <c r="X46" s="46"/>
      <c r="Y46" s="46"/>
      <c r="Z46" s="46"/>
    </row>
    <row r="47" spans="1:26" x14ac:dyDescent="0.25">
      <c r="A47" s="46"/>
      <c r="B47" s="529" t="s">
        <v>506</v>
      </c>
      <c r="C47" s="527">
        <f>'AVD Planning'!C33</f>
        <v>4</v>
      </c>
      <c r="D47" s="22"/>
      <c r="E47" s="283">
        <f t="shared" si="1"/>
        <v>4</v>
      </c>
      <c r="F47" s="46"/>
      <c r="G47" s="46"/>
      <c r="H47" s="46"/>
      <c r="I47" s="46"/>
      <c r="J47" s="46"/>
      <c r="K47" s="46"/>
      <c r="L47" s="46"/>
      <c r="M47" s="46"/>
      <c r="N47" s="46"/>
      <c r="O47" s="46"/>
      <c r="P47" s="46"/>
      <c r="Q47" s="46"/>
      <c r="R47" s="46"/>
      <c r="S47" s="46"/>
      <c r="T47" s="46"/>
      <c r="U47" s="46"/>
      <c r="V47" s="46"/>
      <c r="W47" s="46"/>
      <c r="X47" s="46"/>
      <c r="Y47" s="46"/>
      <c r="Z47" s="46"/>
    </row>
    <row r="48" spans="1:26" x14ac:dyDescent="0.25">
      <c r="A48" s="46"/>
      <c r="B48" s="529" t="s">
        <v>820</v>
      </c>
      <c r="C48" s="527">
        <f>'AVD Planning'!C34</f>
        <v>75</v>
      </c>
      <c r="D48" s="22"/>
      <c r="E48" s="283">
        <f t="shared" si="1"/>
        <v>75</v>
      </c>
      <c r="F48" s="46"/>
      <c r="G48" s="46"/>
      <c r="H48" s="46"/>
      <c r="I48" s="46"/>
      <c r="J48" s="46"/>
      <c r="K48" s="46"/>
      <c r="L48" s="46"/>
      <c r="M48" s="46"/>
      <c r="N48" s="46"/>
      <c r="O48" s="46"/>
      <c r="P48" s="46"/>
      <c r="Q48" s="46"/>
      <c r="R48" s="46"/>
      <c r="S48" s="46"/>
      <c r="T48" s="46"/>
      <c r="U48" s="46"/>
      <c r="V48" s="46"/>
      <c r="W48" s="46"/>
      <c r="X48" s="46"/>
      <c r="Y48" s="46"/>
      <c r="Z48" s="46"/>
    </row>
    <row r="49" spans="1:26" x14ac:dyDescent="0.25">
      <c r="A49" s="46"/>
      <c r="B49" s="529" t="s">
        <v>512</v>
      </c>
      <c r="C49" s="527">
        <f>'AVD Planning'!C36</f>
        <v>256</v>
      </c>
      <c r="D49" s="22"/>
      <c r="E49" s="283">
        <f t="shared" si="1"/>
        <v>256</v>
      </c>
      <c r="F49" s="46"/>
      <c r="G49" s="46"/>
      <c r="H49" s="46"/>
      <c r="I49" s="46"/>
      <c r="J49" s="46"/>
      <c r="K49" s="46"/>
      <c r="L49" s="46"/>
      <c r="M49" s="46"/>
      <c r="N49" s="46"/>
      <c r="O49" s="46"/>
      <c r="P49" s="46"/>
      <c r="Q49" s="46"/>
      <c r="R49" s="46"/>
      <c r="S49" s="46"/>
      <c r="T49" s="46"/>
      <c r="U49" s="46"/>
      <c r="V49" s="46"/>
      <c r="W49" s="46"/>
      <c r="X49" s="46"/>
      <c r="Y49" s="46"/>
      <c r="Z49" s="46"/>
    </row>
    <row r="50" spans="1:26" x14ac:dyDescent="0.25">
      <c r="A50" s="46"/>
      <c r="B50" s="529" t="s">
        <v>627</v>
      </c>
      <c r="C50" s="527">
        <f>'AVD Planning'!C37</f>
        <v>1024</v>
      </c>
      <c r="D50" s="22"/>
      <c r="E50" s="283">
        <f t="shared" si="1"/>
        <v>1024</v>
      </c>
      <c r="F50" s="46"/>
      <c r="G50" s="46"/>
      <c r="H50" s="46"/>
      <c r="I50" s="46"/>
      <c r="J50" s="46"/>
      <c r="K50" s="46"/>
      <c r="L50" s="46"/>
      <c r="M50" s="46"/>
      <c r="N50" s="46"/>
      <c r="O50" s="46"/>
      <c r="P50" s="46"/>
      <c r="Q50" s="46"/>
      <c r="R50" s="46"/>
      <c r="S50" s="46"/>
      <c r="T50" s="46"/>
      <c r="U50" s="46"/>
      <c r="V50" s="46"/>
      <c r="W50" s="46"/>
      <c r="X50" s="46"/>
      <c r="Y50" s="46"/>
      <c r="Z50" s="46"/>
    </row>
    <row r="51" spans="1:26" x14ac:dyDescent="0.25">
      <c r="A51" s="46"/>
      <c r="B51" s="529" t="s">
        <v>628</v>
      </c>
      <c r="C51" s="527">
        <f>'AVD Planning'!C38</f>
        <v>64</v>
      </c>
      <c r="D51" s="22"/>
      <c r="E51" s="283">
        <f t="shared" si="1"/>
        <v>64</v>
      </c>
      <c r="F51" s="46"/>
      <c r="G51" s="46"/>
      <c r="H51" s="46"/>
      <c r="I51" s="46"/>
      <c r="J51" s="46"/>
      <c r="K51" s="46"/>
      <c r="L51" s="46"/>
      <c r="M51" s="46"/>
      <c r="N51" s="46"/>
      <c r="O51" s="46"/>
      <c r="P51" s="46"/>
      <c r="Q51" s="46"/>
      <c r="R51" s="46"/>
      <c r="S51" s="46"/>
      <c r="T51" s="46"/>
      <c r="U51" s="46"/>
      <c r="V51" s="46"/>
      <c r="W51" s="46"/>
      <c r="X51" s="46"/>
      <c r="Y51" s="46"/>
      <c r="Z51" s="46"/>
    </row>
    <row r="52" spans="1:26" x14ac:dyDescent="0.25">
      <c r="A52" s="46"/>
      <c r="B52" s="46"/>
      <c r="C52" s="46"/>
      <c r="D52" s="46"/>
      <c r="E52" s="46"/>
      <c r="F52" s="46"/>
      <c r="G52" s="46"/>
      <c r="H52" s="46"/>
      <c r="I52" s="46"/>
      <c r="J52" s="46"/>
      <c r="K52" s="46"/>
      <c r="L52" s="46"/>
      <c r="M52" s="46"/>
      <c r="N52" s="46"/>
      <c r="O52" s="46"/>
      <c r="P52" s="46"/>
      <c r="Q52" s="46"/>
      <c r="R52" s="46"/>
      <c r="S52" s="46"/>
      <c r="T52" s="46"/>
      <c r="U52" s="46"/>
      <c r="V52" s="46"/>
      <c r="W52" s="46"/>
      <c r="X52" s="46"/>
      <c r="Y52" s="46"/>
      <c r="Z52" s="46"/>
    </row>
    <row r="53" spans="1:26" x14ac:dyDescent="0.25">
      <c r="A53" s="46"/>
      <c r="B53" s="530" t="s">
        <v>868</v>
      </c>
      <c r="C53" s="525" t="s">
        <v>832</v>
      </c>
      <c r="D53" s="525" t="s">
        <v>843</v>
      </c>
      <c r="E53" s="525" t="s">
        <v>834</v>
      </c>
      <c r="F53" s="46"/>
      <c r="G53" s="46"/>
      <c r="H53" s="46"/>
      <c r="I53" s="46"/>
      <c r="J53" s="46"/>
      <c r="K53" s="46"/>
      <c r="L53" s="46"/>
      <c r="M53" s="46"/>
      <c r="N53" s="46"/>
      <c r="O53" s="46"/>
      <c r="P53" s="46"/>
      <c r="Q53" s="46"/>
      <c r="R53" s="46"/>
      <c r="S53" s="46"/>
      <c r="T53" s="46"/>
      <c r="U53" s="46"/>
      <c r="V53" s="46"/>
      <c r="W53" s="46"/>
      <c r="X53" s="46"/>
      <c r="Y53" s="46"/>
      <c r="Z53" s="46"/>
    </row>
    <row r="54" spans="1:26" x14ac:dyDescent="0.25">
      <c r="A54" s="46"/>
      <c r="B54" s="529" t="s">
        <v>869</v>
      </c>
      <c r="C54" s="531">
        <f>'Workload Planner'!C25</f>
        <v>35.81</v>
      </c>
      <c r="D54" s="533"/>
      <c r="E54" s="532">
        <f>IF(D54&lt;&gt;"",D54,C54)</f>
        <v>35.81</v>
      </c>
      <c r="F54" s="46"/>
      <c r="G54" s="46"/>
      <c r="H54" s="46"/>
      <c r="I54" s="46"/>
      <c r="J54" s="46"/>
      <c r="K54" s="46"/>
      <c r="L54" s="46"/>
      <c r="M54" s="46"/>
      <c r="N54" s="46"/>
      <c r="O54" s="46"/>
      <c r="P54" s="46"/>
      <c r="Q54" s="46"/>
      <c r="R54" s="46"/>
      <c r="S54" s="46"/>
      <c r="T54" s="46"/>
      <c r="U54" s="46"/>
      <c r="V54" s="46"/>
      <c r="W54" s="46"/>
      <c r="X54" s="46"/>
      <c r="Y54" s="46"/>
      <c r="Z54" s="46"/>
    </row>
    <row r="55" spans="1:26" x14ac:dyDescent="0.25">
      <c r="A55" s="46"/>
      <c r="B55" s="529" t="s">
        <v>870</v>
      </c>
      <c r="C55" s="531">
        <f>'Workload Planner'!C55</f>
        <v>0</v>
      </c>
      <c r="D55" s="533"/>
      <c r="E55" s="532">
        <f>IF(D55&lt;&gt;"",D55,C55)</f>
        <v>0</v>
      </c>
      <c r="F55" s="46"/>
      <c r="G55" s="46"/>
      <c r="H55" s="46"/>
      <c r="I55" s="46"/>
      <c r="J55" s="46"/>
      <c r="K55" s="46"/>
      <c r="L55" s="46"/>
      <c r="M55" s="46"/>
      <c r="N55" s="46"/>
      <c r="O55" s="46"/>
      <c r="P55" s="46"/>
      <c r="Q55" s="46"/>
      <c r="R55" s="46"/>
      <c r="S55" s="46"/>
      <c r="T55" s="46"/>
      <c r="U55" s="46"/>
      <c r="V55" s="46"/>
      <c r="W55" s="46"/>
      <c r="X55" s="46"/>
      <c r="Y55" s="46"/>
      <c r="Z55" s="46"/>
    </row>
    <row r="56" spans="1:26" x14ac:dyDescent="0.25">
      <c r="A56" s="46"/>
      <c r="B56" s="529" t="s">
        <v>871</v>
      </c>
      <c r="C56" s="531">
        <f>'Workload Planner'!C71</f>
        <v>0</v>
      </c>
      <c r="D56" s="533"/>
      <c r="E56" s="532">
        <f>IF(D56&lt;&gt;"",D56,C56)</f>
        <v>0</v>
      </c>
      <c r="F56" s="46"/>
      <c r="G56" s="46"/>
      <c r="H56" s="46"/>
      <c r="I56" s="46"/>
      <c r="J56" s="46"/>
      <c r="K56" s="46"/>
      <c r="L56" s="46"/>
      <c r="M56" s="46"/>
      <c r="N56" s="46"/>
      <c r="O56" s="46"/>
      <c r="P56" s="46"/>
      <c r="Q56" s="46"/>
      <c r="R56" s="46"/>
      <c r="S56" s="46"/>
      <c r="T56" s="46"/>
      <c r="U56" s="46"/>
      <c r="V56" s="46"/>
      <c r="W56" s="46"/>
      <c r="X56" s="46"/>
      <c r="Y56" s="46"/>
      <c r="Z56" s="46"/>
    </row>
    <row r="57" spans="1:26" x14ac:dyDescent="0.25">
      <c r="A57" s="46"/>
      <c r="B57" s="529" t="s">
        <v>872</v>
      </c>
      <c r="C57" s="531">
        <f>'Workload Planner'!C88</f>
        <v>0</v>
      </c>
      <c r="D57" s="533"/>
      <c r="E57" s="532">
        <f>IF(D57&lt;&gt;"",D57,C57)</f>
        <v>0</v>
      </c>
      <c r="F57" s="46"/>
      <c r="G57" s="46"/>
      <c r="H57" s="46"/>
      <c r="I57" s="46"/>
      <c r="J57" s="46"/>
      <c r="K57" s="46"/>
      <c r="L57" s="46"/>
      <c r="M57" s="46"/>
      <c r="N57" s="46"/>
      <c r="O57" s="46"/>
      <c r="P57" s="46"/>
      <c r="Q57" s="46"/>
      <c r="R57" s="46"/>
      <c r="S57" s="46"/>
      <c r="T57" s="46"/>
      <c r="U57" s="46"/>
      <c r="V57" s="46"/>
      <c r="W57" s="46"/>
      <c r="X57" s="46"/>
      <c r="Y57" s="46"/>
      <c r="Z57" s="46"/>
    </row>
    <row r="58" spans="1:26" x14ac:dyDescent="0.25">
      <c r="A58" s="46"/>
      <c r="B58" s="529" t="s">
        <v>873</v>
      </c>
      <c r="C58" s="531">
        <f>'Workload Planner'!C103</f>
        <v>0</v>
      </c>
      <c r="D58" s="533"/>
      <c r="E58" s="532">
        <f>IF(D58&lt;&gt;"",D58,C58)</f>
        <v>0</v>
      </c>
      <c r="F58" s="46"/>
      <c r="G58" s="46"/>
      <c r="H58" s="46"/>
      <c r="I58" s="46"/>
      <c r="J58" s="46"/>
      <c r="K58" s="46"/>
      <c r="L58" s="46"/>
      <c r="M58" s="46"/>
      <c r="N58" s="46"/>
      <c r="O58" s="46"/>
      <c r="P58" s="46"/>
      <c r="Q58" s="46"/>
      <c r="R58" s="46"/>
      <c r="S58" s="46"/>
      <c r="T58" s="46"/>
      <c r="U58" s="46"/>
      <c r="V58" s="46"/>
      <c r="W58" s="46"/>
      <c r="X58" s="46"/>
      <c r="Y58" s="46"/>
      <c r="Z58" s="46"/>
    </row>
    <row r="59" spans="1:26" x14ac:dyDescent="0.25">
      <c r="A59" s="46"/>
      <c r="B59" s="529" t="s">
        <v>874</v>
      </c>
      <c r="C59" s="531">
        <f>'Workload Planner'!C110</f>
        <v>0</v>
      </c>
      <c r="D59" s="533"/>
      <c r="E59" s="532">
        <f>IF(D59&lt;&gt;"",D59,C59)</f>
        <v>0</v>
      </c>
      <c r="F59" s="46"/>
      <c r="G59" s="46"/>
      <c r="H59" s="46"/>
      <c r="I59" s="46"/>
      <c r="J59" s="46"/>
      <c r="K59" s="46"/>
      <c r="L59" s="46"/>
      <c r="M59" s="46"/>
      <c r="N59" s="46"/>
      <c r="O59" s="46"/>
      <c r="P59" s="46"/>
      <c r="Q59" s="46"/>
      <c r="R59" s="46"/>
      <c r="S59" s="46"/>
      <c r="T59" s="46"/>
      <c r="U59" s="46"/>
      <c r="V59" s="46"/>
      <c r="W59" s="46"/>
      <c r="X59" s="46"/>
      <c r="Y59" s="46"/>
      <c r="Z59" s="46"/>
    </row>
    <row r="60" spans="1:26" x14ac:dyDescent="0.25">
      <c r="A60" s="46"/>
      <c r="B60" s="529" t="s">
        <v>875</v>
      </c>
      <c r="C60" s="531">
        <f>'Workload Planner'!C123</f>
        <v>49.5</v>
      </c>
      <c r="D60" s="533"/>
      <c r="E60" s="532">
        <f>IF(D60&lt;&gt;"",D60,C60)</f>
        <v>49.5</v>
      </c>
      <c r="F60" s="46"/>
      <c r="G60" s="46"/>
      <c r="H60" s="46"/>
      <c r="I60" s="46"/>
      <c r="J60" s="46"/>
      <c r="K60" s="46"/>
      <c r="L60" s="46"/>
      <c r="M60" s="46"/>
      <c r="N60" s="46"/>
      <c r="O60" s="46"/>
      <c r="P60" s="46"/>
      <c r="Q60" s="46"/>
      <c r="R60" s="46"/>
      <c r="S60" s="46"/>
      <c r="T60" s="46"/>
      <c r="U60" s="46"/>
      <c r="V60" s="46"/>
      <c r="W60" s="46"/>
      <c r="X60" s="46"/>
      <c r="Y60" s="46"/>
      <c r="Z60" s="46"/>
    </row>
    <row r="61" spans="1:26" x14ac:dyDescent="0.25">
      <c r="A61" s="46"/>
      <c r="B61" s="529" t="s">
        <v>876</v>
      </c>
      <c r="C61" s="531">
        <f>'Workload Planner'!C124</f>
        <v>85.31</v>
      </c>
      <c r="D61" s="533"/>
      <c r="E61" s="532">
        <f>IF(D61&lt;&gt;"",D61,C61)</f>
        <v>85.31</v>
      </c>
      <c r="F61" s="46"/>
      <c r="G61" s="46"/>
      <c r="H61" s="46"/>
      <c r="I61" s="46"/>
      <c r="J61" s="46"/>
      <c r="K61" s="46"/>
      <c r="L61" s="46"/>
      <c r="M61" s="46"/>
      <c r="N61" s="46"/>
      <c r="O61" s="46"/>
      <c r="P61" s="46"/>
      <c r="Q61" s="46"/>
      <c r="R61" s="46"/>
      <c r="S61" s="46"/>
      <c r="T61" s="46"/>
      <c r="U61" s="46"/>
      <c r="V61" s="46"/>
      <c r="W61" s="46"/>
      <c r="X61" s="46"/>
      <c r="Y61" s="46"/>
      <c r="Z61" s="46"/>
    </row>
    <row r="62" spans="1:26" x14ac:dyDescent="0.25">
      <c r="A62" s="46"/>
      <c r="B62" s="529" t="s">
        <v>877</v>
      </c>
      <c r="C62" s="531">
        <f>'Workload Planner'!C128</f>
        <v>-54.264800000000001</v>
      </c>
      <c r="D62" s="533"/>
      <c r="E62" s="532">
        <f>IF(D62&lt;&gt;"",D62,C62)</f>
        <v>-54.264800000000001</v>
      </c>
      <c r="F62" s="46"/>
      <c r="G62" s="46"/>
      <c r="H62" s="46"/>
      <c r="I62" s="46"/>
      <c r="J62" s="46"/>
      <c r="K62" s="46"/>
      <c r="L62" s="46"/>
      <c r="M62" s="46"/>
      <c r="N62" s="46"/>
      <c r="O62" s="46"/>
      <c r="P62" s="46"/>
      <c r="Q62" s="46"/>
      <c r="R62" s="46"/>
      <c r="S62" s="46"/>
      <c r="T62" s="46"/>
      <c r="U62" s="46"/>
      <c r="V62" s="46"/>
      <c r="W62" s="46"/>
      <c r="X62" s="46"/>
      <c r="Y62" s="46"/>
      <c r="Z62" s="46"/>
    </row>
    <row r="63" spans="1:26" x14ac:dyDescent="0.25">
      <c r="A63" s="46"/>
      <c r="B63" s="529" t="s">
        <v>878</v>
      </c>
      <c r="C63" s="531">
        <f>'Workload Planner'!C129</f>
        <v>2.7479288263564094</v>
      </c>
      <c r="D63" s="533"/>
      <c r="E63" s="532">
        <f>IF(D63&lt;&gt;"",D63,C63)</f>
        <v>2.7479288263564094</v>
      </c>
      <c r="F63" s="46"/>
      <c r="G63" s="46"/>
      <c r="H63" s="46"/>
      <c r="I63" s="46"/>
      <c r="J63" s="46"/>
      <c r="K63" s="46"/>
      <c r="L63" s="46"/>
      <c r="M63" s="46"/>
      <c r="N63" s="46"/>
      <c r="O63" s="46"/>
      <c r="P63" s="46"/>
      <c r="Q63" s="46"/>
      <c r="R63" s="46"/>
      <c r="S63" s="46"/>
      <c r="T63" s="46"/>
      <c r="U63" s="46"/>
      <c r="V63" s="46"/>
      <c r="W63" s="46"/>
      <c r="X63" s="46"/>
      <c r="Y63" s="46"/>
      <c r="Z63" s="46"/>
    </row>
    <row r="64" spans="1:26" x14ac:dyDescent="0.25">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row>
    <row r="65" spans="1:26" x14ac:dyDescent="0.25">
      <c r="A65" s="46"/>
      <c r="B65" s="530" t="s">
        <v>879</v>
      </c>
      <c r="C65" s="525" t="s">
        <v>832</v>
      </c>
      <c r="D65" s="525" t="s">
        <v>843</v>
      </c>
      <c r="E65" s="525" t="s">
        <v>834</v>
      </c>
      <c r="F65" s="46"/>
      <c r="G65" s="46"/>
      <c r="H65" s="46"/>
      <c r="I65" s="46"/>
      <c r="J65" s="46"/>
      <c r="K65" s="46"/>
      <c r="L65" s="46"/>
      <c r="M65" s="46"/>
      <c r="N65" s="46"/>
      <c r="O65" s="46"/>
      <c r="P65" s="46"/>
      <c r="Q65" s="46"/>
      <c r="R65" s="46"/>
      <c r="S65" s="46"/>
      <c r="T65" s="46"/>
      <c r="U65" s="46"/>
      <c r="V65" s="46"/>
      <c r="W65" s="46"/>
      <c r="X65" s="46"/>
      <c r="Y65" s="46"/>
      <c r="Z65" s="46"/>
    </row>
    <row r="66" spans="1:26" x14ac:dyDescent="0.25">
      <c r="A66" s="46"/>
      <c r="B66" s="529" t="s">
        <v>880</v>
      </c>
      <c r="C66" s="531">
        <f>'SOFS Planner'!C8</f>
        <v>9.24</v>
      </c>
      <c r="D66" s="533"/>
      <c r="E66" s="532">
        <f>IF(D66&lt;&gt;"",D66,C66)</f>
        <v>9.24</v>
      </c>
      <c r="F66" s="46"/>
      <c r="G66" s="46"/>
      <c r="H66" s="46"/>
      <c r="I66" s="46"/>
      <c r="J66" s="46"/>
      <c r="K66" s="46"/>
      <c r="L66" s="46"/>
      <c r="M66" s="46"/>
      <c r="N66" s="46"/>
      <c r="O66" s="46"/>
      <c r="P66" s="46"/>
      <c r="Q66" s="46"/>
      <c r="R66" s="46"/>
      <c r="S66" s="46"/>
      <c r="T66" s="46"/>
      <c r="U66" s="46"/>
      <c r="V66" s="46"/>
      <c r="W66" s="46"/>
      <c r="X66" s="46"/>
      <c r="Y66" s="46"/>
      <c r="Z66" s="46"/>
    </row>
    <row r="67" spans="1:26" x14ac:dyDescent="0.25">
      <c r="A67" s="46"/>
      <c r="B67" s="529" t="s">
        <v>881</v>
      </c>
      <c r="C67" s="531">
        <f>'SOFS Planner'!C15</f>
        <v>110.88</v>
      </c>
      <c r="D67" s="533"/>
      <c r="E67" s="532">
        <f>IF(D67&lt;&gt;"",D67,C67)</f>
        <v>110.88</v>
      </c>
      <c r="F67" s="46"/>
      <c r="G67" s="46"/>
      <c r="H67" s="46"/>
      <c r="I67" s="46"/>
      <c r="J67" s="46"/>
      <c r="K67" s="46"/>
      <c r="L67" s="46"/>
      <c r="M67" s="46"/>
      <c r="N67" s="46"/>
      <c r="O67" s="46"/>
      <c r="P67" s="46"/>
      <c r="Q67" s="46"/>
      <c r="R67" s="46"/>
      <c r="S67" s="46"/>
      <c r="T67" s="46"/>
      <c r="U67" s="46"/>
      <c r="V67" s="46"/>
      <c r="W67" s="46"/>
      <c r="X67" s="46"/>
      <c r="Y67" s="46"/>
      <c r="Z67" s="46"/>
    </row>
    <row r="68" spans="1:26" x14ac:dyDescent="0.25">
      <c r="A68" s="46"/>
      <c r="B68" s="529" t="s">
        <v>882</v>
      </c>
      <c r="C68" s="531">
        <f>'SOFS Planner'!C17</f>
        <v>34</v>
      </c>
      <c r="D68" s="533"/>
      <c r="E68" s="532">
        <f>IF(D68&lt;&gt;"",D68,C68)</f>
        <v>34</v>
      </c>
      <c r="F68" s="46"/>
      <c r="G68" s="46"/>
      <c r="H68" s="46"/>
      <c r="I68" s="46"/>
      <c r="J68" s="46"/>
      <c r="K68" s="46"/>
      <c r="L68" s="46"/>
      <c r="M68" s="46"/>
      <c r="N68" s="46"/>
      <c r="O68" s="46"/>
      <c r="P68" s="46"/>
      <c r="Q68" s="46"/>
      <c r="R68" s="46"/>
      <c r="S68" s="46"/>
      <c r="T68" s="46"/>
      <c r="U68" s="46"/>
      <c r="V68" s="46"/>
      <c r="W68" s="46"/>
      <c r="X68" s="46"/>
      <c r="Y68" s="46"/>
      <c r="Z68" s="46"/>
    </row>
    <row r="69" spans="1:26" x14ac:dyDescent="0.25">
      <c r="A69" s="46"/>
      <c r="B69" s="529" t="s">
        <v>883</v>
      </c>
      <c r="C69" s="531">
        <f>'SOFS Planner'!C19</f>
        <v>24.76</v>
      </c>
      <c r="D69" s="533"/>
      <c r="E69" s="532">
        <f>IF(D69&lt;&gt;"",D69,C69)</f>
        <v>24.76</v>
      </c>
      <c r="F69" s="46"/>
      <c r="G69" s="46"/>
      <c r="H69" s="46"/>
      <c r="I69" s="46"/>
      <c r="J69" s="46"/>
      <c r="K69" s="46"/>
      <c r="L69" s="46"/>
      <c r="M69" s="46"/>
      <c r="N69" s="46"/>
      <c r="O69" s="46"/>
      <c r="P69" s="46"/>
      <c r="Q69" s="46"/>
      <c r="R69" s="46"/>
      <c r="S69" s="46"/>
      <c r="T69" s="46"/>
      <c r="U69" s="46"/>
      <c r="V69" s="46"/>
      <c r="W69" s="46"/>
      <c r="X69" s="46"/>
      <c r="Y69" s="46"/>
      <c r="Z69" s="46"/>
    </row>
    <row r="70" spans="1:26" x14ac:dyDescent="0.25">
      <c r="A70" s="46"/>
      <c r="B70" s="529" t="s">
        <v>884</v>
      </c>
      <c r="C70" s="531">
        <f>'SOFS Planner'!C26</f>
        <v>8.25</v>
      </c>
      <c r="D70" s="533"/>
      <c r="E70" s="532">
        <f>IF(D70&lt;&gt;"",D70,C70)</f>
        <v>8.25</v>
      </c>
      <c r="F70" s="46"/>
      <c r="G70" s="46"/>
      <c r="H70" s="46"/>
      <c r="I70" s="46"/>
      <c r="J70" s="46"/>
      <c r="K70" s="46"/>
      <c r="L70" s="46"/>
      <c r="M70" s="46"/>
      <c r="N70" s="46"/>
      <c r="O70" s="46"/>
      <c r="P70" s="46"/>
      <c r="Q70" s="46"/>
      <c r="R70" s="46"/>
      <c r="S70" s="46"/>
      <c r="T70" s="46"/>
      <c r="U70" s="46"/>
      <c r="V70" s="46"/>
      <c r="W70" s="46"/>
      <c r="X70" s="46"/>
      <c r="Y70" s="46"/>
      <c r="Z70" s="46"/>
    </row>
    <row r="71" spans="1:26" x14ac:dyDescent="0.25">
      <c r="A71" s="46"/>
      <c r="B71" s="529" t="s">
        <v>885</v>
      </c>
      <c r="C71" s="531">
        <f>'SOFS Planner'!C27</f>
        <v>24.75</v>
      </c>
      <c r="D71" s="533"/>
      <c r="E71" s="532">
        <f>IF(D71&lt;&gt;"",D71,C71)</f>
        <v>24.75</v>
      </c>
      <c r="F71" s="46"/>
      <c r="G71" s="46"/>
      <c r="H71" s="46"/>
      <c r="I71" s="46"/>
      <c r="J71" s="46"/>
      <c r="K71" s="46"/>
      <c r="L71" s="46"/>
      <c r="M71" s="46"/>
      <c r="N71" s="46"/>
      <c r="O71" s="46"/>
      <c r="P71" s="46"/>
      <c r="Q71" s="46"/>
      <c r="R71" s="46"/>
      <c r="S71" s="46"/>
      <c r="T71" s="46"/>
      <c r="U71" s="46"/>
      <c r="V71" s="46"/>
      <c r="W71" s="46"/>
      <c r="X71" s="46"/>
      <c r="Y71" s="46"/>
      <c r="Z71" s="46"/>
    </row>
    <row r="72" spans="1:26" x14ac:dyDescent="0.25">
      <c r="A72" s="46"/>
      <c r="B72" s="529" t="s">
        <v>765</v>
      </c>
      <c r="C72" s="531">
        <f>'SOFS Planner'!C36</f>
        <v>3000</v>
      </c>
      <c r="D72" s="533"/>
      <c r="E72" s="532">
        <f>IF(D72&lt;&gt;"",D72,C72)</f>
        <v>3000</v>
      </c>
      <c r="F72" s="46"/>
      <c r="G72" s="46"/>
      <c r="H72" s="46"/>
      <c r="I72" s="46"/>
      <c r="J72" s="46"/>
      <c r="K72" s="46"/>
      <c r="L72" s="46"/>
      <c r="M72" s="46"/>
      <c r="N72" s="46"/>
      <c r="O72" s="46"/>
      <c r="P72" s="46"/>
      <c r="Q72" s="46"/>
      <c r="R72" s="46"/>
      <c r="S72" s="46"/>
      <c r="T72" s="46"/>
      <c r="U72" s="46"/>
      <c r="V72" s="46"/>
      <c r="W72" s="46"/>
      <c r="X72" s="46"/>
      <c r="Y72" s="46"/>
      <c r="Z72" s="46"/>
    </row>
    <row r="73" spans="1:26" x14ac:dyDescent="0.25">
      <c r="A73" s="46"/>
      <c r="B73" s="529" t="s">
        <v>766</v>
      </c>
      <c r="C73" s="531">
        <f>'SOFS Planner'!C37</f>
        <v>5400</v>
      </c>
      <c r="D73" s="533"/>
      <c r="E73" s="532">
        <f>IF(D73&lt;&gt;"",D73,C73)</f>
        <v>5400</v>
      </c>
      <c r="F73" s="46"/>
      <c r="G73" s="46"/>
      <c r="H73" s="46"/>
      <c r="I73" s="46"/>
      <c r="J73" s="46"/>
      <c r="K73" s="46"/>
      <c r="L73" s="46"/>
      <c r="M73" s="46"/>
      <c r="N73" s="46"/>
      <c r="O73" s="46"/>
      <c r="P73" s="46"/>
      <c r="Q73" s="46"/>
      <c r="R73" s="46"/>
      <c r="S73" s="46"/>
      <c r="T73" s="46"/>
      <c r="U73" s="46"/>
      <c r="V73" s="46"/>
      <c r="W73" s="46"/>
      <c r="X73" s="46"/>
      <c r="Y73" s="46"/>
      <c r="Z73" s="46"/>
    </row>
    <row r="74" spans="1:26" x14ac:dyDescent="0.25">
      <c r="A74" s="46"/>
      <c r="B74" s="46"/>
      <c r="C74" s="46"/>
      <c r="D74" s="46"/>
      <c r="E74" s="46"/>
      <c r="F74" s="46"/>
      <c r="G74" s="46"/>
      <c r="H74" s="46"/>
      <c r="I74" s="46"/>
      <c r="J74" s="46"/>
      <c r="K74" s="46"/>
      <c r="L74" s="46"/>
      <c r="M74" s="46"/>
      <c r="N74" s="46"/>
      <c r="O74" s="46"/>
      <c r="P74" s="46"/>
      <c r="Q74" s="46"/>
      <c r="R74" s="46"/>
      <c r="S74" s="46"/>
      <c r="T74" s="46"/>
      <c r="U74" s="46"/>
      <c r="V74" s="46"/>
      <c r="W74" s="46"/>
      <c r="X74" s="46"/>
      <c r="Y74" s="46"/>
      <c r="Z74" s="46"/>
    </row>
    <row r="75" spans="1:26" x14ac:dyDescent="0.25">
      <c r="A75" s="46"/>
      <c r="B75" s="46"/>
      <c r="C75" s="46"/>
      <c r="D75" s="46"/>
      <c r="E75" s="46"/>
      <c r="F75" s="46"/>
      <c r="G75" s="46"/>
      <c r="H75" s="46"/>
      <c r="I75" s="46"/>
      <c r="J75" s="46"/>
      <c r="K75" s="46"/>
      <c r="L75" s="46"/>
      <c r="M75" s="46"/>
      <c r="N75" s="46"/>
      <c r="O75" s="46"/>
      <c r="P75" s="46"/>
      <c r="Q75" s="46"/>
      <c r="R75" s="46"/>
      <c r="S75" s="46"/>
      <c r="T75" s="46"/>
      <c r="U75" s="46"/>
      <c r="V75" s="46"/>
      <c r="W75" s="46"/>
      <c r="X75" s="46"/>
      <c r="Y75" s="46"/>
      <c r="Z75" s="46"/>
    </row>
    <row r="76" spans="1:26" x14ac:dyDescent="0.25">
      <c r="A76" s="46"/>
      <c r="B76" s="46"/>
      <c r="C76" s="46"/>
      <c r="D76" s="46"/>
      <c r="E76" s="46"/>
      <c r="F76" s="46"/>
      <c r="G76" s="46"/>
      <c r="H76" s="46"/>
      <c r="I76" s="46"/>
      <c r="J76" s="46"/>
      <c r="K76" s="46"/>
      <c r="L76" s="46"/>
      <c r="M76" s="46"/>
      <c r="N76" s="46"/>
      <c r="O76" s="46"/>
      <c r="P76" s="46"/>
      <c r="Q76" s="46"/>
      <c r="R76" s="46"/>
      <c r="S76" s="46"/>
      <c r="T76" s="46"/>
      <c r="U76" s="46"/>
      <c r="V76" s="46"/>
      <c r="W76" s="46"/>
      <c r="X76" s="46"/>
      <c r="Y76" s="46"/>
      <c r="Z76" s="46"/>
    </row>
    <row r="77" spans="1:26" x14ac:dyDescent="0.25">
      <c r="A77" s="46"/>
      <c r="B77" s="46"/>
      <c r="C77" s="46"/>
      <c r="D77" s="46"/>
      <c r="E77" s="46"/>
      <c r="F77" s="46"/>
      <c r="G77" s="46"/>
      <c r="H77" s="46"/>
      <c r="I77" s="46"/>
      <c r="J77" s="46"/>
      <c r="K77" s="46"/>
      <c r="L77" s="46"/>
      <c r="M77" s="46"/>
      <c r="N77" s="46"/>
      <c r="O77" s="46"/>
      <c r="P77" s="46"/>
      <c r="Q77" s="46"/>
      <c r="R77" s="46"/>
      <c r="S77" s="46"/>
      <c r="T77" s="46"/>
      <c r="U77" s="46"/>
      <c r="V77" s="46"/>
      <c r="W77" s="46"/>
      <c r="X77" s="46"/>
      <c r="Y77" s="46"/>
      <c r="Z77" s="46"/>
    </row>
    <row r="78" spans="1:26" x14ac:dyDescent="0.25">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row>
    <row r="79" spans="1:26" x14ac:dyDescent="0.25">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row>
    <row r="80" spans="1:26" x14ac:dyDescent="0.25">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row>
    <row r="81" spans="1:26" x14ac:dyDescent="0.25">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row>
    <row r="82" spans="1:26" x14ac:dyDescent="0.25">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row>
    <row r="83" spans="1:26" x14ac:dyDescent="0.25">
      <c r="A83" s="46"/>
      <c r="B83" s="46"/>
      <c r="C83" s="46"/>
      <c r="D83" s="46"/>
      <c r="E83" s="46"/>
      <c r="F83" s="46"/>
      <c r="G83" s="46"/>
      <c r="H83" s="46"/>
      <c r="I83" s="46"/>
      <c r="J83" s="46"/>
      <c r="K83" s="46"/>
      <c r="L83" s="46"/>
      <c r="M83" s="46"/>
      <c r="N83" s="46"/>
      <c r="O83" s="46"/>
      <c r="P83" s="46"/>
      <c r="Q83" s="46"/>
      <c r="R83" s="46"/>
      <c r="S83" s="46"/>
      <c r="T83" s="46"/>
      <c r="U83" s="46"/>
      <c r="V83" s="46"/>
      <c r="W83" s="46"/>
      <c r="X83" s="46"/>
      <c r="Y83" s="46"/>
      <c r="Z83" s="46"/>
    </row>
    <row r="84" spans="1:26" x14ac:dyDescent="0.25">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row>
    <row r="85" spans="1:26" x14ac:dyDescent="0.25">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row>
    <row r="86" spans="1:26" x14ac:dyDescent="0.25">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row>
    <row r="87" spans="1:26" x14ac:dyDescent="0.25">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row>
    <row r="88" spans="1:26" x14ac:dyDescent="0.25">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row>
    <row r="89" spans="1:26" x14ac:dyDescent="0.25">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row>
    <row r="90" spans="1:26" x14ac:dyDescent="0.25">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row>
    <row r="91" spans="1:26" x14ac:dyDescent="0.25">
      <c r="A91" s="46"/>
      <c r="B91" s="46"/>
      <c r="C91" s="46"/>
      <c r="D91" s="46"/>
      <c r="E91" s="46"/>
      <c r="F91" s="46"/>
      <c r="G91" s="46"/>
      <c r="H91" s="46"/>
      <c r="I91" s="46"/>
      <c r="J91" s="46"/>
      <c r="K91" s="46"/>
      <c r="L91" s="46"/>
      <c r="M91" s="46"/>
      <c r="N91" s="46"/>
      <c r="O91" s="46"/>
      <c r="P91" s="46"/>
      <c r="Q91" s="46"/>
      <c r="R91" s="46"/>
      <c r="S91" s="46"/>
      <c r="T91" s="46"/>
      <c r="U91" s="46"/>
      <c r="V91" s="46"/>
      <c r="W91" s="46"/>
      <c r="X91" s="46"/>
      <c r="Y91" s="46"/>
      <c r="Z91" s="46"/>
    </row>
    <row r="92" spans="1:26" x14ac:dyDescent="0.25">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row>
    <row r="93" spans="1:26" x14ac:dyDescent="0.25">
      <c r="A93" s="46"/>
      <c r="B93" s="46"/>
      <c r="C93" s="46"/>
      <c r="D93" s="46"/>
      <c r="E93" s="46"/>
      <c r="F93" s="46"/>
      <c r="G93" s="46"/>
      <c r="H93" s="46"/>
      <c r="I93" s="46"/>
      <c r="J93" s="46"/>
      <c r="K93" s="46"/>
      <c r="L93" s="46"/>
      <c r="M93" s="46"/>
      <c r="N93" s="46"/>
      <c r="O93" s="46"/>
      <c r="P93" s="46"/>
      <c r="Q93" s="46"/>
      <c r="R93" s="46"/>
      <c r="S93" s="46"/>
      <c r="T93" s="46"/>
      <c r="U93" s="46"/>
      <c r="V93" s="46"/>
      <c r="W93" s="46"/>
      <c r="X93" s="46"/>
      <c r="Y93" s="46"/>
      <c r="Z93" s="46"/>
    </row>
    <row r="94" spans="1:26" x14ac:dyDescent="0.25">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row>
    <row r="95" spans="1:26" x14ac:dyDescent="0.25">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row>
    <row r="96" spans="1:26" x14ac:dyDescent="0.25">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row>
    <row r="97" spans="1:26" x14ac:dyDescent="0.25">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row>
    <row r="98" spans="1:26" x14ac:dyDescent="0.25">
      <c r="A98" s="46"/>
      <c r="B98" s="46"/>
      <c r="C98" s="46"/>
      <c r="D98" s="46"/>
      <c r="E98" s="46"/>
      <c r="F98" s="46"/>
      <c r="G98" s="46"/>
      <c r="H98" s="46"/>
      <c r="I98" s="46"/>
      <c r="J98" s="46"/>
      <c r="K98" s="46"/>
      <c r="L98" s="46"/>
      <c r="M98" s="46"/>
      <c r="N98" s="46"/>
      <c r="O98" s="46"/>
      <c r="P98" s="46"/>
      <c r="Q98" s="46"/>
      <c r="R98" s="46"/>
      <c r="S98" s="46"/>
      <c r="T98" s="46"/>
      <c r="U98" s="46"/>
      <c r="V98" s="46"/>
      <c r="W98" s="46"/>
      <c r="X98" s="46"/>
      <c r="Y98" s="46"/>
      <c r="Z98" s="46"/>
    </row>
    <row r="99" spans="1:26" x14ac:dyDescent="0.25">
      <c r="A99" s="46"/>
      <c r="B99" s="46"/>
      <c r="C99" s="46"/>
      <c r="D99" s="46"/>
      <c r="E99" s="46"/>
      <c r="F99" s="46"/>
      <c r="G99" s="46"/>
      <c r="H99" s="46"/>
      <c r="I99" s="46"/>
      <c r="J99" s="46"/>
      <c r="K99" s="46"/>
      <c r="L99" s="46"/>
      <c r="M99" s="46"/>
      <c r="N99" s="46"/>
      <c r="O99" s="46"/>
      <c r="P99" s="46"/>
      <c r="Q99" s="46"/>
      <c r="R99" s="46"/>
      <c r="S99" s="46"/>
      <c r="T99" s="46"/>
      <c r="U99" s="46"/>
      <c r="V99" s="46"/>
      <c r="W99" s="46"/>
      <c r="X99" s="46"/>
      <c r="Y99" s="46"/>
      <c r="Z99" s="46"/>
    </row>
    <row r="100" spans="1:26" x14ac:dyDescent="0.25">
      <c r="A100" s="46"/>
      <c r="B100" s="46"/>
      <c r="C100" s="46"/>
      <c r="D100" s="46"/>
      <c r="E100" s="46"/>
      <c r="F100" s="46"/>
      <c r="G100" s="46"/>
      <c r="H100" s="46"/>
      <c r="I100" s="46"/>
      <c r="J100" s="46"/>
      <c r="K100" s="46"/>
      <c r="L100" s="46"/>
      <c r="M100" s="46"/>
      <c r="N100" s="46"/>
      <c r="O100" s="46"/>
      <c r="P100" s="46"/>
      <c r="Q100" s="46"/>
      <c r="R100" s="46"/>
      <c r="S100" s="46"/>
      <c r="T100" s="46"/>
      <c r="U100" s="46"/>
      <c r="V100" s="46"/>
      <c r="W100" s="46"/>
      <c r="X100" s="46"/>
      <c r="Y100" s="46"/>
      <c r="Z100" s="46"/>
    </row>
    <row r="101" spans="1:26" x14ac:dyDescent="0.25">
      <c r="A101" s="46"/>
      <c r="B101" s="46"/>
      <c r="C101" s="46"/>
      <c r="D101" s="46"/>
      <c r="E101" s="46"/>
      <c r="F101" s="46"/>
      <c r="G101" s="46"/>
      <c r="H101" s="46"/>
      <c r="I101" s="46"/>
      <c r="J101" s="46"/>
      <c r="K101" s="46"/>
      <c r="L101" s="46"/>
      <c r="M101" s="46"/>
      <c r="N101" s="46"/>
      <c r="O101" s="46"/>
      <c r="P101" s="46"/>
      <c r="Q101" s="46"/>
      <c r="R101" s="46"/>
      <c r="S101" s="46"/>
      <c r="T101" s="46"/>
      <c r="U101" s="46"/>
      <c r="V101" s="46"/>
      <c r="W101" s="46"/>
      <c r="X101" s="46"/>
      <c r="Y101" s="46"/>
      <c r="Z101" s="46"/>
    </row>
    <row r="102" spans="1:26" x14ac:dyDescent="0.25">
      <c r="A102" s="46"/>
      <c r="B102" s="46"/>
      <c r="C102" s="46"/>
      <c r="D102" s="46"/>
      <c r="E102" s="46"/>
      <c r="F102" s="46"/>
      <c r="G102" s="46"/>
      <c r="H102" s="46"/>
      <c r="I102" s="46"/>
      <c r="J102" s="46"/>
      <c r="K102" s="46"/>
      <c r="L102" s="46"/>
      <c r="M102" s="46"/>
      <c r="N102" s="46"/>
      <c r="O102" s="46"/>
      <c r="P102" s="46"/>
      <c r="Q102" s="46"/>
      <c r="R102" s="46"/>
      <c r="S102" s="46"/>
      <c r="T102" s="46"/>
      <c r="U102" s="46"/>
      <c r="V102" s="46"/>
      <c r="W102" s="46"/>
      <c r="X102" s="46"/>
      <c r="Y102" s="46"/>
      <c r="Z102" s="46"/>
    </row>
    <row r="103" spans="1:26" x14ac:dyDescent="0.25">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row>
    <row r="104" spans="1:26" x14ac:dyDescent="0.25">
      <c r="A104" s="46"/>
      <c r="B104" s="46"/>
      <c r="C104" s="46"/>
      <c r="D104" s="46"/>
      <c r="E104" s="46"/>
      <c r="F104" s="46"/>
      <c r="G104" s="46"/>
      <c r="H104" s="46"/>
      <c r="I104" s="46"/>
      <c r="J104" s="46"/>
      <c r="K104" s="46"/>
      <c r="L104" s="46"/>
      <c r="M104" s="46"/>
      <c r="N104" s="46"/>
      <c r="O104" s="46"/>
      <c r="P104" s="46"/>
      <c r="Q104" s="46"/>
      <c r="R104" s="46"/>
      <c r="S104" s="46"/>
      <c r="T104" s="46"/>
      <c r="U104" s="46"/>
      <c r="V104" s="46"/>
      <c r="W104" s="46"/>
      <c r="X104" s="46"/>
      <c r="Y104" s="46"/>
      <c r="Z104" s="46"/>
    </row>
    <row r="105" spans="1:26" x14ac:dyDescent="0.25">
      <c r="A105" s="46"/>
      <c r="B105" s="46"/>
      <c r="C105" s="46"/>
      <c r="D105" s="46"/>
      <c r="E105" s="46"/>
      <c r="F105" s="46"/>
      <c r="G105" s="46"/>
      <c r="H105" s="46"/>
      <c r="I105" s="46"/>
      <c r="J105" s="46"/>
      <c r="K105" s="46"/>
      <c r="L105" s="46"/>
      <c r="M105" s="46"/>
      <c r="N105" s="46"/>
      <c r="O105" s="46"/>
      <c r="P105" s="46"/>
      <c r="Q105" s="46"/>
      <c r="R105" s="46"/>
      <c r="S105" s="46"/>
      <c r="T105" s="46"/>
      <c r="U105" s="46"/>
      <c r="V105" s="46"/>
      <c r="W105" s="46"/>
      <c r="X105" s="46"/>
      <c r="Y105" s="46"/>
      <c r="Z105" s="46"/>
    </row>
    <row r="106" spans="1:26" x14ac:dyDescent="0.25">
      <c r="A106" s="46"/>
      <c r="B106" s="46"/>
      <c r="C106" s="46"/>
      <c r="D106" s="46"/>
      <c r="E106" s="46"/>
      <c r="F106" s="46"/>
      <c r="G106" s="46"/>
      <c r="H106" s="46"/>
      <c r="I106" s="46"/>
      <c r="J106" s="46"/>
      <c r="K106" s="46"/>
      <c r="L106" s="46"/>
      <c r="M106" s="46"/>
      <c r="N106" s="46"/>
      <c r="O106" s="46"/>
      <c r="P106" s="46"/>
      <c r="Q106" s="46"/>
      <c r="R106" s="46"/>
      <c r="S106" s="46"/>
      <c r="T106" s="46"/>
      <c r="U106" s="46"/>
      <c r="V106" s="46"/>
      <c r="W106" s="46"/>
      <c r="X106" s="46"/>
      <c r="Y106" s="46"/>
      <c r="Z106" s="46"/>
    </row>
    <row r="107" spans="1:26" x14ac:dyDescent="0.25">
      <c r="A107" s="46"/>
      <c r="B107" s="46"/>
      <c r="C107" s="46"/>
      <c r="D107" s="46"/>
      <c r="E107" s="46"/>
      <c r="F107" s="46"/>
      <c r="G107" s="46"/>
      <c r="H107" s="46"/>
      <c r="I107" s="46"/>
      <c r="J107" s="46"/>
      <c r="K107" s="46"/>
      <c r="L107" s="46"/>
      <c r="M107" s="46"/>
      <c r="N107" s="46"/>
      <c r="O107" s="46"/>
      <c r="P107" s="46"/>
      <c r="Q107" s="46"/>
      <c r="R107" s="46"/>
      <c r="S107" s="46"/>
      <c r="T107" s="46"/>
      <c r="U107" s="46"/>
      <c r="V107" s="46"/>
      <c r="W107" s="46"/>
      <c r="X107" s="46"/>
      <c r="Y107" s="46"/>
      <c r="Z107" s="46"/>
    </row>
    <row r="108" spans="1:26" x14ac:dyDescent="0.25">
      <c r="A108" s="46"/>
      <c r="B108" s="46"/>
      <c r="C108" s="46"/>
      <c r="D108" s="46"/>
      <c r="E108" s="46"/>
      <c r="F108" s="46"/>
      <c r="G108" s="46"/>
      <c r="H108" s="46"/>
      <c r="I108" s="46"/>
      <c r="J108" s="46"/>
      <c r="K108" s="46"/>
      <c r="L108" s="46"/>
      <c r="M108" s="46"/>
      <c r="N108" s="46"/>
      <c r="O108" s="46"/>
      <c r="P108" s="46"/>
      <c r="Q108" s="46"/>
      <c r="R108" s="46"/>
      <c r="S108" s="46"/>
      <c r="T108" s="46"/>
      <c r="U108" s="46"/>
      <c r="V108" s="46"/>
      <c r="W108" s="46"/>
      <c r="X108" s="46"/>
      <c r="Y108" s="46"/>
      <c r="Z108" s="46"/>
    </row>
    <row r="109" spans="1:26" x14ac:dyDescent="0.25">
      <c r="A109" s="46"/>
      <c r="B109" s="46"/>
      <c r="C109" s="46"/>
      <c r="D109" s="46"/>
      <c r="E109" s="46"/>
      <c r="F109" s="46"/>
      <c r="G109" s="46"/>
      <c r="H109" s="46"/>
      <c r="I109" s="46"/>
      <c r="J109" s="46"/>
      <c r="K109" s="46"/>
      <c r="L109" s="46"/>
      <c r="M109" s="46"/>
      <c r="N109" s="46"/>
      <c r="O109" s="46"/>
      <c r="P109" s="46"/>
      <c r="Q109" s="46"/>
      <c r="R109" s="46"/>
      <c r="S109" s="46"/>
      <c r="T109" s="46"/>
      <c r="U109" s="46"/>
      <c r="V109" s="46"/>
      <c r="W109" s="46"/>
      <c r="X109" s="46"/>
      <c r="Y109" s="46"/>
      <c r="Z109" s="46"/>
    </row>
    <row r="110" spans="1:26" x14ac:dyDescent="0.25">
      <c r="A110" s="46"/>
      <c r="B110" s="46"/>
      <c r="C110" s="46"/>
      <c r="D110" s="46"/>
      <c r="E110" s="46"/>
      <c r="F110" s="46"/>
      <c r="G110" s="46"/>
      <c r="H110" s="46"/>
      <c r="I110" s="46"/>
      <c r="J110" s="46"/>
      <c r="K110" s="46"/>
      <c r="L110" s="46"/>
      <c r="M110" s="46"/>
      <c r="N110" s="46"/>
      <c r="O110" s="46"/>
      <c r="P110" s="46"/>
      <c r="Q110" s="46"/>
      <c r="R110" s="46"/>
      <c r="S110" s="46"/>
      <c r="T110" s="46"/>
      <c r="U110" s="46"/>
      <c r="V110" s="46"/>
      <c r="W110" s="46"/>
      <c r="X110" s="46"/>
      <c r="Y110" s="46"/>
      <c r="Z110" s="46"/>
    </row>
    <row r="111" spans="1:26" x14ac:dyDescent="0.25">
      <c r="A111" s="46"/>
      <c r="B111" s="46"/>
      <c r="C111" s="46"/>
      <c r="D111" s="46"/>
      <c r="E111" s="46"/>
      <c r="F111" s="46"/>
      <c r="G111" s="46"/>
      <c r="H111" s="46"/>
      <c r="I111" s="46"/>
      <c r="J111" s="46"/>
      <c r="K111" s="46"/>
      <c r="L111" s="46"/>
      <c r="M111" s="46"/>
      <c r="N111" s="46"/>
      <c r="O111" s="46"/>
      <c r="P111" s="46"/>
      <c r="Q111" s="46"/>
      <c r="R111" s="46"/>
      <c r="S111" s="46"/>
      <c r="T111" s="46"/>
      <c r="U111" s="46"/>
      <c r="V111" s="46"/>
      <c r="W111" s="46"/>
      <c r="X111" s="46"/>
      <c r="Y111" s="46"/>
      <c r="Z111" s="46"/>
    </row>
    <row r="112" spans="1:26" x14ac:dyDescent="0.25">
      <c r="A112" s="46"/>
      <c r="B112" s="46"/>
      <c r="C112" s="46"/>
      <c r="D112" s="46"/>
      <c r="E112" s="46"/>
      <c r="F112" s="46"/>
      <c r="G112" s="46"/>
      <c r="H112" s="46"/>
      <c r="I112" s="46"/>
      <c r="J112" s="46"/>
      <c r="K112" s="46"/>
      <c r="L112" s="46"/>
      <c r="M112" s="46"/>
      <c r="N112" s="46"/>
      <c r="O112" s="46"/>
      <c r="P112" s="46"/>
      <c r="Q112" s="46"/>
      <c r="R112" s="46"/>
      <c r="S112" s="46"/>
      <c r="T112" s="46"/>
      <c r="U112" s="46"/>
      <c r="V112" s="46"/>
      <c r="W112" s="46"/>
      <c r="X112" s="46"/>
      <c r="Y112" s="46"/>
      <c r="Z112" s="46"/>
    </row>
    <row r="113" spans="1:26" x14ac:dyDescent="0.25">
      <c r="A113" s="46"/>
      <c r="B113" s="46"/>
      <c r="C113" s="46"/>
      <c r="D113" s="46"/>
      <c r="E113" s="46"/>
      <c r="F113" s="46"/>
      <c r="G113" s="46"/>
      <c r="H113" s="46"/>
      <c r="I113" s="46"/>
      <c r="J113" s="46"/>
      <c r="K113" s="46"/>
      <c r="L113" s="46"/>
      <c r="M113" s="46"/>
      <c r="N113" s="46"/>
      <c r="O113" s="46"/>
      <c r="P113" s="46"/>
      <c r="Q113" s="46"/>
      <c r="R113" s="46"/>
      <c r="S113" s="46"/>
      <c r="T113" s="46"/>
      <c r="U113" s="46"/>
      <c r="V113" s="46"/>
      <c r="W113" s="46"/>
      <c r="X113" s="46"/>
      <c r="Y113" s="46"/>
      <c r="Z113" s="46"/>
    </row>
    <row r="114" spans="1:26" x14ac:dyDescent="0.25">
      <c r="A114" s="46"/>
      <c r="B114" s="46"/>
      <c r="C114" s="46"/>
      <c r="D114" s="46"/>
      <c r="E114" s="46"/>
      <c r="F114" s="46"/>
      <c r="G114" s="46"/>
      <c r="H114" s="46"/>
      <c r="I114" s="46"/>
      <c r="J114" s="46"/>
      <c r="K114" s="46"/>
      <c r="L114" s="46"/>
      <c r="M114" s="46"/>
      <c r="N114" s="46"/>
      <c r="O114" s="46"/>
      <c r="P114" s="46"/>
      <c r="Q114" s="46"/>
      <c r="R114" s="46"/>
      <c r="S114" s="46"/>
      <c r="T114" s="46"/>
      <c r="U114" s="46"/>
      <c r="V114" s="46"/>
      <c r="W114" s="46"/>
      <c r="X114" s="46"/>
      <c r="Y114" s="46"/>
      <c r="Z114" s="46"/>
    </row>
    <row r="115" spans="1:26" x14ac:dyDescent="0.25">
      <c r="A115" s="46"/>
      <c r="B115" s="46"/>
      <c r="C115" s="46"/>
      <c r="D115" s="46"/>
      <c r="E115" s="46"/>
      <c r="F115" s="46"/>
      <c r="G115" s="46"/>
      <c r="H115" s="46"/>
      <c r="I115" s="46"/>
      <c r="J115" s="46"/>
      <c r="K115" s="46"/>
      <c r="L115" s="46"/>
      <c r="M115" s="46"/>
      <c r="N115" s="46"/>
      <c r="O115" s="46"/>
      <c r="P115" s="46"/>
      <c r="Q115" s="46"/>
      <c r="R115" s="46"/>
      <c r="S115" s="46"/>
      <c r="T115" s="46"/>
      <c r="U115" s="46"/>
      <c r="V115" s="46"/>
      <c r="W115" s="46"/>
      <c r="X115" s="46"/>
      <c r="Y115" s="46"/>
      <c r="Z115" s="46"/>
    </row>
    <row r="116" spans="1:26" x14ac:dyDescent="0.25">
      <c r="A116" s="46"/>
      <c r="B116" s="46"/>
      <c r="C116" s="46"/>
      <c r="D116" s="46"/>
      <c r="E116" s="46"/>
      <c r="F116" s="46"/>
      <c r="G116" s="46"/>
      <c r="H116" s="46"/>
      <c r="I116" s="46"/>
      <c r="J116" s="46"/>
      <c r="K116" s="46"/>
      <c r="L116" s="46"/>
      <c r="M116" s="46"/>
      <c r="N116" s="46"/>
      <c r="O116" s="46"/>
      <c r="P116" s="46"/>
      <c r="Q116" s="46"/>
      <c r="R116" s="46"/>
      <c r="S116" s="46"/>
      <c r="T116" s="46"/>
      <c r="U116" s="46"/>
      <c r="V116" s="46"/>
      <c r="W116" s="46"/>
      <c r="X116" s="46"/>
      <c r="Y116" s="46"/>
      <c r="Z116" s="46"/>
    </row>
    <row r="117" spans="1:26" x14ac:dyDescent="0.25">
      <c r="A117" s="46"/>
      <c r="B117" s="46"/>
      <c r="C117" s="46"/>
      <c r="D117" s="46"/>
      <c r="E117" s="46"/>
      <c r="F117" s="46"/>
      <c r="G117" s="46"/>
      <c r="H117" s="46"/>
      <c r="I117" s="46"/>
      <c r="J117" s="46"/>
      <c r="K117" s="46"/>
      <c r="L117" s="46"/>
      <c r="M117" s="46"/>
      <c r="N117" s="46"/>
      <c r="O117" s="46"/>
      <c r="P117" s="46"/>
      <c r="Q117" s="46"/>
      <c r="R117" s="46"/>
      <c r="S117" s="46"/>
      <c r="T117" s="46"/>
      <c r="U117" s="46"/>
      <c r="V117" s="46"/>
      <c r="W117" s="46"/>
      <c r="X117" s="46"/>
      <c r="Y117" s="46"/>
      <c r="Z117" s="46"/>
    </row>
    <row r="118" spans="1:26" x14ac:dyDescent="0.25">
      <c r="A118" s="46"/>
      <c r="B118" s="46"/>
      <c r="C118" s="46"/>
      <c r="D118" s="46"/>
      <c r="E118" s="46"/>
      <c r="F118" s="46"/>
      <c r="G118" s="46"/>
      <c r="H118" s="46"/>
      <c r="I118" s="46"/>
      <c r="J118" s="46"/>
      <c r="K118" s="46"/>
      <c r="L118" s="46"/>
      <c r="M118" s="46"/>
      <c r="N118" s="46"/>
      <c r="O118" s="46"/>
      <c r="P118" s="46"/>
      <c r="Q118" s="46"/>
      <c r="R118" s="46"/>
      <c r="S118" s="46"/>
      <c r="T118" s="46"/>
      <c r="U118" s="46"/>
      <c r="V118" s="46"/>
      <c r="W118" s="46"/>
      <c r="X118" s="46"/>
      <c r="Y118" s="46"/>
      <c r="Z118" s="46"/>
    </row>
    <row r="119" spans="1:26" x14ac:dyDescent="0.25">
      <c r="A119" s="46"/>
      <c r="B119" s="46"/>
      <c r="C119" s="46"/>
      <c r="D119" s="46"/>
      <c r="E119" s="46"/>
      <c r="F119" s="46"/>
      <c r="G119" s="46"/>
      <c r="H119" s="46"/>
      <c r="I119" s="46"/>
      <c r="J119" s="46"/>
      <c r="K119" s="46"/>
      <c r="L119" s="46"/>
      <c r="M119" s="46"/>
      <c r="N119" s="46"/>
      <c r="O119" s="46"/>
      <c r="P119" s="46"/>
      <c r="Q119" s="46"/>
      <c r="R119" s="46"/>
      <c r="S119" s="46"/>
      <c r="T119" s="46"/>
      <c r="U119" s="46"/>
      <c r="V119" s="46"/>
      <c r="W119" s="46"/>
      <c r="X119" s="46"/>
      <c r="Y119" s="46"/>
      <c r="Z119" s="46"/>
    </row>
    <row r="120" spans="1:26" x14ac:dyDescent="0.25">
      <c r="A120" s="46"/>
      <c r="B120" s="46"/>
      <c r="C120" s="46"/>
      <c r="D120" s="46"/>
      <c r="E120" s="46"/>
      <c r="F120" s="46"/>
      <c r="G120" s="46"/>
      <c r="H120" s="46"/>
      <c r="I120" s="46"/>
      <c r="J120" s="46"/>
      <c r="K120" s="46"/>
      <c r="L120" s="46"/>
      <c r="M120" s="46"/>
      <c r="N120" s="46"/>
      <c r="O120" s="46"/>
      <c r="P120" s="46"/>
      <c r="Q120" s="46"/>
      <c r="R120" s="46"/>
      <c r="S120" s="46"/>
      <c r="T120" s="46"/>
      <c r="U120" s="46"/>
      <c r="V120" s="46"/>
      <c r="W120" s="46"/>
      <c r="X120" s="46"/>
      <c r="Y120" s="46"/>
      <c r="Z120" s="46"/>
    </row>
    <row r="121" spans="1:26" x14ac:dyDescent="0.25">
      <c r="A121" s="46"/>
      <c r="B121" s="46"/>
      <c r="C121" s="46"/>
      <c r="D121" s="46"/>
      <c r="E121" s="46"/>
      <c r="F121" s="46"/>
      <c r="G121" s="46"/>
      <c r="H121" s="46"/>
      <c r="I121" s="46"/>
      <c r="J121" s="46"/>
      <c r="K121" s="46"/>
      <c r="L121" s="46"/>
      <c r="M121" s="46"/>
      <c r="N121" s="46"/>
      <c r="O121" s="46"/>
      <c r="P121" s="46"/>
      <c r="Q121" s="46"/>
      <c r="R121" s="46"/>
      <c r="S121" s="46"/>
      <c r="T121" s="46"/>
      <c r="U121" s="46"/>
      <c r="V121" s="46"/>
      <c r="W121" s="46"/>
      <c r="X121" s="46"/>
      <c r="Y121" s="46"/>
      <c r="Z121" s="46"/>
    </row>
    <row r="122" spans="1:26" x14ac:dyDescent="0.25">
      <c r="A122" s="46"/>
      <c r="B122" s="46"/>
      <c r="C122" s="46"/>
      <c r="D122" s="46"/>
      <c r="E122" s="46"/>
      <c r="F122" s="46"/>
      <c r="G122" s="46"/>
      <c r="H122" s="46"/>
      <c r="I122" s="46"/>
      <c r="J122" s="46"/>
      <c r="K122" s="46"/>
      <c r="L122" s="46"/>
      <c r="M122" s="46"/>
      <c r="N122" s="46"/>
      <c r="O122" s="46"/>
      <c r="P122" s="46"/>
      <c r="Q122" s="46"/>
      <c r="R122" s="46"/>
      <c r="S122" s="46"/>
      <c r="T122" s="46"/>
      <c r="U122" s="46"/>
      <c r="V122" s="46"/>
      <c r="W122" s="46"/>
      <c r="X122" s="46"/>
      <c r="Y122" s="46"/>
      <c r="Z122" s="46"/>
    </row>
    <row r="123" spans="1:26" x14ac:dyDescent="0.25">
      <c r="A123" s="46"/>
      <c r="B123" s="46"/>
      <c r="C123" s="46"/>
      <c r="D123" s="46"/>
      <c r="E123" s="46"/>
      <c r="F123" s="46"/>
      <c r="G123" s="46"/>
      <c r="H123" s="46"/>
      <c r="I123" s="46"/>
      <c r="J123" s="46"/>
      <c r="K123" s="46"/>
      <c r="L123" s="46"/>
      <c r="M123" s="46"/>
      <c r="N123" s="46"/>
      <c r="O123" s="46"/>
      <c r="P123" s="46"/>
      <c r="Q123" s="46"/>
      <c r="R123" s="46"/>
      <c r="S123" s="46"/>
      <c r="T123" s="46"/>
      <c r="U123" s="46"/>
      <c r="V123" s="46"/>
      <c r="W123" s="46"/>
      <c r="X123" s="46"/>
      <c r="Y123" s="46"/>
      <c r="Z123" s="46"/>
    </row>
    <row r="124" spans="1:26" x14ac:dyDescent="0.25">
      <c r="A124" s="46"/>
      <c r="B124" s="46"/>
      <c r="C124" s="46"/>
      <c r="D124" s="46"/>
      <c r="E124" s="46"/>
      <c r="F124" s="46"/>
      <c r="G124" s="46"/>
      <c r="H124" s="46"/>
      <c r="I124" s="46"/>
      <c r="J124" s="46"/>
      <c r="K124" s="46"/>
      <c r="L124" s="46"/>
      <c r="M124" s="46"/>
      <c r="N124" s="46"/>
      <c r="O124" s="46"/>
      <c r="P124" s="46"/>
      <c r="Q124" s="46"/>
      <c r="R124" s="46"/>
      <c r="S124" s="46"/>
      <c r="T124" s="46"/>
      <c r="U124" s="46"/>
      <c r="V124" s="46"/>
      <c r="W124" s="46"/>
      <c r="X124" s="46"/>
      <c r="Y124" s="46"/>
      <c r="Z124" s="46"/>
    </row>
    <row r="125" spans="1:26" x14ac:dyDescent="0.25">
      <c r="A125" s="46"/>
      <c r="B125" s="46"/>
      <c r="C125" s="46"/>
      <c r="D125" s="46"/>
      <c r="E125" s="46"/>
      <c r="F125" s="46"/>
      <c r="G125" s="46"/>
      <c r="H125" s="46"/>
      <c r="I125" s="46"/>
      <c r="J125" s="46"/>
      <c r="K125" s="46"/>
      <c r="L125" s="46"/>
      <c r="M125" s="46"/>
      <c r="N125" s="46"/>
      <c r="O125" s="46"/>
      <c r="P125" s="46"/>
      <c r="Q125" s="46"/>
      <c r="R125" s="46"/>
      <c r="S125" s="46"/>
      <c r="T125" s="46"/>
      <c r="U125" s="46"/>
      <c r="V125" s="46"/>
      <c r="W125" s="46"/>
      <c r="X125" s="46"/>
      <c r="Y125" s="46"/>
      <c r="Z125" s="46"/>
    </row>
    <row r="126" spans="1:26" x14ac:dyDescent="0.25">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row>
    <row r="127" spans="1:26" x14ac:dyDescent="0.25">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row>
    <row r="128" spans="1:26" x14ac:dyDescent="0.25">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row>
    <row r="129" spans="1:26" x14ac:dyDescent="0.25">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row>
    <row r="130" spans="1:26" x14ac:dyDescent="0.25">
      <c r="A130" s="46"/>
      <c r="B130" s="46"/>
      <c r="C130" s="46"/>
      <c r="D130" s="46"/>
      <c r="E130" s="46"/>
      <c r="F130" s="46"/>
      <c r="G130" s="46"/>
      <c r="H130" s="46"/>
      <c r="I130" s="46"/>
      <c r="J130" s="46"/>
      <c r="K130" s="46"/>
      <c r="L130" s="46"/>
      <c r="M130" s="46"/>
      <c r="N130" s="46"/>
      <c r="O130" s="46"/>
      <c r="P130" s="46"/>
      <c r="Q130" s="46"/>
      <c r="R130" s="46"/>
      <c r="S130" s="46"/>
      <c r="T130" s="46"/>
      <c r="U130" s="46"/>
      <c r="V130" s="46"/>
      <c r="W130" s="46"/>
      <c r="X130" s="46"/>
      <c r="Y130" s="46"/>
      <c r="Z130" s="46"/>
    </row>
    <row r="131" spans="1:26" x14ac:dyDescent="0.25">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row>
    <row r="132" spans="1:26" x14ac:dyDescent="0.25">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row>
    <row r="133" spans="1:26" x14ac:dyDescent="0.25">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row>
    <row r="134" spans="1:26" x14ac:dyDescent="0.25">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row>
    <row r="135" spans="1:26" x14ac:dyDescent="0.25">
      <c r="A135" s="46"/>
      <c r="B135" s="46"/>
      <c r="C135" s="46"/>
      <c r="D135" s="46"/>
      <c r="E135" s="46"/>
      <c r="F135" s="46"/>
      <c r="G135" s="46"/>
      <c r="H135" s="46"/>
      <c r="I135" s="46"/>
      <c r="J135" s="46"/>
      <c r="K135" s="46"/>
      <c r="L135" s="46"/>
      <c r="M135" s="46"/>
      <c r="N135" s="46"/>
      <c r="O135" s="46"/>
      <c r="P135" s="46"/>
      <c r="Q135" s="46"/>
      <c r="R135" s="46"/>
      <c r="S135" s="46"/>
      <c r="T135" s="46"/>
      <c r="U135" s="46"/>
      <c r="V135" s="46"/>
      <c r="W135" s="46"/>
      <c r="X135" s="46"/>
      <c r="Y135" s="46"/>
      <c r="Z135" s="46"/>
    </row>
    <row r="136" spans="1:26" x14ac:dyDescent="0.25">
      <c r="A136" s="46"/>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row>
    <row r="137" spans="1:26" x14ac:dyDescent="0.25">
      <c r="A137" s="46"/>
      <c r="B137" s="46"/>
      <c r="C137" s="46"/>
      <c r="D137" s="46"/>
      <c r="E137" s="46"/>
      <c r="F137" s="46"/>
      <c r="G137" s="46"/>
      <c r="H137" s="46"/>
      <c r="I137" s="46"/>
      <c r="J137" s="46"/>
      <c r="K137" s="46"/>
      <c r="L137" s="46"/>
      <c r="M137" s="46"/>
      <c r="N137" s="46"/>
      <c r="O137" s="46"/>
      <c r="P137" s="46"/>
      <c r="Q137" s="46"/>
      <c r="R137" s="46"/>
      <c r="S137" s="46"/>
      <c r="T137" s="46"/>
      <c r="U137" s="46"/>
      <c r="V137" s="46"/>
      <c r="W137" s="46"/>
      <c r="X137" s="46"/>
      <c r="Y137" s="46"/>
      <c r="Z137" s="46"/>
    </row>
    <row r="138" spans="1:26" x14ac:dyDescent="0.25">
      <c r="A138" s="46"/>
      <c r="B138" s="46"/>
      <c r="C138" s="46"/>
      <c r="D138" s="46"/>
      <c r="E138" s="46"/>
      <c r="F138" s="46"/>
      <c r="G138" s="46"/>
      <c r="H138" s="46"/>
      <c r="I138" s="46"/>
      <c r="J138" s="46"/>
      <c r="K138" s="46"/>
      <c r="L138" s="46"/>
      <c r="M138" s="46"/>
      <c r="N138" s="46"/>
      <c r="O138" s="46"/>
      <c r="P138" s="46"/>
      <c r="Q138" s="46"/>
      <c r="R138" s="46"/>
      <c r="S138" s="46"/>
      <c r="T138" s="46"/>
      <c r="U138" s="46"/>
      <c r="V138" s="46"/>
      <c r="W138" s="46"/>
      <c r="X138" s="46"/>
      <c r="Y138" s="46"/>
      <c r="Z138" s="46"/>
    </row>
    <row r="139" spans="1:26" x14ac:dyDescent="0.25">
      <c r="A139" s="46"/>
      <c r="B139" s="46"/>
      <c r="C139" s="46"/>
      <c r="D139" s="46"/>
      <c r="E139" s="46"/>
      <c r="F139" s="46"/>
      <c r="G139" s="46"/>
      <c r="H139" s="46"/>
      <c r="I139" s="46"/>
      <c r="J139" s="46"/>
      <c r="K139" s="46"/>
      <c r="L139" s="46"/>
      <c r="M139" s="46"/>
      <c r="N139" s="46"/>
      <c r="O139" s="46"/>
      <c r="P139" s="46"/>
      <c r="Q139" s="46"/>
      <c r="R139" s="46"/>
      <c r="S139" s="46"/>
      <c r="T139" s="46"/>
      <c r="U139" s="46"/>
      <c r="V139" s="46"/>
      <c r="W139" s="46"/>
      <c r="X139" s="46"/>
      <c r="Y139" s="46"/>
      <c r="Z139" s="46"/>
    </row>
    <row r="140" spans="1:26" x14ac:dyDescent="0.25">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row>
    <row r="141" spans="1:26" x14ac:dyDescent="0.25">
      <c r="A141" s="46"/>
      <c r="B141" s="46"/>
      <c r="C141" s="46"/>
      <c r="D141" s="46"/>
      <c r="E141" s="46"/>
      <c r="F141" s="46"/>
      <c r="G141" s="46"/>
      <c r="H141" s="46"/>
      <c r="I141" s="46"/>
      <c r="J141" s="46"/>
      <c r="K141" s="46"/>
      <c r="L141" s="46"/>
      <c r="M141" s="46"/>
      <c r="N141" s="46"/>
      <c r="O141" s="46"/>
      <c r="P141" s="46"/>
      <c r="Q141" s="46"/>
      <c r="R141" s="46"/>
      <c r="S141" s="46"/>
      <c r="T141" s="46"/>
      <c r="U141" s="46"/>
      <c r="V141" s="46"/>
      <c r="W141" s="46"/>
      <c r="X141" s="46"/>
      <c r="Y141" s="46"/>
      <c r="Z141" s="46"/>
    </row>
    <row r="142" spans="1:26" x14ac:dyDescent="0.25">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row>
    <row r="143" spans="1:26" x14ac:dyDescent="0.25">
      <c r="A143" s="46"/>
      <c r="B143" s="46"/>
      <c r="C143" s="46"/>
      <c r="D143" s="46"/>
      <c r="E143" s="46"/>
      <c r="F143" s="46"/>
      <c r="G143" s="46"/>
      <c r="H143" s="46"/>
      <c r="I143" s="46"/>
      <c r="J143" s="46"/>
      <c r="K143" s="46"/>
      <c r="L143" s="46"/>
      <c r="M143" s="46"/>
      <c r="N143" s="46"/>
      <c r="O143" s="46"/>
      <c r="P143" s="46"/>
      <c r="Q143" s="46"/>
      <c r="R143" s="46"/>
      <c r="S143" s="46"/>
      <c r="T143" s="46"/>
      <c r="U143" s="46"/>
      <c r="V143" s="46"/>
      <c r="W143" s="46"/>
      <c r="X143" s="46"/>
      <c r="Y143" s="46"/>
      <c r="Z143" s="46"/>
    </row>
    <row r="144" spans="1:26" x14ac:dyDescent="0.25">
      <c r="A144" s="46"/>
      <c r="B144" s="46"/>
      <c r="C144" s="46"/>
      <c r="D144" s="46"/>
      <c r="E144" s="46"/>
      <c r="F144" s="46"/>
      <c r="G144" s="46"/>
      <c r="H144" s="46"/>
      <c r="I144" s="46"/>
      <c r="J144" s="46"/>
      <c r="K144" s="46"/>
      <c r="L144" s="46"/>
      <c r="M144" s="46"/>
      <c r="N144" s="46"/>
      <c r="O144" s="46"/>
      <c r="P144" s="46"/>
      <c r="Q144" s="46"/>
      <c r="R144" s="46"/>
      <c r="S144" s="46"/>
      <c r="T144" s="46"/>
      <c r="U144" s="46"/>
      <c r="V144" s="46"/>
      <c r="W144" s="46"/>
      <c r="X144" s="46"/>
      <c r="Y144" s="46"/>
      <c r="Z144" s="46"/>
    </row>
    <row r="145" spans="1:26" x14ac:dyDescent="0.25">
      <c r="A145" s="46"/>
      <c r="B145" s="46"/>
      <c r="C145" s="46"/>
      <c r="D145" s="46"/>
      <c r="E145" s="46"/>
      <c r="F145" s="46"/>
      <c r="G145" s="46"/>
      <c r="H145" s="46"/>
      <c r="I145" s="46"/>
      <c r="J145" s="46"/>
      <c r="K145" s="46"/>
      <c r="L145" s="46"/>
      <c r="M145" s="46"/>
      <c r="N145" s="46"/>
      <c r="O145" s="46"/>
      <c r="P145" s="46"/>
      <c r="Q145" s="46"/>
      <c r="R145" s="46"/>
      <c r="S145" s="46"/>
      <c r="T145" s="46"/>
      <c r="U145" s="46"/>
      <c r="V145" s="46"/>
      <c r="W145" s="46"/>
      <c r="X145" s="46"/>
      <c r="Y145" s="46"/>
      <c r="Z145" s="46"/>
    </row>
    <row r="146" spans="1:26" x14ac:dyDescent="0.25">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row>
    <row r="147" spans="1:26" x14ac:dyDescent="0.25">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row>
    <row r="148" spans="1:26" x14ac:dyDescent="0.25">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row>
    <row r="149" spans="1:26" x14ac:dyDescent="0.25">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row>
    <row r="150" spans="1:26" x14ac:dyDescent="0.25">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row>
    <row r="151" spans="1:26" x14ac:dyDescent="0.25">
      <c r="A151" s="46"/>
      <c r="B151" s="46"/>
      <c r="C151" s="46"/>
      <c r="D151" s="46"/>
      <c r="E151" s="46"/>
      <c r="F151" s="46"/>
      <c r="G151" s="46"/>
      <c r="H151" s="46"/>
      <c r="I151" s="46"/>
      <c r="J151" s="46"/>
      <c r="K151" s="46"/>
      <c r="L151" s="46"/>
      <c r="M151" s="46"/>
      <c r="N151" s="46"/>
      <c r="O151" s="46"/>
      <c r="P151" s="46"/>
      <c r="Q151" s="46"/>
      <c r="R151" s="46"/>
      <c r="S151" s="46"/>
      <c r="T151" s="46"/>
      <c r="U151" s="46"/>
      <c r="V151" s="46"/>
      <c r="W151" s="46"/>
      <c r="X151" s="46"/>
      <c r="Y151" s="46"/>
      <c r="Z151" s="46"/>
    </row>
    <row r="152" spans="1:26" x14ac:dyDescent="0.25">
      <c r="A152" s="46"/>
      <c r="B152" s="46"/>
      <c r="C152" s="46"/>
      <c r="D152" s="46"/>
      <c r="E152" s="46"/>
      <c r="F152" s="46"/>
      <c r="G152" s="46"/>
      <c r="H152" s="46"/>
      <c r="I152" s="46"/>
      <c r="J152" s="46"/>
      <c r="K152" s="46"/>
      <c r="L152" s="46"/>
      <c r="M152" s="46"/>
      <c r="N152" s="46"/>
      <c r="O152" s="46"/>
      <c r="P152" s="46"/>
      <c r="Q152" s="46"/>
      <c r="R152" s="46"/>
      <c r="S152" s="46"/>
      <c r="T152" s="46"/>
      <c r="U152" s="46"/>
      <c r="V152" s="46"/>
      <c r="W152" s="46"/>
      <c r="X152" s="46"/>
      <c r="Y152" s="46"/>
      <c r="Z152" s="46"/>
    </row>
    <row r="153" spans="1:26" x14ac:dyDescent="0.25">
      <c r="A153" s="46"/>
      <c r="B153" s="46"/>
      <c r="C153" s="46"/>
      <c r="D153" s="46"/>
      <c r="E153" s="46"/>
      <c r="F153" s="46"/>
      <c r="G153" s="46"/>
      <c r="H153" s="46"/>
      <c r="I153" s="46"/>
      <c r="J153" s="46"/>
      <c r="K153" s="46"/>
      <c r="L153" s="46"/>
      <c r="M153" s="46"/>
      <c r="N153" s="46"/>
      <c r="O153" s="46"/>
      <c r="P153" s="46"/>
      <c r="Q153" s="46"/>
      <c r="R153" s="46"/>
      <c r="S153" s="46"/>
      <c r="T153" s="46"/>
      <c r="U153" s="46"/>
      <c r="V153" s="46"/>
      <c r="W153" s="46"/>
      <c r="X153" s="46"/>
      <c r="Y153" s="46"/>
      <c r="Z153" s="46"/>
    </row>
    <row r="154" spans="1:26" x14ac:dyDescent="0.25">
      <c r="A154" s="46"/>
      <c r="B154" s="46"/>
      <c r="C154" s="46"/>
      <c r="D154" s="46"/>
      <c r="E154" s="46"/>
      <c r="F154" s="46"/>
      <c r="G154" s="46"/>
      <c r="H154" s="46"/>
      <c r="I154" s="46"/>
      <c r="J154" s="46"/>
      <c r="K154" s="46"/>
      <c r="L154" s="46"/>
      <c r="M154" s="46"/>
      <c r="N154" s="46"/>
      <c r="O154" s="46"/>
      <c r="P154" s="46"/>
      <c r="Q154" s="46"/>
      <c r="R154" s="46"/>
      <c r="S154" s="46"/>
      <c r="T154" s="46"/>
      <c r="U154" s="46"/>
      <c r="V154" s="46"/>
      <c r="W154" s="46"/>
      <c r="X154" s="46"/>
      <c r="Y154" s="46"/>
      <c r="Z154" s="46"/>
    </row>
    <row r="155" spans="1:26" x14ac:dyDescent="0.25">
      <c r="A155" s="46"/>
      <c r="B155" s="46"/>
      <c r="C155" s="46"/>
      <c r="D155" s="46"/>
      <c r="E155" s="46"/>
      <c r="F155" s="46"/>
      <c r="G155" s="46"/>
      <c r="H155" s="46"/>
      <c r="I155" s="46"/>
      <c r="J155" s="46"/>
      <c r="K155" s="46"/>
      <c r="L155" s="46"/>
      <c r="M155" s="46"/>
      <c r="N155" s="46"/>
      <c r="O155" s="46"/>
      <c r="P155" s="46"/>
      <c r="Q155" s="46"/>
      <c r="R155" s="46"/>
      <c r="S155" s="46"/>
      <c r="T155" s="46"/>
      <c r="U155" s="46"/>
      <c r="V155" s="46"/>
      <c r="W155" s="46"/>
      <c r="X155" s="46"/>
      <c r="Y155" s="46"/>
      <c r="Z155" s="46"/>
    </row>
    <row r="156" spans="1:26" x14ac:dyDescent="0.25">
      <c r="A156" s="46"/>
      <c r="B156" s="46"/>
      <c r="C156" s="46"/>
      <c r="D156" s="46"/>
      <c r="E156" s="46"/>
      <c r="F156" s="46"/>
      <c r="G156" s="46"/>
      <c r="H156" s="46"/>
      <c r="I156" s="46"/>
      <c r="J156" s="46"/>
      <c r="K156" s="46"/>
      <c r="L156" s="46"/>
      <c r="M156" s="46"/>
      <c r="N156" s="46"/>
      <c r="O156" s="46"/>
      <c r="P156" s="46"/>
      <c r="Q156" s="46"/>
      <c r="R156" s="46"/>
      <c r="S156" s="46"/>
      <c r="T156" s="46"/>
      <c r="U156" s="46"/>
      <c r="V156" s="46"/>
      <c r="W156" s="46"/>
      <c r="X156" s="46"/>
      <c r="Y156" s="46"/>
      <c r="Z156" s="46"/>
    </row>
    <row r="157" spans="1:26" x14ac:dyDescent="0.25">
      <c r="A157" s="46"/>
      <c r="B157" s="46"/>
      <c r="C157" s="46"/>
      <c r="D157" s="46"/>
      <c r="E157" s="46"/>
      <c r="F157" s="46"/>
      <c r="G157" s="46"/>
      <c r="H157" s="46"/>
      <c r="I157" s="46"/>
      <c r="J157" s="46"/>
      <c r="K157" s="46"/>
      <c r="L157" s="46"/>
      <c r="M157" s="46"/>
      <c r="N157" s="46"/>
      <c r="O157" s="46"/>
      <c r="P157" s="46"/>
      <c r="Q157" s="46"/>
      <c r="R157" s="46"/>
      <c r="S157" s="46"/>
      <c r="T157" s="46"/>
      <c r="U157" s="46"/>
      <c r="V157" s="46"/>
      <c r="W157" s="46"/>
      <c r="X157" s="46"/>
      <c r="Y157" s="46"/>
      <c r="Z157" s="46"/>
    </row>
    <row r="158" spans="1:26" x14ac:dyDescent="0.25">
      <c r="A158" s="46"/>
      <c r="B158" s="46"/>
      <c r="C158" s="46"/>
      <c r="D158" s="46"/>
      <c r="E158" s="46"/>
      <c r="F158" s="46"/>
      <c r="G158" s="46"/>
      <c r="H158" s="46"/>
      <c r="I158" s="46"/>
      <c r="J158" s="46"/>
      <c r="K158" s="46"/>
      <c r="L158" s="46"/>
      <c r="M158" s="46"/>
      <c r="N158" s="46"/>
      <c r="O158" s="46"/>
      <c r="P158" s="46"/>
      <c r="Q158" s="46"/>
      <c r="R158" s="46"/>
      <c r="S158" s="46"/>
      <c r="T158" s="46"/>
      <c r="U158" s="46"/>
      <c r="V158" s="46"/>
      <c r="W158" s="46"/>
      <c r="X158" s="46"/>
      <c r="Y158" s="46"/>
      <c r="Z158" s="46"/>
    </row>
    <row r="159" spans="1:26" x14ac:dyDescent="0.25">
      <c r="A159" s="46"/>
      <c r="B159" s="46"/>
      <c r="C159" s="46"/>
      <c r="D159" s="46"/>
      <c r="E159" s="46"/>
      <c r="F159" s="46"/>
      <c r="G159" s="46"/>
      <c r="H159" s="46"/>
      <c r="I159" s="46"/>
      <c r="J159" s="46"/>
      <c r="K159" s="46"/>
      <c r="L159" s="46"/>
      <c r="M159" s="46"/>
      <c r="N159" s="46"/>
      <c r="O159" s="46"/>
      <c r="P159" s="46"/>
      <c r="Q159" s="46"/>
      <c r="R159" s="46"/>
      <c r="S159" s="46"/>
      <c r="T159" s="46"/>
      <c r="U159" s="46"/>
      <c r="V159" s="46"/>
      <c r="W159" s="46"/>
      <c r="X159" s="46"/>
      <c r="Y159" s="46"/>
      <c r="Z159" s="46"/>
    </row>
    <row r="160" spans="1:26" x14ac:dyDescent="0.25">
      <c r="A160" s="46"/>
      <c r="B160" s="46"/>
      <c r="C160" s="46"/>
      <c r="D160" s="46"/>
      <c r="E160" s="46"/>
      <c r="F160" s="46"/>
      <c r="G160" s="46"/>
      <c r="H160" s="46"/>
      <c r="I160" s="46"/>
      <c r="J160" s="46"/>
      <c r="K160" s="46"/>
      <c r="L160" s="46"/>
      <c r="M160" s="46"/>
      <c r="N160" s="46"/>
      <c r="O160" s="46"/>
      <c r="P160" s="46"/>
      <c r="Q160" s="46"/>
      <c r="R160" s="46"/>
      <c r="S160" s="46"/>
      <c r="T160" s="46"/>
      <c r="U160" s="46"/>
      <c r="V160" s="46"/>
      <c r="W160" s="46"/>
      <c r="X160" s="46"/>
      <c r="Y160" s="46"/>
      <c r="Z160" s="46"/>
    </row>
    <row r="161" spans="1:26" x14ac:dyDescent="0.25">
      <c r="A161" s="46"/>
      <c r="B161" s="46"/>
      <c r="C161" s="46"/>
      <c r="D161" s="46"/>
      <c r="E161" s="46"/>
      <c r="F161" s="46"/>
      <c r="G161" s="46"/>
      <c r="H161" s="46"/>
      <c r="I161" s="46"/>
      <c r="J161" s="46"/>
      <c r="K161" s="46"/>
      <c r="L161" s="46"/>
      <c r="M161" s="46"/>
      <c r="N161" s="46"/>
      <c r="O161" s="46"/>
      <c r="P161" s="46"/>
      <c r="Q161" s="46"/>
      <c r="R161" s="46"/>
      <c r="S161" s="46"/>
      <c r="T161" s="46"/>
      <c r="U161" s="46"/>
      <c r="V161" s="46"/>
      <c r="W161" s="46"/>
      <c r="X161" s="46"/>
      <c r="Y161" s="46"/>
      <c r="Z161" s="46"/>
    </row>
    <row r="162" spans="1:26" x14ac:dyDescent="0.25">
      <c r="A162" s="46"/>
      <c r="B162" s="46"/>
      <c r="C162" s="46"/>
      <c r="D162" s="46"/>
      <c r="E162" s="46"/>
      <c r="F162" s="46"/>
      <c r="G162" s="46"/>
      <c r="H162" s="46"/>
      <c r="I162" s="46"/>
      <c r="J162" s="46"/>
      <c r="K162" s="46"/>
      <c r="L162" s="46"/>
      <c r="M162" s="46"/>
      <c r="N162" s="46"/>
      <c r="O162" s="46"/>
      <c r="P162" s="46"/>
      <c r="Q162" s="46"/>
      <c r="R162" s="46"/>
      <c r="S162" s="46"/>
      <c r="T162" s="46"/>
      <c r="U162" s="46"/>
      <c r="V162" s="46"/>
      <c r="W162" s="46"/>
      <c r="X162" s="46"/>
      <c r="Y162" s="46"/>
      <c r="Z162" s="46"/>
    </row>
    <row r="163" spans="1:26" x14ac:dyDescent="0.25">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row>
    <row r="164" spans="1:26" x14ac:dyDescent="0.25">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row>
    <row r="165" spans="1:26" x14ac:dyDescent="0.25">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row>
    <row r="166" spans="1:26" x14ac:dyDescent="0.25">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row>
    <row r="167" spans="1:26" x14ac:dyDescent="0.25">
      <c r="A167" s="46"/>
      <c r="B167" s="46"/>
      <c r="C167" s="46"/>
      <c r="D167" s="46"/>
      <c r="E167" s="46"/>
      <c r="F167" s="46"/>
      <c r="G167" s="46"/>
      <c r="H167" s="46"/>
      <c r="I167" s="46"/>
      <c r="J167" s="46"/>
      <c r="K167" s="46"/>
      <c r="L167" s="46"/>
      <c r="M167" s="46"/>
      <c r="N167" s="46"/>
      <c r="O167" s="46"/>
      <c r="P167" s="46"/>
      <c r="Q167" s="46"/>
      <c r="R167" s="46"/>
      <c r="S167" s="46"/>
      <c r="T167" s="46"/>
      <c r="U167" s="46"/>
      <c r="V167" s="46"/>
      <c r="W167" s="46"/>
      <c r="X167" s="46"/>
      <c r="Y167" s="46"/>
      <c r="Z167" s="46"/>
    </row>
    <row r="168" spans="1:26" x14ac:dyDescent="0.25">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row>
    <row r="169" spans="1:26" x14ac:dyDescent="0.25">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row>
    <row r="170" spans="1:26" x14ac:dyDescent="0.25">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row>
    <row r="171" spans="1:26" x14ac:dyDescent="0.25">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row>
    <row r="172" spans="1:26" x14ac:dyDescent="0.25">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row>
    <row r="173" spans="1:26" x14ac:dyDescent="0.25">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row>
    <row r="174" spans="1:26" x14ac:dyDescent="0.25">
      <c r="A174" s="46"/>
      <c r="B174" s="46"/>
      <c r="C174" s="46"/>
      <c r="D174" s="46"/>
      <c r="E174" s="46"/>
      <c r="F174" s="46"/>
      <c r="G174" s="46"/>
      <c r="H174" s="46"/>
      <c r="I174" s="46"/>
      <c r="J174" s="46"/>
      <c r="K174" s="46"/>
      <c r="L174" s="46"/>
      <c r="M174" s="46"/>
      <c r="N174" s="46"/>
      <c r="O174" s="46"/>
      <c r="P174" s="46"/>
      <c r="Q174" s="46"/>
      <c r="R174" s="46"/>
      <c r="S174" s="46"/>
      <c r="T174" s="46"/>
      <c r="U174" s="46"/>
      <c r="V174" s="46"/>
      <c r="W174" s="46"/>
      <c r="X174" s="46"/>
      <c r="Y174" s="46"/>
      <c r="Z174" s="46"/>
    </row>
    <row r="175" spans="1:26" x14ac:dyDescent="0.25">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row>
    <row r="176" spans="1:26" x14ac:dyDescent="0.25">
      <c r="A176" s="46"/>
      <c r="B176" s="46"/>
      <c r="C176" s="46"/>
      <c r="D176" s="46"/>
      <c r="E176" s="46"/>
      <c r="F176" s="46"/>
      <c r="G176" s="46"/>
      <c r="H176" s="46"/>
      <c r="I176" s="46"/>
      <c r="J176" s="46"/>
      <c r="K176" s="46"/>
      <c r="L176" s="46"/>
      <c r="M176" s="46"/>
      <c r="N176" s="46"/>
      <c r="O176" s="46"/>
      <c r="P176" s="46"/>
      <c r="Q176" s="46"/>
      <c r="R176" s="46"/>
      <c r="S176" s="46"/>
      <c r="T176" s="46"/>
      <c r="U176" s="46"/>
      <c r="V176" s="46"/>
      <c r="W176" s="46"/>
      <c r="X176" s="46"/>
      <c r="Y176" s="46"/>
      <c r="Z176" s="46"/>
    </row>
    <row r="177" spans="1:26" x14ac:dyDescent="0.25">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row>
    <row r="178" spans="1:26" x14ac:dyDescent="0.25">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row>
    <row r="179" spans="1:26" x14ac:dyDescent="0.25">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row>
    <row r="180" spans="1:26" x14ac:dyDescent="0.25">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row>
    <row r="181" spans="1:26" x14ac:dyDescent="0.25">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row>
    <row r="182" spans="1:26" x14ac:dyDescent="0.25">
      <c r="A182" s="46"/>
      <c r="B182" s="46"/>
      <c r="C182" s="46"/>
      <c r="D182" s="46"/>
      <c r="E182" s="46"/>
      <c r="F182" s="46"/>
      <c r="G182" s="46"/>
      <c r="H182" s="46"/>
      <c r="I182" s="46"/>
      <c r="J182" s="46"/>
      <c r="K182" s="46"/>
      <c r="L182" s="46"/>
      <c r="M182" s="46"/>
      <c r="N182" s="46"/>
      <c r="O182" s="46"/>
      <c r="P182" s="46"/>
      <c r="Q182" s="46"/>
      <c r="R182" s="46"/>
      <c r="S182" s="46"/>
      <c r="T182" s="46"/>
      <c r="U182" s="46"/>
      <c r="V182" s="46"/>
      <c r="W182" s="46"/>
      <c r="X182" s="46"/>
      <c r="Y182" s="46"/>
      <c r="Z182" s="46"/>
    </row>
    <row r="183" spans="1:26" x14ac:dyDescent="0.25">
      <c r="A183" s="46"/>
      <c r="B183" s="46"/>
      <c r="C183" s="46"/>
      <c r="D183" s="46"/>
      <c r="E183" s="46"/>
      <c r="F183" s="46"/>
      <c r="G183" s="46"/>
      <c r="H183" s="46"/>
      <c r="I183" s="46"/>
      <c r="J183" s="46"/>
      <c r="K183" s="46"/>
      <c r="L183" s="46"/>
      <c r="M183" s="46"/>
      <c r="N183" s="46"/>
      <c r="O183" s="46"/>
      <c r="P183" s="46"/>
      <c r="Q183" s="46"/>
      <c r="R183" s="46"/>
      <c r="S183" s="46"/>
      <c r="T183" s="46"/>
      <c r="U183" s="46"/>
      <c r="V183" s="46"/>
      <c r="W183" s="46"/>
      <c r="X183" s="46"/>
      <c r="Y183" s="46"/>
      <c r="Z183" s="46"/>
    </row>
    <row r="184" spans="1:26" x14ac:dyDescent="0.25">
      <c r="A184" s="46"/>
      <c r="B184" s="46"/>
      <c r="C184" s="46"/>
      <c r="D184" s="46"/>
      <c r="E184" s="46"/>
      <c r="F184" s="46"/>
      <c r="G184" s="46"/>
      <c r="H184" s="46"/>
      <c r="I184" s="46"/>
      <c r="J184" s="46"/>
      <c r="K184" s="46"/>
      <c r="L184" s="46"/>
      <c r="M184" s="46"/>
      <c r="N184" s="46"/>
      <c r="O184" s="46"/>
      <c r="P184" s="46"/>
      <c r="Q184" s="46"/>
      <c r="R184" s="46"/>
      <c r="S184" s="46"/>
      <c r="T184" s="46"/>
      <c r="U184" s="46"/>
      <c r="V184" s="46"/>
      <c r="W184" s="46"/>
      <c r="X184" s="46"/>
      <c r="Y184" s="46"/>
      <c r="Z184" s="46"/>
    </row>
    <row r="185" spans="1:26" x14ac:dyDescent="0.25">
      <c r="A185" s="46"/>
      <c r="B185" s="46"/>
      <c r="C185" s="46"/>
      <c r="D185" s="46"/>
      <c r="E185" s="46"/>
      <c r="F185" s="46"/>
      <c r="G185" s="46"/>
      <c r="H185" s="46"/>
      <c r="I185" s="46"/>
      <c r="J185" s="46"/>
      <c r="K185" s="46"/>
      <c r="L185" s="46"/>
      <c r="M185" s="46"/>
      <c r="N185" s="46"/>
      <c r="O185" s="46"/>
      <c r="P185" s="46"/>
      <c r="Q185" s="46"/>
      <c r="R185" s="46"/>
      <c r="S185" s="46"/>
      <c r="T185" s="46"/>
      <c r="U185" s="46"/>
      <c r="V185" s="46"/>
      <c r="W185" s="46"/>
      <c r="X185" s="46"/>
      <c r="Y185" s="46"/>
      <c r="Z185" s="46"/>
    </row>
    <row r="186" spans="1:26" x14ac:dyDescent="0.25">
      <c r="A186" s="46"/>
      <c r="B186" s="46"/>
      <c r="C186" s="46"/>
      <c r="D186" s="46"/>
      <c r="E186" s="46"/>
      <c r="F186" s="46"/>
      <c r="G186" s="46"/>
      <c r="H186" s="46"/>
      <c r="I186" s="46"/>
      <c r="J186" s="46"/>
      <c r="K186" s="46"/>
      <c r="L186" s="46"/>
      <c r="M186" s="46"/>
      <c r="N186" s="46"/>
      <c r="O186" s="46"/>
      <c r="P186" s="46"/>
      <c r="Q186" s="46"/>
      <c r="R186" s="46"/>
      <c r="S186" s="46"/>
      <c r="T186" s="46"/>
      <c r="U186" s="46"/>
      <c r="V186" s="46"/>
      <c r="W186" s="46"/>
      <c r="X186" s="46"/>
      <c r="Y186" s="46"/>
      <c r="Z186" s="46"/>
    </row>
    <row r="187" spans="1:26" x14ac:dyDescent="0.25">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row>
    <row r="188" spans="1:26" x14ac:dyDescent="0.25">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row>
    <row r="189" spans="1:26" x14ac:dyDescent="0.25">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row>
    <row r="190" spans="1:26" x14ac:dyDescent="0.25">
      <c r="A190" s="46"/>
      <c r="B190" s="46"/>
      <c r="C190" s="46"/>
      <c r="D190" s="46"/>
      <c r="E190" s="46"/>
      <c r="F190" s="46"/>
      <c r="G190" s="46"/>
      <c r="H190" s="46"/>
      <c r="I190" s="46"/>
      <c r="J190" s="46"/>
      <c r="K190" s="46"/>
      <c r="L190" s="46"/>
      <c r="M190" s="46"/>
      <c r="N190" s="46"/>
      <c r="O190" s="46"/>
      <c r="P190" s="46"/>
      <c r="Q190" s="46"/>
      <c r="R190" s="46"/>
      <c r="S190" s="46"/>
      <c r="T190" s="46"/>
      <c r="U190" s="46"/>
      <c r="V190" s="46"/>
      <c r="W190" s="46"/>
      <c r="X190" s="46"/>
      <c r="Y190" s="46"/>
      <c r="Z190" s="46"/>
    </row>
    <row r="191" spans="1:26" x14ac:dyDescent="0.25">
      <c r="A191" s="46"/>
      <c r="B191" s="46"/>
      <c r="C191" s="46"/>
      <c r="D191" s="46"/>
      <c r="E191" s="46"/>
      <c r="F191" s="46"/>
      <c r="G191" s="46"/>
      <c r="H191" s="46"/>
      <c r="I191" s="46"/>
      <c r="J191" s="46"/>
      <c r="K191" s="46"/>
      <c r="L191" s="46"/>
      <c r="M191" s="46"/>
      <c r="N191" s="46"/>
      <c r="O191" s="46"/>
      <c r="P191" s="46"/>
      <c r="Q191" s="46"/>
      <c r="R191" s="46"/>
      <c r="S191" s="46"/>
      <c r="T191" s="46"/>
      <c r="U191" s="46"/>
      <c r="V191" s="46"/>
      <c r="W191" s="46"/>
      <c r="X191" s="46"/>
      <c r="Y191" s="46"/>
      <c r="Z191" s="46"/>
    </row>
    <row r="192" spans="1:26" x14ac:dyDescent="0.25">
      <c r="A192" s="46"/>
      <c r="B192" s="46"/>
      <c r="C192" s="46"/>
      <c r="D192" s="46"/>
      <c r="E192" s="46"/>
      <c r="F192" s="46"/>
      <c r="G192" s="46"/>
      <c r="H192" s="46"/>
      <c r="I192" s="46"/>
      <c r="J192" s="46"/>
      <c r="K192" s="46"/>
      <c r="L192" s="46"/>
      <c r="M192" s="46"/>
      <c r="N192" s="46"/>
      <c r="O192" s="46"/>
      <c r="P192" s="46"/>
      <c r="Q192" s="46"/>
      <c r="R192" s="46"/>
      <c r="S192" s="46"/>
      <c r="T192" s="46"/>
      <c r="U192" s="46"/>
      <c r="V192" s="46"/>
      <c r="W192" s="46"/>
      <c r="X192" s="46"/>
      <c r="Y192" s="46"/>
      <c r="Z192" s="46"/>
    </row>
    <row r="193" spans="1:26" x14ac:dyDescent="0.25">
      <c r="A193" s="46"/>
      <c r="B193" s="46"/>
      <c r="C193" s="46"/>
      <c r="D193" s="46"/>
      <c r="E193" s="46"/>
      <c r="F193" s="46"/>
      <c r="G193" s="46"/>
      <c r="H193" s="46"/>
      <c r="I193" s="46"/>
      <c r="J193" s="46"/>
      <c r="K193" s="46"/>
      <c r="L193" s="46"/>
      <c r="M193" s="46"/>
      <c r="N193" s="46"/>
      <c r="O193" s="46"/>
      <c r="P193" s="46"/>
      <c r="Q193" s="46"/>
      <c r="R193" s="46"/>
      <c r="S193" s="46"/>
      <c r="T193" s="46"/>
      <c r="U193" s="46"/>
      <c r="V193" s="46"/>
      <c r="W193" s="46"/>
      <c r="X193" s="46"/>
      <c r="Y193" s="46"/>
      <c r="Z193" s="46"/>
    </row>
    <row r="194" spans="1:26" x14ac:dyDescent="0.25">
      <c r="A194" s="46"/>
      <c r="B194" s="46"/>
      <c r="C194" s="46"/>
      <c r="D194" s="46"/>
      <c r="E194" s="46"/>
      <c r="F194" s="46"/>
      <c r="G194" s="46"/>
      <c r="H194" s="46"/>
      <c r="I194" s="46"/>
      <c r="J194" s="46"/>
      <c r="K194" s="46"/>
      <c r="L194" s="46"/>
      <c r="M194" s="46"/>
      <c r="N194" s="46"/>
      <c r="O194" s="46"/>
      <c r="P194" s="46"/>
      <c r="Q194" s="46"/>
      <c r="R194" s="46"/>
      <c r="S194" s="46"/>
      <c r="T194" s="46"/>
      <c r="U194" s="46"/>
      <c r="V194" s="46"/>
      <c r="W194" s="46"/>
      <c r="X194" s="46"/>
      <c r="Y194" s="46"/>
      <c r="Z194" s="46"/>
    </row>
    <row r="195" spans="1:26" x14ac:dyDescent="0.25">
      <c r="A195" s="46"/>
      <c r="B195" s="46"/>
      <c r="C195" s="46"/>
      <c r="D195" s="46"/>
      <c r="E195" s="46"/>
      <c r="F195" s="46"/>
      <c r="G195" s="46"/>
      <c r="H195" s="46"/>
      <c r="I195" s="46"/>
      <c r="J195" s="46"/>
      <c r="K195" s="46"/>
      <c r="L195" s="46"/>
      <c r="M195" s="46"/>
      <c r="N195" s="46"/>
      <c r="O195" s="46"/>
      <c r="P195" s="46"/>
      <c r="Q195" s="46"/>
      <c r="R195" s="46"/>
      <c r="S195" s="46"/>
      <c r="T195" s="46"/>
      <c r="U195" s="46"/>
      <c r="V195" s="46"/>
      <c r="W195" s="46"/>
      <c r="X195" s="46"/>
      <c r="Y195" s="46"/>
      <c r="Z195" s="46"/>
    </row>
    <row r="196" spans="1:26" x14ac:dyDescent="0.25">
      <c r="A196" s="46"/>
      <c r="B196" s="46"/>
      <c r="C196" s="46"/>
      <c r="D196" s="46"/>
      <c r="E196" s="46"/>
      <c r="F196" s="46"/>
      <c r="G196" s="46"/>
      <c r="H196" s="46"/>
      <c r="I196" s="46"/>
      <c r="J196" s="46"/>
      <c r="K196" s="46"/>
      <c r="L196" s="46"/>
      <c r="M196" s="46"/>
      <c r="N196" s="46"/>
      <c r="O196" s="46"/>
      <c r="P196" s="46"/>
      <c r="Q196" s="46"/>
      <c r="R196" s="46"/>
      <c r="S196" s="46"/>
      <c r="T196" s="46"/>
      <c r="U196" s="46"/>
      <c r="V196" s="46"/>
      <c r="W196" s="46"/>
      <c r="X196" s="46"/>
      <c r="Y196" s="46"/>
      <c r="Z196" s="46"/>
    </row>
    <row r="197" spans="1:26" x14ac:dyDescent="0.25">
      <c r="A197" s="46"/>
      <c r="B197" s="46"/>
      <c r="C197" s="46"/>
      <c r="D197" s="46"/>
      <c r="E197" s="46"/>
      <c r="F197" s="46"/>
      <c r="G197" s="46"/>
      <c r="H197" s="46"/>
      <c r="I197" s="46"/>
      <c r="J197" s="46"/>
      <c r="K197" s="46"/>
      <c r="L197" s="46"/>
      <c r="M197" s="46"/>
      <c r="N197" s="46"/>
      <c r="O197" s="46"/>
      <c r="P197" s="46"/>
      <c r="Q197" s="46"/>
      <c r="R197" s="46"/>
      <c r="S197" s="46"/>
      <c r="T197" s="46"/>
      <c r="U197" s="46"/>
      <c r="V197" s="46"/>
      <c r="W197" s="46"/>
      <c r="X197" s="46"/>
      <c r="Y197" s="46"/>
      <c r="Z197" s="46"/>
    </row>
    <row r="198" spans="1:26" x14ac:dyDescent="0.25">
      <c r="A198" s="46"/>
      <c r="B198" s="46"/>
      <c r="C198" s="46"/>
      <c r="D198" s="46"/>
      <c r="E198" s="46"/>
      <c r="F198" s="46"/>
      <c r="G198" s="46"/>
      <c r="H198" s="46"/>
      <c r="I198" s="46"/>
      <c r="J198" s="46"/>
      <c r="K198" s="46"/>
      <c r="L198" s="46"/>
      <c r="M198" s="46"/>
      <c r="N198" s="46"/>
      <c r="O198" s="46"/>
      <c r="P198" s="46"/>
      <c r="Q198" s="46"/>
      <c r="R198" s="46"/>
      <c r="S198" s="46"/>
      <c r="T198" s="46"/>
      <c r="U198" s="46"/>
      <c r="V198" s="46"/>
      <c r="W198" s="46"/>
      <c r="X198" s="46"/>
      <c r="Y198" s="46"/>
      <c r="Z198" s="46"/>
    </row>
    <row r="199" spans="1:26" x14ac:dyDescent="0.25">
      <c r="A199" s="46"/>
      <c r="B199" s="46"/>
      <c r="C199" s="46"/>
      <c r="D199" s="46"/>
      <c r="E199" s="46"/>
      <c r="F199" s="46"/>
      <c r="G199" s="46"/>
      <c r="H199" s="46"/>
      <c r="I199" s="46"/>
      <c r="J199" s="46"/>
      <c r="K199" s="46"/>
      <c r="L199" s="46"/>
      <c r="M199" s="46"/>
      <c r="N199" s="46"/>
      <c r="O199" s="46"/>
      <c r="P199" s="46"/>
      <c r="Q199" s="46"/>
      <c r="R199" s="46"/>
      <c r="S199" s="46"/>
      <c r="T199" s="46"/>
      <c r="U199" s="46"/>
      <c r="V199" s="46"/>
      <c r="W199" s="46"/>
      <c r="X199" s="46"/>
      <c r="Y199" s="46"/>
      <c r="Z199" s="46"/>
    </row>
    <row r="200" spans="1:26" x14ac:dyDescent="0.25">
      <c r="A200" s="46"/>
      <c r="B200" s="46"/>
      <c r="C200" s="46"/>
      <c r="D200" s="46"/>
      <c r="E200" s="46"/>
      <c r="F200" s="46"/>
      <c r="G200" s="46"/>
      <c r="H200" s="46"/>
      <c r="I200" s="46"/>
      <c r="J200" s="46"/>
      <c r="K200" s="46"/>
      <c r="L200" s="46"/>
      <c r="M200" s="46"/>
      <c r="N200" s="46"/>
      <c r="O200" s="46"/>
      <c r="P200" s="46"/>
      <c r="Q200" s="46"/>
      <c r="R200" s="46"/>
      <c r="S200" s="46"/>
      <c r="T200" s="46"/>
      <c r="U200" s="46"/>
      <c r="V200" s="46"/>
      <c r="W200" s="46"/>
      <c r="X200" s="46"/>
      <c r="Y200" s="46"/>
      <c r="Z200" s="46"/>
    </row>
    <row r="201" spans="1:26" x14ac:dyDescent="0.25">
      <c r="A201" s="46"/>
      <c r="B201" s="46"/>
      <c r="C201" s="46"/>
      <c r="D201" s="46"/>
      <c r="E201" s="46"/>
      <c r="F201" s="46"/>
      <c r="G201" s="46"/>
      <c r="H201" s="46"/>
      <c r="I201" s="46"/>
      <c r="J201" s="46"/>
      <c r="K201" s="46"/>
      <c r="L201" s="46"/>
      <c r="M201" s="46"/>
      <c r="N201" s="46"/>
      <c r="O201" s="46"/>
      <c r="P201" s="46"/>
      <c r="Q201" s="46"/>
      <c r="R201" s="46"/>
      <c r="S201" s="46"/>
      <c r="T201" s="46"/>
      <c r="U201" s="46"/>
      <c r="V201" s="46"/>
      <c r="W201" s="46"/>
      <c r="X201" s="46"/>
      <c r="Y201" s="46"/>
      <c r="Z201" s="46"/>
    </row>
    <row r="202" spans="1:26" x14ac:dyDescent="0.25">
      <c r="A202" s="46"/>
      <c r="B202" s="46"/>
      <c r="C202" s="46"/>
      <c r="D202" s="46"/>
      <c r="E202" s="46"/>
      <c r="F202" s="46"/>
      <c r="G202" s="46"/>
      <c r="H202" s="46"/>
      <c r="I202" s="46"/>
      <c r="J202" s="46"/>
      <c r="K202" s="46"/>
      <c r="L202" s="46"/>
      <c r="M202" s="46"/>
      <c r="N202" s="46"/>
      <c r="O202" s="46"/>
      <c r="P202" s="46"/>
      <c r="Q202" s="46"/>
      <c r="R202" s="46"/>
      <c r="S202" s="46"/>
      <c r="T202" s="46"/>
      <c r="U202" s="46"/>
      <c r="V202" s="46"/>
      <c r="W202" s="46"/>
      <c r="X202" s="46"/>
      <c r="Y202" s="46"/>
      <c r="Z202" s="46"/>
    </row>
    <row r="203" spans="1:26" x14ac:dyDescent="0.25">
      <c r="A203" s="46"/>
      <c r="B203" s="46"/>
      <c r="C203" s="46"/>
      <c r="D203" s="46"/>
      <c r="E203" s="46"/>
      <c r="F203" s="46"/>
      <c r="G203" s="46"/>
      <c r="H203" s="46"/>
      <c r="I203" s="46"/>
      <c r="J203" s="46"/>
      <c r="K203" s="46"/>
      <c r="L203" s="46"/>
      <c r="M203" s="46"/>
      <c r="N203" s="46"/>
      <c r="O203" s="46"/>
      <c r="P203" s="46"/>
      <c r="Q203" s="46"/>
      <c r="R203" s="46"/>
      <c r="S203" s="46"/>
      <c r="T203" s="46"/>
      <c r="U203" s="46"/>
      <c r="V203" s="46"/>
      <c r="W203" s="46"/>
      <c r="X203" s="46"/>
      <c r="Y203" s="46"/>
      <c r="Z203" s="46"/>
    </row>
    <row r="204" spans="1:26" x14ac:dyDescent="0.25">
      <c r="A204" s="46"/>
      <c r="B204" s="46"/>
      <c r="C204" s="46"/>
      <c r="D204" s="46"/>
      <c r="E204" s="46"/>
      <c r="F204" s="46"/>
      <c r="G204" s="46"/>
      <c r="H204" s="46"/>
      <c r="I204" s="46"/>
      <c r="J204" s="46"/>
      <c r="K204" s="46"/>
      <c r="L204" s="46"/>
      <c r="M204" s="46"/>
      <c r="N204" s="46"/>
      <c r="O204" s="46"/>
      <c r="P204" s="46"/>
      <c r="Q204" s="46"/>
      <c r="R204" s="46"/>
      <c r="S204" s="46"/>
      <c r="T204" s="46"/>
      <c r="U204" s="46"/>
      <c r="V204" s="46"/>
      <c r="W204" s="46"/>
      <c r="X204" s="46"/>
      <c r="Y204" s="46"/>
      <c r="Z204" s="46"/>
    </row>
    <row r="205" spans="1:26" x14ac:dyDescent="0.25">
      <c r="A205" s="46"/>
      <c r="B205" s="46"/>
      <c r="C205" s="46"/>
      <c r="D205" s="46"/>
      <c r="E205" s="46"/>
      <c r="F205" s="46"/>
      <c r="G205" s="46"/>
      <c r="H205" s="46"/>
      <c r="I205" s="46"/>
      <c r="J205" s="46"/>
      <c r="K205" s="46"/>
      <c r="L205" s="46"/>
      <c r="M205" s="46"/>
      <c r="N205" s="46"/>
      <c r="O205" s="46"/>
      <c r="P205" s="46"/>
      <c r="Q205" s="46"/>
      <c r="R205" s="46"/>
      <c r="S205" s="46"/>
      <c r="T205" s="46"/>
      <c r="U205" s="46"/>
      <c r="V205" s="46"/>
      <c r="W205" s="46"/>
      <c r="X205" s="46"/>
      <c r="Y205" s="46"/>
      <c r="Z205" s="46"/>
    </row>
    <row r="206" spans="1:26" x14ac:dyDescent="0.25">
      <c r="A206" s="46"/>
      <c r="B206" s="46"/>
      <c r="C206" s="46"/>
      <c r="D206" s="46"/>
      <c r="E206" s="46"/>
      <c r="F206" s="46"/>
      <c r="G206" s="46"/>
      <c r="H206" s="46"/>
      <c r="I206" s="46"/>
      <c r="J206" s="46"/>
      <c r="K206" s="46"/>
      <c r="L206" s="46"/>
      <c r="M206" s="46"/>
      <c r="N206" s="46"/>
      <c r="O206" s="46"/>
      <c r="P206" s="46"/>
      <c r="Q206" s="46"/>
      <c r="R206" s="46"/>
      <c r="S206" s="46"/>
      <c r="T206" s="46"/>
      <c r="U206" s="46"/>
      <c r="V206" s="46"/>
      <c r="W206" s="46"/>
      <c r="X206" s="46"/>
      <c r="Y206" s="46"/>
      <c r="Z206" s="46"/>
    </row>
    <row r="207" spans="1:26" x14ac:dyDescent="0.25">
      <c r="A207" s="46"/>
      <c r="B207" s="46"/>
      <c r="C207" s="46"/>
      <c r="D207" s="46"/>
      <c r="E207" s="46"/>
      <c r="F207" s="46"/>
      <c r="G207" s="46"/>
      <c r="H207" s="46"/>
      <c r="I207" s="46"/>
      <c r="J207" s="46"/>
      <c r="K207" s="46"/>
      <c r="L207" s="46"/>
      <c r="M207" s="46"/>
      <c r="N207" s="46"/>
      <c r="O207" s="46"/>
      <c r="P207" s="46"/>
      <c r="Q207" s="46"/>
      <c r="R207" s="46"/>
      <c r="S207" s="46"/>
      <c r="T207" s="46"/>
      <c r="U207" s="46"/>
      <c r="V207" s="46"/>
      <c r="W207" s="46"/>
      <c r="X207" s="46"/>
      <c r="Y207" s="46"/>
      <c r="Z207" s="46"/>
    </row>
    <row r="208" spans="1:26" x14ac:dyDescent="0.25">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row>
    <row r="209" spans="1:26" x14ac:dyDescent="0.25">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row>
    <row r="210" spans="1:26" x14ac:dyDescent="0.25">
      <c r="A210" s="46"/>
      <c r="B210" s="46"/>
      <c r="C210" s="46"/>
      <c r="D210" s="46"/>
      <c r="E210" s="46"/>
      <c r="F210" s="46"/>
      <c r="G210" s="46"/>
      <c r="H210" s="46"/>
      <c r="I210" s="46"/>
      <c r="J210" s="46"/>
      <c r="K210" s="46"/>
      <c r="L210" s="46"/>
      <c r="M210" s="46"/>
      <c r="N210" s="46"/>
      <c r="O210" s="46"/>
      <c r="P210" s="46"/>
      <c r="Q210" s="46"/>
      <c r="R210" s="46"/>
      <c r="S210" s="46"/>
      <c r="T210" s="46"/>
      <c r="U210" s="46"/>
      <c r="V210" s="46"/>
      <c r="W210" s="46"/>
      <c r="X210" s="46"/>
      <c r="Y210" s="46"/>
      <c r="Z210" s="46"/>
    </row>
    <row r="211" spans="1:26" x14ac:dyDescent="0.25">
      <c r="A211" s="46"/>
      <c r="B211" s="46"/>
      <c r="C211" s="46"/>
      <c r="D211" s="46"/>
      <c r="E211" s="46"/>
      <c r="F211" s="46"/>
      <c r="G211" s="46"/>
      <c r="H211" s="46"/>
      <c r="I211" s="46"/>
      <c r="J211" s="46"/>
      <c r="K211" s="46"/>
      <c r="L211" s="46"/>
      <c r="M211" s="46"/>
      <c r="N211" s="46"/>
      <c r="O211" s="46"/>
      <c r="P211" s="46"/>
      <c r="Q211" s="46"/>
      <c r="R211" s="46"/>
      <c r="S211" s="46"/>
      <c r="T211" s="46"/>
      <c r="U211" s="46"/>
      <c r="V211" s="46"/>
      <c r="W211" s="46"/>
      <c r="X211" s="46"/>
      <c r="Y211" s="46"/>
      <c r="Z211" s="46"/>
    </row>
    <row r="212" spans="1:26" x14ac:dyDescent="0.25">
      <c r="A212" s="46"/>
      <c r="B212" s="46"/>
      <c r="C212" s="46"/>
      <c r="D212" s="46"/>
      <c r="E212" s="46"/>
      <c r="F212" s="46"/>
      <c r="G212" s="46"/>
      <c r="H212" s="46"/>
      <c r="I212" s="46"/>
      <c r="J212" s="46"/>
      <c r="K212" s="46"/>
      <c r="L212" s="46"/>
      <c r="M212" s="46"/>
      <c r="N212" s="46"/>
      <c r="O212" s="46"/>
      <c r="P212" s="46"/>
      <c r="Q212" s="46"/>
      <c r="R212" s="46"/>
      <c r="S212" s="46"/>
      <c r="T212" s="46"/>
      <c r="U212" s="46"/>
      <c r="V212" s="46"/>
      <c r="W212" s="46"/>
      <c r="X212" s="46"/>
      <c r="Y212" s="46"/>
      <c r="Z212" s="46"/>
    </row>
    <row r="213" spans="1:26" x14ac:dyDescent="0.25">
      <c r="A213" s="46"/>
      <c r="B213" s="46"/>
      <c r="C213" s="46"/>
      <c r="D213" s="46"/>
      <c r="E213" s="46"/>
      <c r="F213" s="46"/>
      <c r="G213" s="46"/>
      <c r="H213" s="46"/>
      <c r="I213" s="46"/>
      <c r="J213" s="46"/>
      <c r="K213" s="46"/>
      <c r="L213" s="46"/>
      <c r="M213" s="46"/>
      <c r="N213" s="46"/>
      <c r="O213" s="46"/>
      <c r="P213" s="46"/>
      <c r="Q213" s="46"/>
      <c r="R213" s="46"/>
      <c r="S213" s="46"/>
      <c r="T213" s="46"/>
      <c r="U213" s="46"/>
      <c r="V213" s="46"/>
      <c r="W213" s="46"/>
      <c r="X213" s="46"/>
      <c r="Y213" s="46"/>
      <c r="Z213" s="46"/>
    </row>
    <row r="214" spans="1:26" x14ac:dyDescent="0.25">
      <c r="A214" s="46"/>
      <c r="B214" s="46"/>
      <c r="C214" s="46"/>
      <c r="D214" s="46"/>
      <c r="E214" s="46"/>
      <c r="F214" s="46"/>
      <c r="G214" s="46"/>
      <c r="H214" s="46"/>
      <c r="I214" s="46"/>
      <c r="J214" s="46"/>
      <c r="K214" s="46"/>
      <c r="L214" s="46"/>
      <c r="M214" s="46"/>
      <c r="N214" s="46"/>
      <c r="O214" s="46"/>
      <c r="P214" s="46"/>
      <c r="Q214" s="46"/>
      <c r="R214" s="46"/>
      <c r="S214" s="46"/>
      <c r="T214" s="46"/>
      <c r="U214" s="46"/>
      <c r="V214" s="46"/>
      <c r="W214" s="46"/>
      <c r="X214" s="46"/>
      <c r="Y214" s="46"/>
      <c r="Z214" s="46"/>
    </row>
    <row r="215" spans="1:26" x14ac:dyDescent="0.25">
      <c r="A215" s="46"/>
      <c r="B215" s="46"/>
      <c r="C215" s="46"/>
      <c r="D215" s="46"/>
      <c r="E215" s="46"/>
      <c r="F215" s="46"/>
      <c r="G215" s="46"/>
      <c r="H215" s="46"/>
      <c r="I215" s="46"/>
      <c r="J215" s="46"/>
      <c r="K215" s="46"/>
      <c r="L215" s="46"/>
      <c r="M215" s="46"/>
      <c r="N215" s="46"/>
      <c r="O215" s="46"/>
      <c r="P215" s="46"/>
      <c r="Q215" s="46"/>
      <c r="R215" s="46"/>
      <c r="S215" s="46"/>
      <c r="T215" s="46"/>
      <c r="U215" s="46"/>
      <c r="V215" s="46"/>
      <c r="W215" s="46"/>
      <c r="X215" s="46"/>
      <c r="Y215" s="46"/>
      <c r="Z215" s="46"/>
    </row>
    <row r="216" spans="1:26" x14ac:dyDescent="0.25">
      <c r="A216" s="46"/>
      <c r="B216" s="46"/>
      <c r="C216" s="46"/>
      <c r="D216" s="46"/>
      <c r="E216" s="46"/>
      <c r="F216" s="46"/>
      <c r="G216" s="46"/>
      <c r="H216" s="46"/>
      <c r="I216" s="46"/>
      <c r="J216" s="46"/>
      <c r="K216" s="46"/>
      <c r="L216" s="46"/>
      <c r="M216" s="46"/>
      <c r="N216" s="46"/>
      <c r="O216" s="46"/>
      <c r="P216" s="46"/>
      <c r="Q216" s="46"/>
      <c r="R216" s="46"/>
      <c r="S216" s="46"/>
      <c r="T216" s="46"/>
      <c r="U216" s="46"/>
      <c r="V216" s="46"/>
      <c r="W216" s="46"/>
      <c r="X216" s="46"/>
      <c r="Y216" s="46"/>
      <c r="Z216" s="46"/>
    </row>
    <row r="217" spans="1:26" x14ac:dyDescent="0.25">
      <c r="A217" s="46"/>
      <c r="B217" s="46"/>
      <c r="C217" s="46"/>
      <c r="D217" s="46"/>
      <c r="E217" s="46"/>
      <c r="F217" s="46"/>
      <c r="G217" s="46"/>
      <c r="H217" s="46"/>
      <c r="I217" s="46"/>
      <c r="J217" s="46"/>
      <c r="K217" s="46"/>
      <c r="L217" s="46"/>
      <c r="M217" s="46"/>
      <c r="N217" s="46"/>
      <c r="O217" s="46"/>
      <c r="P217" s="46"/>
      <c r="Q217" s="46"/>
      <c r="R217" s="46"/>
      <c r="S217" s="46"/>
      <c r="T217" s="46"/>
      <c r="U217" s="46"/>
      <c r="V217" s="46"/>
      <c r="W217" s="46"/>
      <c r="X217" s="46"/>
      <c r="Y217" s="46"/>
      <c r="Z217" s="46"/>
    </row>
    <row r="218" spans="1:26" x14ac:dyDescent="0.25">
      <c r="A218" s="46"/>
      <c r="B218" s="46"/>
      <c r="C218" s="46"/>
      <c r="D218" s="46"/>
      <c r="E218" s="46"/>
      <c r="F218" s="46"/>
      <c r="G218" s="46"/>
      <c r="H218" s="46"/>
      <c r="I218" s="46"/>
      <c r="J218" s="46"/>
      <c r="K218" s="46"/>
      <c r="L218" s="46"/>
      <c r="M218" s="46"/>
      <c r="N218" s="46"/>
      <c r="O218" s="46"/>
      <c r="P218" s="46"/>
      <c r="Q218" s="46"/>
      <c r="R218" s="46"/>
      <c r="S218" s="46"/>
      <c r="T218" s="46"/>
      <c r="U218" s="46"/>
      <c r="V218" s="46"/>
      <c r="W218" s="46"/>
      <c r="X218" s="46"/>
      <c r="Y218" s="46"/>
      <c r="Z218" s="46"/>
    </row>
    <row r="219" spans="1:26" x14ac:dyDescent="0.25">
      <c r="A219" s="46"/>
      <c r="B219" s="46"/>
      <c r="C219" s="46"/>
      <c r="D219" s="46"/>
      <c r="E219" s="46"/>
      <c r="F219" s="46"/>
      <c r="G219" s="46"/>
      <c r="H219" s="46"/>
      <c r="I219" s="46"/>
      <c r="J219" s="46"/>
      <c r="K219" s="46"/>
      <c r="L219" s="46"/>
      <c r="M219" s="46"/>
      <c r="N219" s="46"/>
      <c r="O219" s="46"/>
      <c r="P219" s="46"/>
      <c r="Q219" s="46"/>
      <c r="R219" s="46"/>
      <c r="S219" s="46"/>
      <c r="T219" s="46"/>
      <c r="U219" s="46"/>
      <c r="V219" s="46"/>
      <c r="W219" s="46"/>
      <c r="X219" s="46"/>
      <c r="Y219" s="46"/>
      <c r="Z219" s="46"/>
    </row>
    <row r="220" spans="1:26" x14ac:dyDescent="0.25">
      <c r="A220" s="46"/>
      <c r="B220" s="46"/>
      <c r="C220" s="46"/>
      <c r="D220" s="46"/>
      <c r="E220" s="46"/>
      <c r="F220" s="46"/>
      <c r="G220" s="46"/>
      <c r="H220" s="46"/>
      <c r="I220" s="46"/>
      <c r="J220" s="46"/>
      <c r="K220" s="46"/>
      <c r="L220" s="46"/>
      <c r="M220" s="46"/>
      <c r="N220" s="46"/>
      <c r="O220" s="46"/>
      <c r="P220" s="46"/>
      <c r="Q220" s="46"/>
      <c r="R220" s="46"/>
      <c r="S220" s="46"/>
      <c r="T220" s="46"/>
      <c r="U220" s="46"/>
      <c r="V220" s="46"/>
      <c r="W220" s="46"/>
      <c r="X220" s="46"/>
      <c r="Y220" s="46"/>
      <c r="Z220" s="46"/>
    </row>
    <row r="221" spans="1:26" x14ac:dyDescent="0.25">
      <c r="A221" s="46"/>
      <c r="B221" s="46"/>
      <c r="C221" s="46"/>
      <c r="D221" s="46"/>
      <c r="E221" s="46"/>
      <c r="F221" s="46"/>
      <c r="G221" s="46"/>
      <c r="H221" s="46"/>
      <c r="I221" s="46"/>
      <c r="J221" s="46"/>
      <c r="K221" s="46"/>
      <c r="L221" s="46"/>
      <c r="M221" s="46"/>
      <c r="N221" s="46"/>
      <c r="O221" s="46"/>
      <c r="P221" s="46"/>
      <c r="Q221" s="46"/>
      <c r="R221" s="46"/>
      <c r="S221" s="46"/>
      <c r="T221" s="46"/>
      <c r="U221" s="46"/>
      <c r="V221" s="46"/>
      <c r="W221" s="46"/>
      <c r="X221" s="46"/>
      <c r="Y221" s="46"/>
      <c r="Z221" s="46"/>
    </row>
    <row r="222" spans="1:26" x14ac:dyDescent="0.25">
      <c r="A222" s="46"/>
      <c r="B222" s="46"/>
      <c r="C222" s="46"/>
      <c r="D222" s="46"/>
      <c r="E222" s="46"/>
      <c r="F222" s="46"/>
      <c r="G222" s="46"/>
      <c r="H222" s="46"/>
      <c r="I222" s="46"/>
      <c r="J222" s="46"/>
      <c r="K222" s="46"/>
      <c r="L222" s="46"/>
      <c r="M222" s="46"/>
      <c r="N222" s="46"/>
      <c r="O222" s="46"/>
      <c r="P222" s="46"/>
      <c r="Q222" s="46"/>
      <c r="R222" s="46"/>
      <c r="S222" s="46"/>
      <c r="T222" s="46"/>
      <c r="U222" s="46"/>
      <c r="V222" s="46"/>
      <c r="W222" s="46"/>
      <c r="X222" s="46"/>
      <c r="Y222" s="46"/>
      <c r="Z222" s="46"/>
    </row>
    <row r="223" spans="1:26" x14ac:dyDescent="0.25">
      <c r="A223" s="46"/>
      <c r="B223" s="46"/>
      <c r="C223" s="46"/>
      <c r="D223" s="46"/>
      <c r="E223" s="46"/>
      <c r="F223" s="46"/>
      <c r="G223" s="46"/>
      <c r="H223" s="46"/>
      <c r="I223" s="46"/>
      <c r="J223" s="46"/>
      <c r="K223" s="46"/>
      <c r="L223" s="46"/>
      <c r="M223" s="46"/>
      <c r="N223" s="46"/>
      <c r="O223" s="46"/>
      <c r="P223" s="46"/>
      <c r="Q223" s="46"/>
      <c r="R223" s="46"/>
      <c r="S223" s="46"/>
      <c r="T223" s="46"/>
      <c r="U223" s="46"/>
      <c r="V223" s="46"/>
      <c r="W223" s="46"/>
      <c r="X223" s="46"/>
      <c r="Y223" s="46"/>
      <c r="Z223" s="46"/>
    </row>
    <row r="224" spans="1:26" x14ac:dyDescent="0.25">
      <c r="A224" s="46"/>
      <c r="B224" s="46"/>
      <c r="C224" s="46"/>
      <c r="D224" s="46"/>
      <c r="E224" s="46"/>
      <c r="F224" s="46"/>
      <c r="G224" s="46"/>
      <c r="H224" s="46"/>
      <c r="I224" s="46"/>
      <c r="J224" s="46"/>
      <c r="K224" s="46"/>
      <c r="L224" s="46"/>
      <c r="M224" s="46"/>
      <c r="N224" s="46"/>
      <c r="O224" s="46"/>
      <c r="P224" s="46"/>
      <c r="Q224" s="46"/>
      <c r="R224" s="46"/>
      <c r="S224" s="46"/>
      <c r="T224" s="46"/>
      <c r="U224" s="46"/>
      <c r="V224" s="46"/>
      <c r="W224" s="46"/>
      <c r="X224" s="46"/>
      <c r="Y224" s="46"/>
      <c r="Z224" s="46"/>
    </row>
    <row r="225" spans="1:26" x14ac:dyDescent="0.25">
      <c r="A225" s="46"/>
      <c r="B225" s="46"/>
      <c r="C225" s="46"/>
      <c r="D225" s="46"/>
      <c r="E225" s="46"/>
      <c r="F225" s="46"/>
      <c r="G225" s="46"/>
      <c r="H225" s="46"/>
      <c r="I225" s="46"/>
      <c r="J225" s="46"/>
      <c r="K225" s="46"/>
      <c r="L225" s="46"/>
      <c r="M225" s="46"/>
      <c r="N225" s="46"/>
      <c r="O225" s="46"/>
      <c r="P225" s="46"/>
      <c r="Q225" s="46"/>
      <c r="R225" s="46"/>
      <c r="S225" s="46"/>
      <c r="T225" s="46"/>
      <c r="U225" s="46"/>
      <c r="V225" s="46"/>
      <c r="W225" s="46"/>
      <c r="X225" s="46"/>
      <c r="Y225" s="46"/>
      <c r="Z225" s="46"/>
    </row>
    <row r="226" spans="1:26" x14ac:dyDescent="0.25">
      <c r="A226" s="46"/>
      <c r="B226" s="46"/>
      <c r="C226" s="46"/>
      <c r="D226" s="46"/>
      <c r="E226" s="46"/>
      <c r="F226" s="46"/>
      <c r="G226" s="46"/>
      <c r="H226" s="46"/>
      <c r="I226" s="46"/>
      <c r="J226" s="46"/>
      <c r="K226" s="46"/>
      <c r="L226" s="46"/>
      <c r="M226" s="46"/>
      <c r="N226" s="46"/>
      <c r="O226" s="46"/>
      <c r="P226" s="46"/>
      <c r="Q226" s="46"/>
      <c r="R226" s="46"/>
      <c r="S226" s="46"/>
      <c r="T226" s="46"/>
      <c r="U226" s="46"/>
      <c r="V226" s="46"/>
      <c r="W226" s="46"/>
      <c r="X226" s="46"/>
      <c r="Y226" s="46"/>
      <c r="Z226" s="46"/>
    </row>
    <row r="227" spans="1:26" x14ac:dyDescent="0.25">
      <c r="A227" s="46"/>
      <c r="B227" s="46"/>
      <c r="C227" s="46"/>
      <c r="D227" s="46"/>
      <c r="E227" s="46"/>
      <c r="F227" s="46"/>
      <c r="G227" s="46"/>
      <c r="H227" s="46"/>
      <c r="I227" s="46"/>
      <c r="J227" s="46"/>
      <c r="K227" s="46"/>
      <c r="L227" s="46"/>
      <c r="M227" s="46"/>
      <c r="N227" s="46"/>
      <c r="O227" s="46"/>
      <c r="P227" s="46"/>
      <c r="Q227" s="46"/>
      <c r="R227" s="46"/>
      <c r="S227" s="46"/>
      <c r="T227" s="46"/>
      <c r="U227" s="46"/>
      <c r="V227" s="46"/>
      <c r="W227" s="46"/>
      <c r="X227" s="46"/>
      <c r="Y227" s="46"/>
      <c r="Z227" s="46"/>
    </row>
    <row r="228" spans="1:26" x14ac:dyDescent="0.25">
      <c r="A228" s="46"/>
      <c r="B228" s="46"/>
      <c r="C228" s="46"/>
      <c r="D228" s="46"/>
      <c r="E228" s="46"/>
      <c r="F228" s="46"/>
      <c r="G228" s="46"/>
      <c r="H228" s="46"/>
      <c r="I228" s="46"/>
      <c r="J228" s="46"/>
      <c r="K228" s="46"/>
      <c r="L228" s="46"/>
      <c r="M228" s="46"/>
      <c r="N228" s="46"/>
      <c r="O228" s="46"/>
      <c r="P228" s="46"/>
      <c r="Q228" s="46"/>
      <c r="R228" s="46"/>
      <c r="S228" s="46"/>
      <c r="T228" s="46"/>
      <c r="U228" s="46"/>
      <c r="V228" s="46"/>
      <c r="W228" s="46"/>
      <c r="X228" s="46"/>
      <c r="Y228" s="46"/>
      <c r="Z228" s="46"/>
    </row>
    <row r="229" spans="1:26" x14ac:dyDescent="0.25">
      <c r="A229" s="46"/>
      <c r="B229" s="46"/>
      <c r="C229" s="46"/>
      <c r="D229" s="46"/>
      <c r="E229" s="46"/>
      <c r="F229" s="46"/>
      <c r="G229" s="46"/>
      <c r="H229" s="46"/>
      <c r="I229" s="46"/>
      <c r="J229" s="46"/>
      <c r="K229" s="46"/>
      <c r="L229" s="46"/>
      <c r="M229" s="46"/>
      <c r="N229" s="46"/>
      <c r="O229" s="46"/>
      <c r="P229" s="46"/>
      <c r="Q229" s="46"/>
      <c r="R229" s="46"/>
      <c r="S229" s="46"/>
      <c r="T229" s="46"/>
      <c r="U229" s="46"/>
      <c r="V229" s="46"/>
      <c r="W229" s="46"/>
      <c r="X229" s="46"/>
      <c r="Y229" s="46"/>
      <c r="Z229" s="46"/>
    </row>
    <row r="230" spans="1:26" x14ac:dyDescent="0.25">
      <c r="A230" s="46"/>
      <c r="B230" s="46"/>
      <c r="C230" s="46"/>
      <c r="D230" s="46"/>
      <c r="E230" s="46"/>
      <c r="F230" s="46"/>
      <c r="G230" s="46"/>
      <c r="H230" s="46"/>
      <c r="I230" s="46"/>
      <c r="J230" s="46"/>
      <c r="K230" s="46"/>
      <c r="L230" s="46"/>
      <c r="M230" s="46"/>
      <c r="N230" s="46"/>
      <c r="O230" s="46"/>
      <c r="P230" s="46"/>
      <c r="Q230" s="46"/>
      <c r="R230" s="46"/>
      <c r="S230" s="46"/>
      <c r="T230" s="46"/>
      <c r="U230" s="46"/>
      <c r="V230" s="46"/>
      <c r="W230" s="46"/>
      <c r="X230" s="46"/>
      <c r="Y230" s="46"/>
      <c r="Z230" s="46"/>
    </row>
    <row r="231" spans="1:26" x14ac:dyDescent="0.25">
      <c r="A231" s="46"/>
      <c r="B231" s="46"/>
      <c r="C231" s="46"/>
      <c r="D231" s="46"/>
      <c r="E231" s="46"/>
      <c r="F231" s="46"/>
      <c r="G231" s="46"/>
      <c r="H231" s="46"/>
      <c r="I231" s="46"/>
      <c r="J231" s="46"/>
      <c r="K231" s="46"/>
      <c r="L231" s="46"/>
      <c r="M231" s="46"/>
      <c r="N231" s="46"/>
      <c r="O231" s="46"/>
      <c r="P231" s="46"/>
      <c r="Q231" s="46"/>
      <c r="R231" s="46"/>
      <c r="S231" s="46"/>
      <c r="T231" s="46"/>
      <c r="U231" s="46"/>
      <c r="V231" s="46"/>
      <c r="W231" s="46"/>
      <c r="X231" s="46"/>
      <c r="Y231" s="46"/>
      <c r="Z231" s="46"/>
    </row>
    <row r="232" spans="1:26" x14ac:dyDescent="0.25">
      <c r="A232" s="46"/>
      <c r="B232" s="46"/>
      <c r="C232" s="46"/>
      <c r="D232" s="46"/>
      <c r="E232" s="46"/>
      <c r="F232" s="46"/>
      <c r="G232" s="46"/>
      <c r="H232" s="46"/>
      <c r="I232" s="46"/>
      <c r="J232" s="46"/>
      <c r="K232" s="46"/>
      <c r="L232" s="46"/>
      <c r="M232" s="46"/>
      <c r="N232" s="46"/>
      <c r="O232" s="46"/>
      <c r="P232" s="46"/>
      <c r="Q232" s="46"/>
      <c r="R232" s="46"/>
      <c r="S232" s="46"/>
      <c r="T232" s="46"/>
      <c r="U232" s="46"/>
      <c r="V232" s="46"/>
      <c r="W232" s="46"/>
      <c r="X232" s="46"/>
      <c r="Y232" s="46"/>
      <c r="Z232" s="46"/>
    </row>
    <row r="233" spans="1:26" x14ac:dyDescent="0.25">
      <c r="A233" s="46"/>
      <c r="B233" s="46"/>
      <c r="C233" s="46"/>
      <c r="D233" s="46"/>
      <c r="E233" s="46"/>
      <c r="F233" s="46"/>
      <c r="G233" s="46"/>
      <c r="H233" s="46"/>
      <c r="I233" s="46"/>
      <c r="J233" s="46"/>
      <c r="K233" s="46"/>
      <c r="L233" s="46"/>
      <c r="M233" s="46"/>
      <c r="N233" s="46"/>
      <c r="O233" s="46"/>
      <c r="P233" s="46"/>
      <c r="Q233" s="46"/>
      <c r="R233" s="46"/>
      <c r="S233" s="46"/>
      <c r="T233" s="46"/>
      <c r="U233" s="46"/>
      <c r="V233" s="46"/>
      <c r="W233" s="46"/>
      <c r="X233" s="46"/>
      <c r="Y233" s="46"/>
      <c r="Z233" s="46"/>
    </row>
    <row r="234" spans="1:26" x14ac:dyDescent="0.25">
      <c r="A234" s="46"/>
      <c r="B234" s="46"/>
      <c r="C234" s="46"/>
      <c r="D234" s="46"/>
      <c r="E234" s="46"/>
      <c r="F234" s="46"/>
      <c r="G234" s="46"/>
      <c r="H234" s="46"/>
      <c r="I234" s="46"/>
      <c r="J234" s="46"/>
      <c r="K234" s="46"/>
      <c r="L234" s="46"/>
      <c r="M234" s="46"/>
      <c r="N234" s="46"/>
      <c r="O234" s="46"/>
      <c r="P234" s="46"/>
      <c r="Q234" s="46"/>
      <c r="R234" s="46"/>
      <c r="S234" s="46"/>
      <c r="T234" s="46"/>
      <c r="U234" s="46"/>
      <c r="V234" s="46"/>
      <c r="W234" s="46"/>
      <c r="X234" s="46"/>
      <c r="Y234" s="46"/>
      <c r="Z234" s="46"/>
    </row>
    <row r="235" spans="1:26" x14ac:dyDescent="0.25">
      <c r="A235" s="46"/>
      <c r="B235" s="46"/>
      <c r="C235" s="46"/>
      <c r="D235" s="46"/>
      <c r="E235" s="46"/>
      <c r="F235" s="46"/>
      <c r="G235" s="46"/>
      <c r="H235" s="46"/>
      <c r="I235" s="46"/>
      <c r="J235" s="46"/>
      <c r="K235" s="46"/>
      <c r="L235" s="46"/>
      <c r="M235" s="46"/>
      <c r="N235" s="46"/>
      <c r="O235" s="46"/>
      <c r="P235" s="46"/>
      <c r="Q235" s="46"/>
      <c r="R235" s="46"/>
      <c r="S235" s="46"/>
      <c r="T235" s="46"/>
      <c r="U235" s="46"/>
      <c r="V235" s="46"/>
      <c r="W235" s="46"/>
      <c r="X235" s="46"/>
      <c r="Y235" s="46"/>
      <c r="Z235" s="46"/>
    </row>
    <row r="236" spans="1:26" x14ac:dyDescent="0.25">
      <c r="A236" s="46"/>
      <c r="B236" s="46"/>
      <c r="C236" s="46"/>
      <c r="D236" s="46"/>
      <c r="E236" s="46"/>
      <c r="F236" s="46"/>
      <c r="G236" s="46"/>
      <c r="H236" s="46"/>
      <c r="I236" s="46"/>
      <c r="J236" s="46"/>
      <c r="K236" s="46"/>
      <c r="L236" s="46"/>
      <c r="M236" s="46"/>
      <c r="N236" s="46"/>
      <c r="O236" s="46"/>
      <c r="P236" s="46"/>
      <c r="Q236" s="46"/>
      <c r="R236" s="46"/>
      <c r="S236" s="46"/>
      <c r="T236" s="46"/>
      <c r="U236" s="46"/>
      <c r="V236" s="46"/>
      <c r="W236" s="46"/>
      <c r="X236" s="46"/>
      <c r="Y236" s="46"/>
      <c r="Z236" s="46"/>
    </row>
    <row r="237" spans="1:26" x14ac:dyDescent="0.25">
      <c r="A237" s="46"/>
      <c r="B237" s="46"/>
      <c r="C237" s="46"/>
      <c r="D237" s="46"/>
      <c r="E237" s="46"/>
      <c r="F237" s="46"/>
      <c r="G237" s="46"/>
      <c r="H237" s="46"/>
      <c r="I237" s="46"/>
      <c r="J237" s="46"/>
      <c r="K237" s="46"/>
      <c r="L237" s="46"/>
      <c r="M237" s="46"/>
      <c r="N237" s="46"/>
      <c r="O237" s="46"/>
      <c r="P237" s="46"/>
      <c r="Q237" s="46"/>
      <c r="R237" s="46"/>
      <c r="S237" s="46"/>
      <c r="T237" s="46"/>
      <c r="U237" s="46"/>
      <c r="V237" s="46"/>
      <c r="W237" s="46"/>
      <c r="X237" s="46"/>
      <c r="Y237" s="46"/>
      <c r="Z237" s="46"/>
    </row>
    <row r="238" spans="1:26" x14ac:dyDescent="0.25">
      <c r="A238" s="46"/>
      <c r="B238" s="46"/>
      <c r="C238" s="46"/>
      <c r="D238" s="46"/>
      <c r="E238" s="46"/>
      <c r="F238" s="46"/>
      <c r="G238" s="46"/>
      <c r="H238" s="46"/>
      <c r="I238" s="46"/>
      <c r="J238" s="46"/>
      <c r="K238" s="46"/>
      <c r="L238" s="46"/>
      <c r="M238" s="46"/>
      <c r="N238" s="46"/>
      <c r="O238" s="46"/>
      <c r="P238" s="46"/>
      <c r="Q238" s="46"/>
      <c r="R238" s="46"/>
      <c r="S238" s="46"/>
      <c r="T238" s="46"/>
      <c r="U238" s="46"/>
      <c r="V238" s="46"/>
      <c r="W238" s="46"/>
      <c r="X238" s="46"/>
      <c r="Y238" s="46"/>
      <c r="Z238" s="46"/>
    </row>
    <row r="239" spans="1:26" x14ac:dyDescent="0.25">
      <c r="A239" s="46"/>
      <c r="B239" s="46"/>
      <c r="C239" s="46"/>
      <c r="D239" s="46"/>
      <c r="E239" s="46"/>
      <c r="F239" s="46"/>
      <c r="G239" s="46"/>
      <c r="H239" s="46"/>
      <c r="I239" s="46"/>
      <c r="J239" s="46"/>
      <c r="K239" s="46"/>
      <c r="L239" s="46"/>
      <c r="M239" s="46"/>
      <c r="N239" s="46"/>
      <c r="O239" s="46"/>
      <c r="P239" s="46"/>
      <c r="Q239" s="46"/>
      <c r="R239" s="46"/>
      <c r="S239" s="46"/>
      <c r="T239" s="46"/>
      <c r="U239" s="46"/>
      <c r="V239" s="46"/>
      <c r="W239" s="46"/>
      <c r="X239" s="46"/>
      <c r="Y239" s="46"/>
      <c r="Z239" s="46"/>
    </row>
    <row r="240" spans="1:26" x14ac:dyDescent="0.25">
      <c r="A240" s="46"/>
      <c r="B240" s="46"/>
      <c r="C240" s="46"/>
      <c r="D240" s="46"/>
      <c r="E240" s="46"/>
      <c r="F240" s="46"/>
      <c r="G240" s="46"/>
      <c r="H240" s="46"/>
      <c r="I240" s="46"/>
      <c r="J240" s="46"/>
      <c r="K240" s="46"/>
      <c r="L240" s="46"/>
      <c r="M240" s="46"/>
      <c r="N240" s="46"/>
      <c r="O240" s="46"/>
      <c r="P240" s="46"/>
      <c r="Q240" s="46"/>
      <c r="R240" s="46"/>
      <c r="S240" s="46"/>
      <c r="T240" s="46"/>
      <c r="U240" s="46"/>
      <c r="V240" s="46"/>
      <c r="W240" s="46"/>
      <c r="X240" s="46"/>
      <c r="Y240" s="46"/>
      <c r="Z240" s="46"/>
    </row>
    <row r="241" spans="1:26" x14ac:dyDescent="0.25">
      <c r="A241" s="46"/>
      <c r="B241" s="46"/>
      <c r="C241" s="46"/>
      <c r="D241" s="46"/>
      <c r="E241" s="46"/>
      <c r="F241" s="46"/>
      <c r="G241" s="46"/>
      <c r="H241" s="46"/>
      <c r="I241" s="46"/>
      <c r="J241" s="46"/>
      <c r="K241" s="46"/>
      <c r="L241" s="46"/>
      <c r="M241" s="46"/>
      <c r="N241" s="46"/>
      <c r="O241" s="46"/>
      <c r="P241" s="46"/>
      <c r="Q241" s="46"/>
      <c r="R241" s="46"/>
      <c r="S241" s="46"/>
      <c r="T241" s="46"/>
      <c r="U241" s="46"/>
      <c r="V241" s="46"/>
      <c r="W241" s="46"/>
      <c r="X241" s="46"/>
      <c r="Y241" s="46"/>
      <c r="Z241" s="46"/>
    </row>
    <row r="242" spans="1:26" x14ac:dyDescent="0.25">
      <c r="A242" s="46"/>
      <c r="B242" s="46"/>
      <c r="C242" s="46"/>
      <c r="D242" s="46"/>
      <c r="E242" s="46"/>
      <c r="F242" s="46"/>
      <c r="G242" s="46"/>
      <c r="H242" s="46"/>
      <c r="I242" s="46"/>
      <c r="J242" s="46"/>
      <c r="K242" s="46"/>
      <c r="L242" s="46"/>
      <c r="M242" s="46"/>
      <c r="N242" s="46"/>
      <c r="O242" s="46"/>
      <c r="P242" s="46"/>
      <c r="Q242" s="46"/>
      <c r="R242" s="46"/>
      <c r="S242" s="46"/>
      <c r="T242" s="46"/>
      <c r="U242" s="46"/>
      <c r="V242" s="46"/>
      <c r="W242" s="46"/>
      <c r="X242" s="46"/>
      <c r="Y242" s="46"/>
      <c r="Z242" s="46"/>
    </row>
    <row r="243" spans="1:26" x14ac:dyDescent="0.25">
      <c r="A243" s="46"/>
      <c r="B243" s="46"/>
      <c r="C243" s="46"/>
      <c r="D243" s="46"/>
      <c r="E243" s="46"/>
      <c r="F243" s="46"/>
      <c r="G243" s="46"/>
      <c r="H243" s="46"/>
      <c r="I243" s="46"/>
      <c r="J243" s="46"/>
      <c r="K243" s="46"/>
      <c r="L243" s="46"/>
      <c r="M243" s="46"/>
      <c r="N243" s="46"/>
      <c r="O243" s="46"/>
      <c r="P243" s="46"/>
      <c r="Q243" s="46"/>
      <c r="R243" s="46"/>
      <c r="S243" s="46"/>
      <c r="T243" s="46"/>
      <c r="U243" s="46"/>
      <c r="V243" s="46"/>
      <c r="W243" s="46"/>
      <c r="X243" s="46"/>
      <c r="Y243" s="46"/>
      <c r="Z243" s="46"/>
    </row>
    <row r="244" spans="1:26" x14ac:dyDescent="0.25">
      <c r="A244" s="46"/>
      <c r="B244" s="46"/>
      <c r="C244" s="46"/>
      <c r="D244" s="46"/>
      <c r="E244" s="46"/>
      <c r="F244" s="46"/>
      <c r="G244" s="46"/>
      <c r="H244" s="46"/>
      <c r="I244" s="46"/>
      <c r="J244" s="46"/>
      <c r="K244" s="46"/>
      <c r="L244" s="46"/>
      <c r="M244" s="46"/>
      <c r="N244" s="46"/>
      <c r="O244" s="46"/>
      <c r="P244" s="46"/>
      <c r="Q244" s="46"/>
      <c r="R244" s="46"/>
      <c r="S244" s="46"/>
      <c r="T244" s="46"/>
      <c r="U244" s="46"/>
      <c r="V244" s="46"/>
      <c r="W244" s="46"/>
      <c r="X244" s="46"/>
      <c r="Y244" s="46"/>
      <c r="Z244" s="46"/>
    </row>
    <row r="245" spans="1:26" x14ac:dyDescent="0.25">
      <c r="A245" s="46"/>
      <c r="B245" s="46"/>
      <c r="C245" s="46"/>
      <c r="D245" s="46"/>
      <c r="E245" s="46"/>
      <c r="F245" s="46"/>
      <c r="G245" s="46"/>
      <c r="H245" s="46"/>
      <c r="I245" s="46"/>
      <c r="J245" s="46"/>
      <c r="K245" s="46"/>
      <c r="L245" s="46"/>
      <c r="M245" s="46"/>
      <c r="N245" s="46"/>
      <c r="O245" s="46"/>
      <c r="P245" s="46"/>
      <c r="Q245" s="46"/>
      <c r="R245" s="46"/>
      <c r="S245" s="46"/>
      <c r="T245" s="46"/>
      <c r="U245" s="46"/>
      <c r="V245" s="46"/>
      <c r="W245" s="46"/>
      <c r="X245" s="46"/>
      <c r="Y245" s="46"/>
      <c r="Z245" s="46"/>
    </row>
    <row r="246" spans="1:26" x14ac:dyDescent="0.25">
      <c r="A246" s="46"/>
      <c r="B246" s="46"/>
      <c r="C246" s="46"/>
      <c r="D246" s="46"/>
      <c r="E246" s="46"/>
      <c r="F246" s="46"/>
      <c r="G246" s="46"/>
      <c r="H246" s="46"/>
      <c r="I246" s="46"/>
      <c r="J246" s="46"/>
      <c r="K246" s="46"/>
      <c r="L246" s="46"/>
      <c r="M246" s="46"/>
      <c r="N246" s="46"/>
      <c r="O246" s="46"/>
      <c r="P246" s="46"/>
      <c r="Q246" s="46"/>
      <c r="R246" s="46"/>
      <c r="S246" s="46"/>
      <c r="T246" s="46"/>
      <c r="U246" s="46"/>
      <c r="V246" s="46"/>
      <c r="W246" s="46"/>
      <c r="X246" s="46"/>
      <c r="Y246" s="46"/>
      <c r="Z246" s="46"/>
    </row>
    <row r="247" spans="1:26" x14ac:dyDescent="0.25">
      <c r="A247" s="46"/>
      <c r="B247" s="46"/>
      <c r="C247" s="46"/>
      <c r="D247" s="46"/>
      <c r="E247" s="46"/>
      <c r="F247" s="46"/>
      <c r="G247" s="46"/>
      <c r="H247" s="46"/>
      <c r="I247" s="46"/>
      <c r="J247" s="46"/>
      <c r="K247" s="46"/>
      <c r="L247" s="46"/>
      <c r="M247" s="46"/>
      <c r="N247" s="46"/>
      <c r="O247" s="46"/>
      <c r="P247" s="46"/>
      <c r="Q247" s="46"/>
      <c r="R247" s="46"/>
      <c r="S247" s="46"/>
      <c r="T247" s="46"/>
      <c r="U247" s="46"/>
      <c r="V247" s="46"/>
      <c r="W247" s="46"/>
      <c r="X247" s="46"/>
      <c r="Y247" s="46"/>
      <c r="Z247" s="46"/>
    </row>
    <row r="248" spans="1:26" x14ac:dyDescent="0.25">
      <c r="A248" s="46"/>
      <c r="B248" s="46"/>
      <c r="C248" s="46"/>
      <c r="D248" s="46"/>
      <c r="E248" s="46"/>
      <c r="F248" s="46"/>
      <c r="G248" s="46"/>
      <c r="H248" s="46"/>
      <c r="I248" s="46"/>
      <c r="J248" s="46"/>
      <c r="K248" s="46"/>
      <c r="L248" s="46"/>
      <c r="M248" s="46"/>
      <c r="N248" s="46"/>
      <c r="O248" s="46"/>
      <c r="P248" s="46"/>
      <c r="Q248" s="46"/>
      <c r="R248" s="46"/>
      <c r="S248" s="46"/>
      <c r="T248" s="46"/>
      <c r="U248" s="46"/>
      <c r="V248" s="46"/>
      <c r="W248" s="46"/>
      <c r="X248" s="46"/>
      <c r="Y248" s="46"/>
      <c r="Z248" s="46"/>
    </row>
    <row r="249" spans="1:26" x14ac:dyDescent="0.25">
      <c r="A249" s="46"/>
      <c r="B249" s="46"/>
      <c r="C249" s="46"/>
      <c r="D249" s="46"/>
      <c r="E249" s="46"/>
      <c r="F249" s="46"/>
      <c r="G249" s="46"/>
      <c r="H249" s="46"/>
      <c r="I249" s="46"/>
      <c r="J249" s="46"/>
      <c r="K249" s="46"/>
      <c r="L249" s="46"/>
      <c r="M249" s="46"/>
      <c r="N249" s="46"/>
      <c r="O249" s="46"/>
      <c r="P249" s="46"/>
      <c r="Q249" s="46"/>
      <c r="R249" s="46"/>
      <c r="S249" s="46"/>
      <c r="T249" s="46"/>
      <c r="U249" s="46"/>
      <c r="V249" s="46"/>
      <c r="W249" s="46"/>
      <c r="X249" s="46"/>
      <c r="Y249" s="46"/>
      <c r="Z249" s="46"/>
    </row>
    <row r="250" spans="1:26" x14ac:dyDescent="0.25">
      <c r="A250" s="46"/>
      <c r="B250" s="46"/>
      <c r="C250" s="46"/>
      <c r="D250" s="46"/>
      <c r="E250" s="46"/>
      <c r="F250" s="46"/>
      <c r="G250" s="46"/>
      <c r="H250" s="46"/>
      <c r="I250" s="46"/>
      <c r="J250" s="46"/>
      <c r="K250" s="46"/>
      <c r="L250" s="46"/>
      <c r="M250" s="46"/>
      <c r="N250" s="46"/>
      <c r="O250" s="46"/>
      <c r="P250" s="46"/>
      <c r="Q250" s="46"/>
      <c r="R250" s="46"/>
      <c r="S250" s="46"/>
      <c r="T250" s="46"/>
      <c r="U250" s="46"/>
      <c r="V250" s="46"/>
      <c r="W250" s="46"/>
      <c r="X250" s="46"/>
      <c r="Y250" s="46"/>
      <c r="Z250" s="46"/>
    </row>
    <row r="251" spans="1:26" x14ac:dyDescent="0.25">
      <c r="A251" s="46"/>
      <c r="B251" s="46"/>
      <c r="C251" s="46"/>
      <c r="D251" s="46"/>
      <c r="E251" s="46"/>
      <c r="F251" s="46"/>
      <c r="G251" s="46"/>
      <c r="H251" s="46"/>
      <c r="I251" s="46"/>
      <c r="J251" s="46"/>
      <c r="K251" s="46"/>
      <c r="L251" s="46"/>
      <c r="M251" s="46"/>
      <c r="N251" s="46"/>
      <c r="O251" s="46"/>
      <c r="P251" s="46"/>
      <c r="Q251" s="46"/>
      <c r="R251" s="46"/>
      <c r="S251" s="46"/>
      <c r="T251" s="46"/>
      <c r="U251" s="46"/>
      <c r="V251" s="46"/>
      <c r="W251" s="46"/>
      <c r="X251" s="46"/>
      <c r="Y251" s="46"/>
      <c r="Z251" s="46"/>
    </row>
    <row r="252" spans="1:26" x14ac:dyDescent="0.25">
      <c r="A252" s="46"/>
      <c r="B252" s="46"/>
      <c r="C252" s="46"/>
      <c r="D252" s="46"/>
      <c r="E252" s="46"/>
      <c r="F252" s="46"/>
      <c r="G252" s="46"/>
      <c r="H252" s="46"/>
      <c r="I252" s="46"/>
      <c r="J252" s="46"/>
      <c r="K252" s="46"/>
      <c r="L252" s="46"/>
      <c r="M252" s="46"/>
      <c r="N252" s="46"/>
      <c r="O252" s="46"/>
      <c r="P252" s="46"/>
      <c r="Q252" s="46"/>
      <c r="R252" s="46"/>
      <c r="S252" s="46"/>
      <c r="T252" s="46"/>
      <c r="U252" s="46"/>
      <c r="V252" s="46"/>
      <c r="W252" s="46"/>
      <c r="X252" s="46"/>
      <c r="Y252" s="46"/>
      <c r="Z252" s="46"/>
    </row>
    <row r="253" spans="1:26" x14ac:dyDescent="0.25">
      <c r="A253" s="46"/>
      <c r="B253" s="46"/>
      <c r="C253" s="46"/>
      <c r="D253" s="46"/>
      <c r="E253" s="46"/>
      <c r="F253" s="46"/>
      <c r="G253" s="46"/>
      <c r="H253" s="46"/>
      <c r="I253" s="46"/>
      <c r="J253" s="46"/>
      <c r="K253" s="46"/>
      <c r="L253" s="46"/>
      <c r="M253" s="46"/>
      <c r="N253" s="46"/>
      <c r="O253" s="46"/>
      <c r="P253" s="46"/>
      <c r="Q253" s="46"/>
      <c r="R253" s="46"/>
      <c r="S253" s="46"/>
      <c r="T253" s="46"/>
      <c r="U253" s="46"/>
      <c r="V253" s="46"/>
      <c r="W253" s="46"/>
      <c r="X253" s="46"/>
      <c r="Y253" s="46"/>
      <c r="Z253" s="46"/>
    </row>
    <row r="254" spans="1:26" x14ac:dyDescent="0.25">
      <c r="A254" s="46"/>
      <c r="B254" s="46"/>
      <c r="C254" s="46"/>
      <c r="D254" s="46"/>
      <c r="E254" s="46"/>
      <c r="F254" s="46"/>
      <c r="G254" s="46"/>
      <c r="H254" s="46"/>
      <c r="I254" s="46"/>
      <c r="J254" s="46"/>
      <c r="K254" s="46"/>
      <c r="L254" s="46"/>
      <c r="M254" s="46"/>
      <c r="N254" s="46"/>
      <c r="O254" s="46"/>
      <c r="P254" s="46"/>
      <c r="Q254" s="46"/>
      <c r="R254" s="46"/>
      <c r="S254" s="46"/>
      <c r="T254" s="46"/>
      <c r="U254" s="46"/>
      <c r="V254" s="46"/>
      <c r="W254" s="46"/>
      <c r="X254" s="46"/>
      <c r="Y254" s="46"/>
      <c r="Z254" s="46"/>
    </row>
    <row r="255" spans="1:26" x14ac:dyDescent="0.25">
      <c r="A255" s="46"/>
      <c r="B255" s="46"/>
      <c r="C255" s="46"/>
      <c r="D255" s="46"/>
      <c r="E255" s="46"/>
      <c r="F255" s="46"/>
      <c r="G255" s="46"/>
      <c r="H255" s="46"/>
      <c r="I255" s="46"/>
      <c r="J255" s="46"/>
      <c r="K255" s="46"/>
      <c r="L255" s="46"/>
      <c r="M255" s="46"/>
      <c r="N255" s="46"/>
      <c r="O255" s="46"/>
      <c r="P255" s="46"/>
      <c r="Q255" s="46"/>
      <c r="R255" s="46"/>
      <c r="S255" s="46"/>
      <c r="T255" s="46"/>
      <c r="U255" s="46"/>
      <c r="V255" s="46"/>
      <c r="W255" s="46"/>
      <c r="X255" s="46"/>
      <c r="Y255" s="46"/>
      <c r="Z255" s="46"/>
    </row>
    <row r="256" spans="1:26" x14ac:dyDescent="0.25">
      <c r="A256" s="46"/>
      <c r="B256" s="46"/>
      <c r="C256" s="46"/>
      <c r="D256" s="46"/>
      <c r="E256" s="46"/>
      <c r="F256" s="46"/>
      <c r="G256" s="46"/>
      <c r="H256" s="46"/>
      <c r="I256" s="46"/>
      <c r="J256" s="46"/>
      <c r="K256" s="46"/>
      <c r="L256" s="46"/>
      <c r="M256" s="46"/>
      <c r="N256" s="46"/>
      <c r="O256" s="46"/>
      <c r="P256" s="46"/>
      <c r="Q256" s="46"/>
      <c r="R256" s="46"/>
      <c r="S256" s="46"/>
      <c r="T256" s="46"/>
      <c r="U256" s="46"/>
      <c r="V256" s="46"/>
      <c r="W256" s="46"/>
      <c r="X256" s="46"/>
      <c r="Y256" s="46"/>
      <c r="Z256" s="46"/>
    </row>
    <row r="257" spans="1:26" x14ac:dyDescent="0.25">
      <c r="A257" s="46"/>
      <c r="B257" s="46"/>
      <c r="C257" s="46"/>
      <c r="D257" s="46"/>
      <c r="E257" s="46"/>
      <c r="F257" s="46"/>
      <c r="G257" s="46"/>
      <c r="H257" s="46"/>
      <c r="I257" s="46"/>
      <c r="J257" s="46"/>
      <c r="K257" s="46"/>
      <c r="L257" s="46"/>
      <c r="M257" s="46"/>
      <c r="N257" s="46"/>
      <c r="O257" s="46"/>
      <c r="P257" s="46"/>
      <c r="Q257" s="46"/>
      <c r="R257" s="46"/>
      <c r="S257" s="46"/>
      <c r="T257" s="46"/>
      <c r="U257" s="46"/>
      <c r="V257" s="46"/>
      <c r="W257" s="46"/>
      <c r="X257" s="46"/>
      <c r="Y257" s="46"/>
      <c r="Z257" s="46"/>
    </row>
    <row r="258" spans="1:26" x14ac:dyDescent="0.25">
      <c r="A258" s="46"/>
      <c r="B258" s="46"/>
      <c r="C258" s="46"/>
      <c r="D258" s="46"/>
      <c r="E258" s="46"/>
      <c r="F258" s="46"/>
      <c r="G258" s="46"/>
      <c r="H258" s="46"/>
      <c r="I258" s="46"/>
      <c r="J258" s="46"/>
      <c r="K258" s="46"/>
      <c r="L258" s="46"/>
      <c r="M258" s="46"/>
      <c r="N258" s="46"/>
      <c r="O258" s="46"/>
      <c r="P258" s="46"/>
      <c r="Q258" s="46"/>
      <c r="R258" s="46"/>
      <c r="S258" s="46"/>
      <c r="T258" s="46"/>
      <c r="U258" s="46"/>
      <c r="V258" s="46"/>
      <c r="W258" s="46"/>
      <c r="X258" s="46"/>
      <c r="Y258" s="46"/>
      <c r="Z258" s="46"/>
    </row>
    <row r="259" spans="1:26" x14ac:dyDescent="0.25">
      <c r="A259" s="46"/>
      <c r="B259" s="46"/>
      <c r="C259" s="46"/>
      <c r="D259" s="46"/>
      <c r="E259" s="46"/>
      <c r="F259" s="46"/>
      <c r="G259" s="46"/>
      <c r="H259" s="46"/>
      <c r="I259" s="46"/>
      <c r="J259" s="46"/>
      <c r="K259" s="46"/>
      <c r="L259" s="46"/>
      <c r="M259" s="46"/>
      <c r="N259" s="46"/>
      <c r="O259" s="46"/>
      <c r="P259" s="46"/>
      <c r="Q259" s="46"/>
      <c r="R259" s="46"/>
      <c r="S259" s="46"/>
      <c r="T259" s="46"/>
      <c r="U259" s="46"/>
      <c r="V259" s="46"/>
      <c r="W259" s="46"/>
      <c r="X259" s="46"/>
      <c r="Y259" s="46"/>
      <c r="Z259" s="46"/>
    </row>
    <row r="260" spans="1:26" x14ac:dyDescent="0.25">
      <c r="A260" s="46"/>
      <c r="B260" s="46"/>
      <c r="C260" s="46"/>
      <c r="D260" s="46"/>
      <c r="E260" s="46"/>
      <c r="F260" s="46"/>
      <c r="G260" s="46"/>
      <c r="H260" s="46"/>
      <c r="I260" s="46"/>
      <c r="J260" s="46"/>
      <c r="K260" s="46"/>
      <c r="L260" s="46"/>
      <c r="M260" s="46"/>
      <c r="N260" s="46"/>
      <c r="O260" s="46"/>
      <c r="P260" s="46"/>
      <c r="Q260" s="46"/>
      <c r="R260" s="46"/>
      <c r="S260" s="46"/>
      <c r="T260" s="46"/>
      <c r="U260" s="46"/>
      <c r="V260" s="46"/>
      <c r="W260" s="46"/>
      <c r="X260" s="46"/>
      <c r="Y260" s="46"/>
      <c r="Z260" s="46"/>
    </row>
    <row r="261" spans="1:26" x14ac:dyDescent="0.25">
      <c r="A261" s="46"/>
      <c r="B261" s="46"/>
      <c r="C261" s="46"/>
      <c r="D261" s="46"/>
      <c r="E261" s="46"/>
      <c r="F261" s="46"/>
      <c r="G261" s="46"/>
      <c r="H261" s="46"/>
      <c r="I261" s="46"/>
      <c r="J261" s="46"/>
      <c r="K261" s="46"/>
      <c r="L261" s="46"/>
      <c r="M261" s="46"/>
      <c r="N261" s="46"/>
      <c r="O261" s="46"/>
      <c r="P261" s="46"/>
      <c r="Q261" s="46"/>
      <c r="R261" s="46"/>
      <c r="S261" s="46"/>
      <c r="T261" s="46"/>
      <c r="U261" s="46"/>
      <c r="V261" s="46"/>
      <c r="W261" s="46"/>
      <c r="X261" s="46"/>
      <c r="Y261" s="46"/>
      <c r="Z261" s="46"/>
    </row>
    <row r="262" spans="1:26" x14ac:dyDescent="0.25">
      <c r="A262" s="46"/>
      <c r="B262" s="46"/>
      <c r="C262" s="46"/>
      <c r="D262" s="46"/>
      <c r="E262" s="46"/>
      <c r="F262" s="46"/>
      <c r="G262" s="46"/>
      <c r="H262" s="46"/>
      <c r="I262" s="46"/>
      <c r="J262" s="46"/>
      <c r="K262" s="46"/>
      <c r="L262" s="46"/>
      <c r="M262" s="46"/>
      <c r="N262" s="46"/>
      <c r="O262" s="46"/>
      <c r="P262" s="46"/>
      <c r="Q262" s="46"/>
      <c r="R262" s="46"/>
      <c r="S262" s="46"/>
      <c r="T262" s="46"/>
      <c r="U262" s="46"/>
      <c r="V262" s="46"/>
      <c r="W262" s="46"/>
      <c r="X262" s="46"/>
      <c r="Y262" s="46"/>
      <c r="Z262" s="46"/>
    </row>
    <row r="263" spans="1:26" x14ac:dyDescent="0.25">
      <c r="A263" s="46"/>
      <c r="B263" s="46"/>
      <c r="C263" s="46"/>
      <c r="D263" s="46"/>
      <c r="E263" s="46"/>
      <c r="F263" s="46"/>
      <c r="G263" s="46"/>
      <c r="H263" s="46"/>
      <c r="I263" s="46"/>
      <c r="J263" s="46"/>
      <c r="K263" s="46"/>
      <c r="L263" s="46"/>
      <c r="M263" s="46"/>
      <c r="N263" s="46"/>
      <c r="O263" s="46"/>
      <c r="P263" s="46"/>
      <c r="Q263" s="46"/>
      <c r="R263" s="46"/>
      <c r="S263" s="46"/>
      <c r="T263" s="46"/>
      <c r="U263" s="46"/>
      <c r="V263" s="46"/>
      <c r="W263" s="46"/>
      <c r="X263" s="46"/>
      <c r="Y263" s="46"/>
      <c r="Z263" s="46"/>
    </row>
    <row r="264" spans="1:26" x14ac:dyDescent="0.25">
      <c r="A264" s="46"/>
      <c r="B264" s="46"/>
      <c r="C264" s="46"/>
      <c r="D264" s="46"/>
      <c r="E264" s="46"/>
      <c r="F264" s="46"/>
      <c r="G264" s="46"/>
      <c r="H264" s="46"/>
      <c r="I264" s="46"/>
      <c r="J264" s="46"/>
      <c r="K264" s="46"/>
      <c r="L264" s="46"/>
      <c r="M264" s="46"/>
      <c r="N264" s="46"/>
      <c r="O264" s="46"/>
      <c r="P264" s="46"/>
      <c r="Q264" s="46"/>
      <c r="R264" s="46"/>
      <c r="S264" s="46"/>
      <c r="T264" s="46"/>
      <c r="U264" s="46"/>
      <c r="V264" s="46"/>
      <c r="W264" s="46"/>
      <c r="X264" s="46"/>
      <c r="Y264" s="46"/>
      <c r="Z264" s="46"/>
    </row>
    <row r="265" spans="1:26" x14ac:dyDescent="0.25">
      <c r="A265" s="46"/>
      <c r="B265" s="46"/>
      <c r="C265" s="46"/>
      <c r="D265" s="46"/>
      <c r="E265" s="46"/>
      <c r="F265" s="46"/>
      <c r="G265" s="46"/>
      <c r="H265" s="46"/>
      <c r="I265" s="46"/>
      <c r="J265" s="46"/>
      <c r="K265" s="46"/>
      <c r="L265" s="46"/>
      <c r="M265" s="46"/>
      <c r="N265" s="46"/>
      <c r="O265" s="46"/>
      <c r="P265" s="46"/>
      <c r="Q265" s="46"/>
      <c r="R265" s="46"/>
      <c r="S265" s="46"/>
      <c r="T265" s="46"/>
      <c r="U265" s="46"/>
      <c r="V265" s="46"/>
      <c r="W265" s="46"/>
      <c r="X265" s="46"/>
      <c r="Y265" s="46"/>
      <c r="Z265" s="46"/>
    </row>
    <row r="266" spans="1:26" x14ac:dyDescent="0.25">
      <c r="A266" s="46"/>
      <c r="B266" s="46"/>
      <c r="C266" s="46"/>
      <c r="D266" s="46"/>
      <c r="E266" s="46"/>
      <c r="F266" s="46"/>
      <c r="G266" s="46"/>
      <c r="H266" s="46"/>
      <c r="I266" s="46"/>
      <c r="J266" s="46"/>
      <c r="K266" s="46"/>
      <c r="L266" s="46"/>
      <c r="M266" s="46"/>
      <c r="N266" s="46"/>
      <c r="O266" s="46"/>
      <c r="P266" s="46"/>
      <c r="Q266" s="46"/>
      <c r="R266" s="46"/>
      <c r="S266" s="46"/>
      <c r="T266" s="46"/>
      <c r="U266" s="46"/>
      <c r="V266" s="46"/>
      <c r="W266" s="46"/>
      <c r="X266" s="46"/>
      <c r="Y266" s="46"/>
      <c r="Z266" s="46"/>
    </row>
    <row r="267" spans="1:26" x14ac:dyDescent="0.25">
      <c r="A267" s="46"/>
      <c r="B267" s="46"/>
      <c r="C267" s="46"/>
      <c r="D267" s="46"/>
      <c r="E267" s="46"/>
      <c r="F267" s="46"/>
      <c r="G267" s="46"/>
      <c r="H267" s="46"/>
      <c r="I267" s="46"/>
      <c r="J267" s="46"/>
      <c r="K267" s="46"/>
      <c r="L267" s="46"/>
      <c r="M267" s="46"/>
      <c r="N267" s="46"/>
      <c r="O267" s="46"/>
      <c r="P267" s="46"/>
      <c r="Q267" s="46"/>
      <c r="R267" s="46"/>
      <c r="S267" s="46"/>
      <c r="T267" s="46"/>
      <c r="U267" s="46"/>
      <c r="V267" s="46"/>
      <c r="W267" s="46"/>
      <c r="X267" s="46"/>
      <c r="Y267" s="46"/>
      <c r="Z267" s="46"/>
    </row>
    <row r="268" spans="1:26" x14ac:dyDescent="0.25">
      <c r="A268" s="46"/>
      <c r="B268" s="46"/>
      <c r="C268" s="46"/>
      <c r="D268" s="46"/>
      <c r="E268" s="46"/>
      <c r="F268" s="46"/>
      <c r="G268" s="46"/>
      <c r="H268" s="46"/>
      <c r="I268" s="46"/>
      <c r="J268" s="46"/>
      <c r="K268" s="46"/>
      <c r="L268" s="46"/>
      <c r="M268" s="46"/>
      <c r="N268" s="46"/>
      <c r="O268" s="46"/>
      <c r="P268" s="46"/>
      <c r="Q268" s="46"/>
      <c r="R268" s="46"/>
      <c r="S268" s="46"/>
      <c r="T268" s="46"/>
      <c r="U268" s="46"/>
      <c r="V268" s="46"/>
      <c r="W268" s="46"/>
      <c r="X268" s="46"/>
      <c r="Y268" s="46"/>
      <c r="Z268" s="46"/>
    </row>
    <row r="269" spans="1:26" x14ac:dyDescent="0.25">
      <c r="A269" s="46"/>
      <c r="B269" s="46"/>
      <c r="C269" s="46"/>
      <c r="D269" s="46"/>
      <c r="E269" s="46"/>
      <c r="F269" s="46"/>
      <c r="G269" s="46"/>
      <c r="H269" s="46"/>
      <c r="I269" s="46"/>
      <c r="J269" s="46"/>
      <c r="K269" s="46"/>
      <c r="L269" s="46"/>
      <c r="M269" s="46"/>
      <c r="N269" s="46"/>
      <c r="O269" s="46"/>
      <c r="P269" s="46"/>
      <c r="Q269" s="46"/>
      <c r="R269" s="46"/>
      <c r="S269" s="46"/>
      <c r="T269" s="46"/>
      <c r="U269" s="46"/>
      <c r="V269" s="46"/>
      <c r="W269" s="46"/>
      <c r="X269" s="46"/>
      <c r="Y269" s="46"/>
      <c r="Z269" s="46"/>
    </row>
    <row r="270" spans="1:26" x14ac:dyDescent="0.25">
      <c r="A270" s="46"/>
      <c r="B270" s="46"/>
      <c r="C270" s="46"/>
      <c r="D270" s="46"/>
      <c r="E270" s="46"/>
      <c r="F270" s="46"/>
      <c r="G270" s="46"/>
      <c r="H270" s="46"/>
      <c r="I270" s="46"/>
      <c r="J270" s="46"/>
      <c r="K270" s="46"/>
      <c r="L270" s="46"/>
      <c r="M270" s="46"/>
      <c r="N270" s="46"/>
      <c r="O270" s="46"/>
      <c r="P270" s="46"/>
      <c r="Q270" s="46"/>
      <c r="R270" s="46"/>
      <c r="S270" s="46"/>
      <c r="T270" s="46"/>
      <c r="U270" s="46"/>
      <c r="V270" s="46"/>
      <c r="W270" s="46"/>
      <c r="X270" s="46"/>
      <c r="Y270" s="46"/>
      <c r="Z270" s="46"/>
    </row>
    <row r="271" spans="1:26" x14ac:dyDescent="0.25">
      <c r="A271" s="46"/>
      <c r="B271" s="46"/>
      <c r="C271" s="46"/>
      <c r="D271" s="46"/>
      <c r="E271" s="46"/>
      <c r="F271" s="46"/>
      <c r="G271" s="46"/>
      <c r="H271" s="46"/>
      <c r="I271" s="46"/>
      <c r="J271" s="46"/>
      <c r="K271" s="46"/>
      <c r="L271" s="46"/>
      <c r="M271" s="46"/>
      <c r="N271" s="46"/>
      <c r="O271" s="46"/>
      <c r="P271" s="46"/>
      <c r="Q271" s="46"/>
      <c r="R271" s="46"/>
      <c r="S271" s="46"/>
      <c r="T271" s="46"/>
      <c r="U271" s="46"/>
      <c r="V271" s="46"/>
      <c r="W271" s="46"/>
      <c r="X271" s="46"/>
      <c r="Y271" s="46"/>
      <c r="Z271" s="46"/>
    </row>
    <row r="272" spans="1:26" x14ac:dyDescent="0.25">
      <c r="A272" s="46"/>
      <c r="B272" s="46"/>
      <c r="C272" s="46"/>
      <c r="D272" s="46"/>
      <c r="E272" s="46"/>
      <c r="F272" s="46"/>
      <c r="G272" s="46"/>
      <c r="H272" s="46"/>
      <c r="I272" s="46"/>
      <c r="J272" s="46"/>
      <c r="K272" s="46"/>
      <c r="L272" s="46"/>
      <c r="M272" s="46"/>
      <c r="N272" s="46"/>
      <c r="O272" s="46"/>
      <c r="P272" s="46"/>
      <c r="Q272" s="46"/>
      <c r="R272" s="46"/>
      <c r="S272" s="46"/>
      <c r="T272" s="46"/>
      <c r="U272" s="46"/>
      <c r="V272" s="46"/>
      <c r="W272" s="46"/>
      <c r="X272" s="46"/>
      <c r="Y272" s="46"/>
      <c r="Z272" s="46"/>
    </row>
    <row r="273" spans="1:26" x14ac:dyDescent="0.25">
      <c r="A273" s="46"/>
      <c r="B273" s="46"/>
      <c r="C273" s="46"/>
      <c r="D273" s="46"/>
      <c r="E273" s="46"/>
      <c r="F273" s="46"/>
      <c r="G273" s="46"/>
      <c r="H273" s="46"/>
      <c r="I273" s="46"/>
      <c r="J273" s="46"/>
      <c r="K273" s="46"/>
      <c r="L273" s="46"/>
      <c r="M273" s="46"/>
      <c r="N273" s="46"/>
      <c r="O273" s="46"/>
      <c r="P273" s="46"/>
      <c r="Q273" s="46"/>
      <c r="R273" s="46"/>
      <c r="S273" s="46"/>
      <c r="T273" s="46"/>
      <c r="U273" s="46"/>
      <c r="V273" s="46"/>
      <c r="W273" s="46"/>
      <c r="X273" s="46"/>
      <c r="Y273" s="46"/>
      <c r="Z273" s="46"/>
    </row>
    <row r="274" spans="1:26" x14ac:dyDescent="0.25">
      <c r="A274" s="46"/>
      <c r="B274" s="46"/>
      <c r="C274" s="46"/>
      <c r="D274" s="46"/>
      <c r="E274" s="46"/>
      <c r="F274" s="46"/>
      <c r="G274" s="46"/>
      <c r="H274" s="46"/>
      <c r="I274" s="46"/>
      <c r="J274" s="46"/>
      <c r="K274" s="46"/>
      <c r="L274" s="46"/>
      <c r="M274" s="46"/>
      <c r="N274" s="46"/>
      <c r="O274" s="46"/>
      <c r="P274" s="46"/>
      <c r="Q274" s="46"/>
      <c r="R274" s="46"/>
      <c r="S274" s="46"/>
      <c r="T274" s="46"/>
      <c r="U274" s="46"/>
      <c r="V274" s="46"/>
      <c r="W274" s="46"/>
      <c r="X274" s="46"/>
      <c r="Y274" s="46"/>
      <c r="Z274" s="46"/>
    </row>
    <row r="275" spans="1:26" x14ac:dyDescent="0.25">
      <c r="A275" s="46"/>
      <c r="B275" s="46"/>
      <c r="C275" s="46"/>
      <c r="D275" s="46"/>
      <c r="E275" s="46"/>
      <c r="F275" s="46"/>
      <c r="G275" s="46"/>
      <c r="H275" s="46"/>
      <c r="I275" s="46"/>
      <c r="J275" s="46"/>
      <c r="K275" s="46"/>
      <c r="L275" s="46"/>
      <c r="M275" s="46"/>
      <c r="N275" s="46"/>
      <c r="O275" s="46"/>
      <c r="P275" s="46"/>
      <c r="Q275" s="46"/>
      <c r="R275" s="46"/>
      <c r="S275" s="46"/>
      <c r="T275" s="46"/>
      <c r="U275" s="46"/>
      <c r="V275" s="46"/>
      <c r="W275" s="46"/>
      <c r="X275" s="46"/>
      <c r="Y275" s="46"/>
      <c r="Z275" s="46"/>
    </row>
    <row r="276" spans="1:26" x14ac:dyDescent="0.25">
      <c r="A276" s="46"/>
      <c r="B276" s="46"/>
      <c r="C276" s="46"/>
      <c r="D276" s="46"/>
      <c r="E276" s="46"/>
      <c r="F276" s="46"/>
      <c r="G276" s="46"/>
      <c r="H276" s="46"/>
      <c r="I276" s="46"/>
      <c r="J276" s="46"/>
      <c r="K276" s="46"/>
      <c r="L276" s="46"/>
      <c r="M276" s="46"/>
      <c r="N276" s="46"/>
      <c r="O276" s="46"/>
      <c r="P276" s="46"/>
      <c r="Q276" s="46"/>
      <c r="R276" s="46"/>
      <c r="S276" s="46"/>
      <c r="T276" s="46"/>
      <c r="U276" s="46"/>
      <c r="V276" s="46"/>
      <c r="W276" s="46"/>
      <c r="X276" s="46"/>
      <c r="Y276" s="46"/>
      <c r="Z276" s="46"/>
    </row>
    <row r="277" spans="1:26" x14ac:dyDescent="0.25">
      <c r="A277" s="46"/>
      <c r="B277" s="46"/>
      <c r="C277" s="46"/>
      <c r="D277" s="46"/>
      <c r="E277" s="46"/>
      <c r="F277" s="46"/>
      <c r="G277" s="46"/>
      <c r="H277" s="46"/>
      <c r="I277" s="46"/>
      <c r="J277" s="46"/>
      <c r="K277" s="46"/>
      <c r="L277" s="46"/>
      <c r="M277" s="46"/>
      <c r="N277" s="46"/>
      <c r="O277" s="46"/>
      <c r="P277" s="46"/>
      <c r="Q277" s="46"/>
      <c r="R277" s="46"/>
      <c r="S277" s="46"/>
      <c r="T277" s="46"/>
      <c r="U277" s="46"/>
      <c r="V277" s="46"/>
      <c r="W277" s="46"/>
      <c r="X277" s="46"/>
      <c r="Y277" s="46"/>
      <c r="Z277" s="46"/>
    </row>
    <row r="278" spans="1:26" x14ac:dyDescent="0.25">
      <c r="A278" s="46"/>
      <c r="B278" s="46"/>
      <c r="C278" s="46"/>
      <c r="D278" s="46"/>
      <c r="E278" s="46"/>
      <c r="F278" s="46"/>
      <c r="G278" s="46"/>
      <c r="H278" s="46"/>
      <c r="I278" s="46"/>
      <c r="J278" s="46"/>
      <c r="K278" s="46"/>
      <c r="L278" s="46"/>
      <c r="M278" s="46"/>
      <c r="N278" s="46"/>
      <c r="O278" s="46"/>
      <c r="P278" s="46"/>
      <c r="Q278" s="46"/>
      <c r="R278" s="46"/>
      <c r="S278" s="46"/>
      <c r="T278" s="46"/>
      <c r="U278" s="46"/>
      <c r="V278" s="46"/>
      <c r="W278" s="46"/>
      <c r="X278" s="46"/>
      <c r="Y278" s="46"/>
      <c r="Z278" s="46"/>
    </row>
    <row r="279" spans="1:26" x14ac:dyDescent="0.25">
      <c r="A279" s="46"/>
      <c r="B279" s="46"/>
      <c r="C279" s="46"/>
      <c r="D279" s="46"/>
      <c r="E279" s="46"/>
      <c r="F279" s="46"/>
      <c r="G279" s="46"/>
      <c r="H279" s="46"/>
      <c r="I279" s="46"/>
      <c r="J279" s="46"/>
      <c r="K279" s="46"/>
      <c r="L279" s="46"/>
      <c r="M279" s="46"/>
      <c r="N279" s="46"/>
      <c r="O279" s="46"/>
      <c r="P279" s="46"/>
      <c r="Q279" s="46"/>
      <c r="R279" s="46"/>
      <c r="S279" s="46"/>
      <c r="T279" s="46"/>
      <c r="U279" s="46"/>
      <c r="V279" s="46"/>
      <c r="W279" s="46"/>
      <c r="X279" s="46"/>
      <c r="Y279" s="46"/>
      <c r="Z279" s="46"/>
    </row>
    <row r="280" spans="1:26" x14ac:dyDescent="0.25">
      <c r="A280" s="46"/>
      <c r="B280" s="46"/>
      <c r="C280" s="46"/>
      <c r="D280" s="46"/>
      <c r="E280" s="46"/>
      <c r="F280" s="46"/>
      <c r="G280" s="46"/>
      <c r="H280" s="46"/>
      <c r="I280" s="46"/>
      <c r="J280" s="46"/>
      <c r="K280" s="46"/>
      <c r="L280" s="46"/>
      <c r="M280" s="46"/>
      <c r="N280" s="46"/>
      <c r="O280" s="46"/>
      <c r="P280" s="46"/>
      <c r="Q280" s="46"/>
      <c r="R280" s="46"/>
      <c r="S280" s="46"/>
      <c r="T280" s="46"/>
      <c r="U280" s="46"/>
      <c r="V280" s="46"/>
      <c r="W280" s="46"/>
      <c r="X280" s="46"/>
      <c r="Y280" s="46"/>
      <c r="Z280" s="46"/>
    </row>
    <row r="281" spans="1:26" x14ac:dyDescent="0.25">
      <c r="A281" s="46"/>
      <c r="B281" s="46"/>
      <c r="C281" s="46"/>
      <c r="D281" s="46"/>
      <c r="E281" s="46"/>
      <c r="F281" s="46"/>
      <c r="G281" s="46"/>
      <c r="H281" s="46"/>
      <c r="I281" s="46"/>
      <c r="J281" s="46"/>
      <c r="K281" s="46"/>
      <c r="L281" s="46"/>
      <c r="M281" s="46"/>
      <c r="N281" s="46"/>
      <c r="O281" s="46"/>
      <c r="P281" s="46"/>
      <c r="Q281" s="46"/>
      <c r="R281" s="46"/>
      <c r="S281" s="46"/>
      <c r="T281" s="46"/>
      <c r="U281" s="46"/>
      <c r="V281" s="46"/>
      <c r="W281" s="46"/>
      <c r="X281" s="46"/>
      <c r="Y281" s="46"/>
      <c r="Z281" s="46"/>
    </row>
    <row r="282" spans="1:26" x14ac:dyDescent="0.25">
      <c r="A282" s="46"/>
      <c r="B282" s="46"/>
      <c r="C282" s="46"/>
      <c r="D282" s="46"/>
      <c r="E282" s="46"/>
      <c r="F282" s="46"/>
      <c r="G282" s="46"/>
      <c r="H282" s="46"/>
      <c r="I282" s="46"/>
      <c r="J282" s="46"/>
      <c r="K282" s="46"/>
      <c r="L282" s="46"/>
      <c r="M282" s="46"/>
      <c r="N282" s="46"/>
      <c r="O282" s="46"/>
      <c r="P282" s="46"/>
      <c r="Q282" s="46"/>
      <c r="R282" s="46"/>
      <c r="S282" s="46"/>
      <c r="T282" s="46"/>
      <c r="U282" s="46"/>
      <c r="V282" s="46"/>
      <c r="W282" s="46"/>
      <c r="X282" s="46"/>
      <c r="Y282" s="46"/>
      <c r="Z282" s="46"/>
    </row>
    <row r="283" spans="1:26" x14ac:dyDescent="0.25">
      <c r="A283" s="46"/>
      <c r="B283" s="46"/>
      <c r="C283" s="46"/>
      <c r="D283" s="46"/>
      <c r="E283" s="46"/>
      <c r="F283" s="46"/>
      <c r="G283" s="46"/>
      <c r="H283" s="46"/>
      <c r="I283" s="46"/>
      <c r="J283" s="46"/>
      <c r="K283" s="46"/>
      <c r="L283" s="46"/>
      <c r="M283" s="46"/>
      <c r="N283" s="46"/>
      <c r="O283" s="46"/>
      <c r="P283" s="46"/>
      <c r="Q283" s="46"/>
      <c r="R283" s="46"/>
      <c r="S283" s="46"/>
      <c r="T283" s="46"/>
      <c r="U283" s="46"/>
      <c r="V283" s="46"/>
      <c r="W283" s="46"/>
      <c r="X283" s="46"/>
      <c r="Y283" s="46"/>
      <c r="Z283" s="46"/>
    </row>
    <row r="284" spans="1:26" x14ac:dyDescent="0.25">
      <c r="A284" s="46"/>
      <c r="B284" s="46"/>
      <c r="C284" s="46"/>
      <c r="D284" s="46"/>
      <c r="E284" s="46"/>
      <c r="F284" s="46"/>
      <c r="G284" s="46"/>
      <c r="H284" s="46"/>
      <c r="I284" s="46"/>
      <c r="J284" s="46"/>
      <c r="K284" s="46"/>
      <c r="L284" s="46"/>
      <c r="M284" s="46"/>
      <c r="N284" s="46"/>
      <c r="O284" s="46"/>
      <c r="P284" s="46"/>
      <c r="Q284" s="46"/>
      <c r="R284" s="46"/>
      <c r="S284" s="46"/>
      <c r="T284" s="46"/>
      <c r="U284" s="46"/>
      <c r="V284" s="46"/>
      <c r="W284" s="46"/>
      <c r="X284" s="46"/>
      <c r="Y284" s="46"/>
      <c r="Z284" s="46"/>
    </row>
    <row r="285" spans="1:26" x14ac:dyDescent="0.25">
      <c r="A285" s="46"/>
      <c r="B285" s="46"/>
      <c r="C285" s="46"/>
      <c r="D285" s="46"/>
      <c r="E285" s="46"/>
      <c r="F285" s="46"/>
      <c r="G285" s="46"/>
      <c r="H285" s="46"/>
      <c r="I285" s="46"/>
      <c r="J285" s="46"/>
      <c r="K285" s="46"/>
      <c r="L285" s="46"/>
      <c r="M285" s="46"/>
      <c r="N285" s="46"/>
      <c r="O285" s="46"/>
      <c r="P285" s="46"/>
      <c r="Q285" s="46"/>
      <c r="R285" s="46"/>
      <c r="S285" s="46"/>
      <c r="T285" s="46"/>
      <c r="U285" s="46"/>
      <c r="V285" s="46"/>
      <c r="W285" s="46"/>
      <c r="X285" s="46"/>
      <c r="Y285" s="46"/>
      <c r="Z285" s="46"/>
    </row>
    <row r="286" spans="1:26" x14ac:dyDescent="0.25">
      <c r="A286" s="46"/>
      <c r="B286" s="46"/>
      <c r="C286" s="46"/>
      <c r="D286" s="46"/>
      <c r="E286" s="46"/>
      <c r="F286" s="46"/>
      <c r="G286" s="46"/>
      <c r="H286" s="46"/>
      <c r="I286" s="46"/>
      <c r="J286" s="46"/>
      <c r="K286" s="46"/>
      <c r="L286" s="46"/>
      <c r="M286" s="46"/>
      <c r="N286" s="46"/>
      <c r="O286" s="46"/>
      <c r="P286" s="46"/>
      <c r="Q286" s="46"/>
      <c r="R286" s="46"/>
      <c r="S286" s="46"/>
      <c r="T286" s="46"/>
      <c r="U286" s="46"/>
      <c r="V286" s="46"/>
      <c r="W286" s="46"/>
      <c r="X286" s="46"/>
      <c r="Y286" s="46"/>
      <c r="Z286" s="46"/>
    </row>
    <row r="287" spans="1:26" x14ac:dyDescent="0.25">
      <c r="A287" s="46"/>
      <c r="B287" s="46"/>
      <c r="C287" s="46"/>
      <c r="D287" s="46"/>
      <c r="E287" s="46"/>
      <c r="F287" s="46"/>
      <c r="G287" s="46"/>
      <c r="H287" s="46"/>
      <c r="I287" s="46"/>
      <c r="J287" s="46"/>
      <c r="K287" s="46"/>
      <c r="L287" s="46"/>
      <c r="M287" s="46"/>
      <c r="N287" s="46"/>
      <c r="O287" s="46"/>
      <c r="P287" s="46"/>
      <c r="Q287" s="46"/>
      <c r="R287" s="46"/>
      <c r="S287" s="46"/>
      <c r="T287" s="46"/>
      <c r="U287" s="46"/>
      <c r="V287" s="46"/>
      <c r="W287" s="46"/>
      <c r="X287" s="46"/>
      <c r="Y287" s="46"/>
      <c r="Z287" s="46"/>
    </row>
    <row r="288" spans="1:26" x14ac:dyDescent="0.25">
      <c r="A288" s="46"/>
      <c r="B288" s="46"/>
      <c r="C288" s="46"/>
      <c r="D288" s="46"/>
      <c r="E288" s="46"/>
      <c r="F288" s="46"/>
      <c r="G288" s="46"/>
      <c r="H288" s="46"/>
      <c r="I288" s="46"/>
      <c r="J288" s="46"/>
      <c r="K288" s="46"/>
      <c r="L288" s="46"/>
      <c r="M288" s="46"/>
      <c r="N288" s="46"/>
      <c r="O288" s="46"/>
      <c r="P288" s="46"/>
      <c r="Q288" s="46"/>
      <c r="R288" s="46"/>
      <c r="S288" s="46"/>
      <c r="T288" s="46"/>
      <c r="U288" s="46"/>
      <c r="V288" s="46"/>
      <c r="W288" s="46"/>
      <c r="X288" s="46"/>
      <c r="Y288" s="46"/>
      <c r="Z288" s="46"/>
    </row>
    <row r="289" spans="1:26" x14ac:dyDescent="0.25">
      <c r="A289" s="46"/>
      <c r="B289" s="46"/>
      <c r="C289" s="46"/>
      <c r="D289" s="46"/>
      <c r="E289" s="46"/>
      <c r="F289" s="46"/>
      <c r="G289" s="46"/>
      <c r="H289" s="46"/>
      <c r="I289" s="46"/>
      <c r="J289" s="46"/>
      <c r="K289" s="46"/>
      <c r="L289" s="46"/>
      <c r="M289" s="46"/>
      <c r="N289" s="46"/>
      <c r="O289" s="46"/>
      <c r="P289" s="46"/>
      <c r="Q289" s="46"/>
      <c r="R289" s="46"/>
      <c r="S289" s="46"/>
      <c r="T289" s="46"/>
      <c r="U289" s="46"/>
      <c r="V289" s="46"/>
      <c r="W289" s="46"/>
      <c r="X289" s="46"/>
      <c r="Y289" s="46"/>
      <c r="Z289" s="46"/>
    </row>
    <row r="290" spans="1:26" x14ac:dyDescent="0.25">
      <c r="A290" s="46"/>
      <c r="B290" s="46"/>
      <c r="C290" s="46"/>
      <c r="D290" s="46"/>
      <c r="E290" s="46"/>
      <c r="F290" s="46"/>
      <c r="G290" s="46"/>
      <c r="H290" s="46"/>
      <c r="I290" s="46"/>
      <c r="J290" s="46"/>
      <c r="K290" s="46"/>
      <c r="L290" s="46"/>
      <c r="M290" s="46"/>
      <c r="N290" s="46"/>
      <c r="O290" s="46"/>
      <c r="P290" s="46"/>
      <c r="Q290" s="46"/>
      <c r="R290" s="46"/>
      <c r="S290" s="46"/>
      <c r="T290" s="46"/>
      <c r="U290" s="46"/>
      <c r="V290" s="46"/>
      <c r="W290" s="46"/>
      <c r="X290" s="46"/>
      <c r="Y290" s="46"/>
      <c r="Z290" s="46"/>
    </row>
    <row r="291" spans="1:26" x14ac:dyDescent="0.25">
      <c r="A291" s="46"/>
      <c r="B291" s="46"/>
      <c r="C291" s="46"/>
      <c r="D291" s="46"/>
      <c r="E291" s="46"/>
      <c r="F291" s="46"/>
      <c r="G291" s="46"/>
      <c r="H291" s="46"/>
      <c r="I291" s="46"/>
      <c r="J291" s="46"/>
      <c r="K291" s="46"/>
      <c r="L291" s="46"/>
      <c r="M291" s="46"/>
      <c r="N291" s="46"/>
      <c r="O291" s="46"/>
      <c r="P291" s="46"/>
      <c r="Q291" s="46"/>
      <c r="R291" s="46"/>
      <c r="S291" s="46"/>
      <c r="T291" s="46"/>
      <c r="U291" s="46"/>
      <c r="V291" s="46"/>
      <c r="W291" s="46"/>
      <c r="X291" s="46"/>
      <c r="Y291" s="46"/>
      <c r="Z291" s="46"/>
    </row>
    <row r="292" spans="1:26" x14ac:dyDescent="0.25">
      <c r="A292" s="46"/>
      <c r="B292" s="46"/>
      <c r="C292" s="46"/>
      <c r="D292" s="46"/>
      <c r="E292" s="46"/>
      <c r="F292" s="46"/>
      <c r="G292" s="46"/>
      <c r="H292" s="46"/>
      <c r="I292" s="46"/>
      <c r="J292" s="46"/>
      <c r="K292" s="46"/>
      <c r="L292" s="46"/>
      <c r="M292" s="46"/>
      <c r="N292" s="46"/>
      <c r="O292" s="46"/>
      <c r="P292" s="46"/>
      <c r="Q292" s="46"/>
      <c r="R292" s="46"/>
      <c r="S292" s="46"/>
      <c r="T292" s="46"/>
      <c r="U292" s="46"/>
      <c r="V292" s="46"/>
      <c r="W292" s="46"/>
      <c r="X292" s="46"/>
      <c r="Y292" s="46"/>
      <c r="Z292" s="46"/>
    </row>
    <row r="293" spans="1:26" x14ac:dyDescent="0.25">
      <c r="A293" s="46"/>
      <c r="B293" s="46"/>
      <c r="C293" s="46"/>
      <c r="D293" s="46"/>
      <c r="E293" s="46"/>
      <c r="F293" s="46"/>
      <c r="G293" s="46"/>
      <c r="H293" s="46"/>
      <c r="I293" s="46"/>
      <c r="J293" s="46"/>
      <c r="K293" s="46"/>
      <c r="L293" s="46"/>
      <c r="M293" s="46"/>
      <c r="N293" s="46"/>
      <c r="O293" s="46"/>
      <c r="P293" s="46"/>
      <c r="Q293" s="46"/>
      <c r="R293" s="46"/>
      <c r="S293" s="46"/>
      <c r="T293" s="46"/>
      <c r="U293" s="46"/>
      <c r="V293" s="46"/>
      <c r="W293" s="46"/>
      <c r="X293" s="46"/>
      <c r="Y293" s="46"/>
      <c r="Z293" s="46"/>
    </row>
    <row r="294" spans="1:26" x14ac:dyDescent="0.25">
      <c r="A294" s="46"/>
      <c r="B294" s="46"/>
      <c r="C294" s="46"/>
      <c r="D294" s="46"/>
      <c r="E294" s="46"/>
      <c r="F294" s="46"/>
      <c r="G294" s="46"/>
      <c r="H294" s="46"/>
      <c r="I294" s="46"/>
      <c r="J294" s="46"/>
      <c r="K294" s="46"/>
      <c r="L294" s="46"/>
      <c r="M294" s="46"/>
      <c r="N294" s="46"/>
      <c r="O294" s="46"/>
      <c r="P294" s="46"/>
      <c r="Q294" s="46"/>
      <c r="R294" s="46"/>
      <c r="S294" s="46"/>
      <c r="T294" s="46"/>
      <c r="U294" s="46"/>
      <c r="V294" s="46"/>
      <c r="W294" s="46"/>
      <c r="X294" s="46"/>
      <c r="Y294" s="46"/>
      <c r="Z294" s="46"/>
    </row>
    <row r="295" spans="1:26" x14ac:dyDescent="0.25">
      <c r="A295" s="46"/>
      <c r="B295" s="46"/>
      <c r="C295" s="46"/>
      <c r="D295" s="46"/>
      <c r="E295" s="46"/>
      <c r="F295" s="46"/>
      <c r="G295" s="46"/>
      <c r="H295" s="46"/>
      <c r="I295" s="46"/>
      <c r="J295" s="46"/>
      <c r="K295" s="46"/>
      <c r="L295" s="46"/>
      <c r="M295" s="46"/>
      <c r="N295" s="46"/>
      <c r="O295" s="46"/>
      <c r="P295" s="46"/>
      <c r="Q295" s="46"/>
      <c r="R295" s="46"/>
      <c r="S295" s="46"/>
      <c r="T295" s="46"/>
      <c r="U295" s="46"/>
      <c r="V295" s="46"/>
      <c r="W295" s="46"/>
      <c r="X295" s="46"/>
      <c r="Y295" s="46"/>
      <c r="Z295" s="46"/>
    </row>
    <row r="296" spans="1:26" x14ac:dyDescent="0.25">
      <c r="A296" s="46"/>
      <c r="B296" s="46"/>
      <c r="C296" s="46"/>
      <c r="D296" s="46"/>
      <c r="E296" s="46"/>
      <c r="F296" s="46"/>
      <c r="G296" s="46"/>
      <c r="H296" s="46"/>
      <c r="I296" s="46"/>
      <c r="J296" s="46"/>
      <c r="K296" s="46"/>
      <c r="L296" s="46"/>
      <c r="M296" s="46"/>
      <c r="N296" s="46"/>
      <c r="O296" s="46"/>
      <c r="P296" s="46"/>
      <c r="Q296" s="46"/>
      <c r="R296" s="46"/>
      <c r="S296" s="46"/>
      <c r="T296" s="46"/>
      <c r="U296" s="46"/>
      <c r="V296" s="46"/>
      <c r="W296" s="46"/>
      <c r="X296" s="46"/>
      <c r="Y296" s="46"/>
      <c r="Z296" s="46"/>
    </row>
    <row r="297" spans="1:26" x14ac:dyDescent="0.25">
      <c r="A297" s="46"/>
      <c r="B297" s="46"/>
      <c r="C297" s="46"/>
      <c r="D297" s="46"/>
      <c r="E297" s="46"/>
      <c r="F297" s="46"/>
      <c r="G297" s="46"/>
      <c r="H297" s="46"/>
      <c r="I297" s="46"/>
      <c r="J297" s="46"/>
      <c r="K297" s="46"/>
      <c r="L297" s="46"/>
      <c r="M297" s="46"/>
      <c r="N297" s="46"/>
      <c r="O297" s="46"/>
      <c r="P297" s="46"/>
      <c r="Q297" s="46"/>
      <c r="R297" s="46"/>
      <c r="S297" s="46"/>
      <c r="T297" s="46"/>
      <c r="U297" s="46"/>
      <c r="V297" s="46"/>
      <c r="W297" s="46"/>
      <c r="X297" s="46"/>
      <c r="Y297" s="46"/>
      <c r="Z297" s="46"/>
    </row>
    <row r="298" spans="1:26" x14ac:dyDescent="0.25">
      <c r="A298" s="46"/>
      <c r="B298" s="46"/>
      <c r="C298" s="46"/>
      <c r="D298" s="46"/>
      <c r="E298" s="46"/>
      <c r="F298" s="46"/>
      <c r="G298" s="46"/>
      <c r="H298" s="46"/>
      <c r="I298" s="46"/>
      <c r="J298" s="46"/>
      <c r="K298" s="46"/>
      <c r="L298" s="46"/>
      <c r="M298" s="46"/>
      <c r="N298" s="46"/>
      <c r="O298" s="46"/>
      <c r="P298" s="46"/>
      <c r="Q298" s="46"/>
      <c r="R298" s="46"/>
      <c r="S298" s="46"/>
      <c r="T298" s="46"/>
      <c r="U298" s="46"/>
      <c r="V298" s="46"/>
      <c r="W298" s="46"/>
      <c r="X298" s="46"/>
      <c r="Y298" s="46"/>
      <c r="Z298" s="46"/>
    </row>
    <row r="299" spans="1:26" x14ac:dyDescent="0.25">
      <c r="A299" s="46"/>
      <c r="B299" s="46"/>
      <c r="C299" s="46"/>
      <c r="D299" s="46"/>
      <c r="E299" s="46"/>
      <c r="F299" s="46"/>
      <c r="G299" s="46"/>
      <c r="H299" s="46"/>
      <c r="I299" s="46"/>
      <c r="J299" s="46"/>
      <c r="K299" s="46"/>
      <c r="L299" s="46"/>
      <c r="M299" s="46"/>
      <c r="N299" s="46"/>
      <c r="O299" s="46"/>
      <c r="P299" s="46"/>
      <c r="Q299" s="46"/>
      <c r="R299" s="46"/>
      <c r="S299" s="46"/>
      <c r="T299" s="46"/>
      <c r="U299" s="46"/>
      <c r="V299" s="46"/>
      <c r="W299" s="46"/>
      <c r="X299" s="46"/>
      <c r="Y299" s="46"/>
      <c r="Z299" s="46"/>
    </row>
    <row r="300" spans="1:26" x14ac:dyDescent="0.25">
      <c r="A300" s="46"/>
      <c r="B300" s="46"/>
      <c r="C300" s="46"/>
      <c r="D300" s="46"/>
      <c r="E300" s="46"/>
      <c r="F300" s="46"/>
      <c r="G300" s="46"/>
      <c r="H300" s="46"/>
      <c r="I300" s="46"/>
      <c r="J300" s="46"/>
      <c r="K300" s="46"/>
      <c r="L300" s="46"/>
      <c r="M300" s="46"/>
      <c r="N300" s="46"/>
      <c r="O300" s="46"/>
      <c r="P300" s="46"/>
      <c r="Q300" s="46"/>
      <c r="R300" s="46"/>
      <c r="S300" s="46"/>
      <c r="T300" s="46"/>
      <c r="U300" s="46"/>
      <c r="V300" s="46"/>
      <c r="W300" s="46"/>
      <c r="X300" s="46"/>
      <c r="Y300" s="46"/>
      <c r="Z300" s="46"/>
    </row>
    <row r="301" spans="1:26" x14ac:dyDescent="0.25">
      <c r="A301" s="46"/>
      <c r="B301" s="46"/>
      <c r="C301" s="46"/>
      <c r="D301" s="46"/>
      <c r="E301" s="46"/>
      <c r="F301" s="46"/>
      <c r="G301" s="46"/>
      <c r="H301" s="46"/>
      <c r="I301" s="46"/>
      <c r="J301" s="46"/>
      <c r="K301" s="46"/>
      <c r="L301" s="46"/>
      <c r="M301" s="46"/>
      <c r="N301" s="46"/>
      <c r="O301" s="46"/>
      <c r="P301" s="46"/>
      <c r="Q301" s="46"/>
      <c r="R301" s="46"/>
      <c r="S301" s="46"/>
      <c r="T301" s="46"/>
      <c r="U301" s="46"/>
      <c r="V301" s="46"/>
      <c r="W301" s="46"/>
      <c r="X301" s="46"/>
      <c r="Y301" s="46"/>
      <c r="Z301" s="46"/>
    </row>
    <row r="302" spans="1:26" x14ac:dyDescent="0.25">
      <c r="A302" s="46"/>
      <c r="B302" s="46"/>
      <c r="C302" s="46"/>
      <c r="D302" s="46"/>
      <c r="E302" s="46"/>
      <c r="F302" s="46"/>
      <c r="G302" s="46"/>
      <c r="H302" s="46"/>
      <c r="I302" s="46"/>
      <c r="J302" s="46"/>
      <c r="K302" s="46"/>
      <c r="L302" s="46"/>
      <c r="M302" s="46"/>
      <c r="N302" s="46"/>
      <c r="O302" s="46"/>
      <c r="P302" s="46"/>
      <c r="Q302" s="46"/>
      <c r="R302" s="46"/>
      <c r="S302" s="46"/>
      <c r="T302" s="46"/>
      <c r="U302" s="46"/>
      <c r="V302" s="46"/>
      <c r="W302" s="46"/>
      <c r="X302" s="46"/>
      <c r="Y302" s="46"/>
      <c r="Z302" s="46"/>
    </row>
    <row r="303" spans="1:26" x14ac:dyDescent="0.25">
      <c r="A303" s="46"/>
      <c r="B303" s="46"/>
      <c r="C303" s="46"/>
      <c r="D303" s="46"/>
      <c r="E303" s="46"/>
      <c r="F303" s="46"/>
      <c r="G303" s="46"/>
      <c r="H303" s="46"/>
      <c r="I303" s="46"/>
      <c r="J303" s="46"/>
      <c r="K303" s="46"/>
      <c r="L303" s="46"/>
      <c r="M303" s="46"/>
      <c r="N303" s="46"/>
      <c r="O303" s="46"/>
      <c r="P303" s="46"/>
      <c r="Q303" s="46"/>
      <c r="R303" s="46"/>
      <c r="S303" s="46"/>
      <c r="T303" s="46"/>
      <c r="U303" s="46"/>
      <c r="V303" s="46"/>
      <c r="W303" s="46"/>
      <c r="X303" s="46"/>
      <c r="Y303" s="46"/>
      <c r="Z303" s="46"/>
    </row>
    <row r="304" spans="1:26" x14ac:dyDescent="0.25">
      <c r="A304" s="46"/>
      <c r="B304" s="46"/>
      <c r="C304" s="46"/>
      <c r="D304" s="46"/>
      <c r="E304" s="46"/>
      <c r="F304" s="46"/>
      <c r="G304" s="46"/>
      <c r="H304" s="46"/>
      <c r="I304" s="46"/>
      <c r="J304" s="46"/>
      <c r="K304" s="46"/>
      <c r="L304" s="46"/>
      <c r="M304" s="46"/>
      <c r="N304" s="46"/>
      <c r="O304" s="46"/>
      <c r="P304" s="46"/>
      <c r="Q304" s="46"/>
      <c r="R304" s="46"/>
      <c r="S304" s="46"/>
      <c r="T304" s="46"/>
      <c r="U304" s="46"/>
      <c r="V304" s="46"/>
      <c r="W304" s="46"/>
      <c r="X304" s="46"/>
      <c r="Y304" s="46"/>
      <c r="Z304" s="46"/>
    </row>
    <row r="305" spans="1:26" x14ac:dyDescent="0.25">
      <c r="A305" s="46"/>
      <c r="B305" s="46"/>
      <c r="C305" s="46"/>
      <c r="D305" s="46"/>
      <c r="E305" s="46"/>
      <c r="F305" s="46"/>
      <c r="G305" s="46"/>
      <c r="H305" s="46"/>
      <c r="I305" s="46"/>
      <c r="J305" s="46"/>
      <c r="K305" s="46"/>
      <c r="L305" s="46"/>
      <c r="M305" s="46"/>
      <c r="N305" s="46"/>
      <c r="O305" s="46"/>
      <c r="P305" s="46"/>
      <c r="Q305" s="46"/>
      <c r="R305" s="46"/>
      <c r="S305" s="46"/>
      <c r="T305" s="46"/>
      <c r="U305" s="46"/>
      <c r="V305" s="46"/>
      <c r="W305" s="46"/>
      <c r="X305" s="46"/>
      <c r="Y305" s="46"/>
      <c r="Z305" s="46"/>
    </row>
    <row r="306" spans="1:26" x14ac:dyDescent="0.25">
      <c r="A306" s="46"/>
      <c r="B306" s="46"/>
      <c r="C306" s="46"/>
      <c r="D306" s="46"/>
      <c r="E306" s="46"/>
      <c r="F306" s="46"/>
      <c r="G306" s="46"/>
      <c r="H306" s="46"/>
      <c r="I306" s="46"/>
      <c r="J306" s="46"/>
      <c r="K306" s="46"/>
      <c r="L306" s="46"/>
      <c r="M306" s="46"/>
      <c r="N306" s="46"/>
      <c r="O306" s="46"/>
      <c r="P306" s="46"/>
      <c r="Q306" s="46"/>
      <c r="R306" s="46"/>
      <c r="S306" s="46"/>
      <c r="T306" s="46"/>
      <c r="U306" s="46"/>
      <c r="V306" s="46"/>
      <c r="W306" s="46"/>
      <c r="X306" s="46"/>
      <c r="Y306" s="46"/>
      <c r="Z306" s="46"/>
    </row>
    <row r="307" spans="1:26" x14ac:dyDescent="0.25">
      <c r="A307" s="46"/>
      <c r="B307" s="46"/>
      <c r="C307" s="46"/>
      <c r="D307" s="46"/>
      <c r="E307" s="46"/>
      <c r="F307" s="46"/>
      <c r="G307" s="46"/>
      <c r="H307" s="46"/>
      <c r="I307" s="46"/>
      <c r="J307" s="46"/>
      <c r="K307" s="46"/>
      <c r="L307" s="46"/>
      <c r="M307" s="46"/>
      <c r="N307" s="46"/>
      <c r="O307" s="46"/>
      <c r="P307" s="46"/>
      <c r="Q307" s="46"/>
      <c r="R307" s="46"/>
      <c r="S307" s="46"/>
      <c r="T307" s="46"/>
      <c r="U307" s="46"/>
      <c r="V307" s="46"/>
      <c r="W307" s="46"/>
      <c r="X307" s="46"/>
      <c r="Y307" s="46"/>
      <c r="Z307" s="46"/>
    </row>
    <row r="308" spans="1:26" x14ac:dyDescent="0.25">
      <c r="A308" s="46"/>
      <c r="B308" s="46"/>
      <c r="C308" s="46"/>
      <c r="D308" s="46"/>
      <c r="E308" s="46"/>
      <c r="F308" s="46"/>
      <c r="G308" s="46"/>
      <c r="H308" s="46"/>
      <c r="I308" s="46"/>
      <c r="J308" s="46"/>
      <c r="K308" s="46"/>
      <c r="L308" s="46"/>
      <c r="M308" s="46"/>
      <c r="N308" s="46"/>
      <c r="O308" s="46"/>
      <c r="P308" s="46"/>
      <c r="Q308" s="46"/>
      <c r="R308" s="46"/>
      <c r="S308" s="46"/>
      <c r="T308" s="46"/>
      <c r="U308" s="46"/>
      <c r="V308" s="46"/>
      <c r="W308" s="46"/>
      <c r="X308" s="46"/>
      <c r="Y308" s="46"/>
      <c r="Z308" s="46"/>
    </row>
    <row r="309" spans="1:26" x14ac:dyDescent="0.25">
      <c r="A309" s="46"/>
      <c r="B309" s="46"/>
      <c r="C309" s="46"/>
      <c r="D309" s="46"/>
      <c r="E309" s="46"/>
      <c r="F309" s="46"/>
      <c r="G309" s="46"/>
      <c r="H309" s="46"/>
      <c r="I309" s="46"/>
      <c r="J309" s="46"/>
      <c r="K309" s="46"/>
      <c r="L309" s="46"/>
      <c r="M309" s="46"/>
      <c r="N309" s="46"/>
      <c r="O309" s="46"/>
      <c r="P309" s="46"/>
      <c r="Q309" s="46"/>
      <c r="R309" s="46"/>
      <c r="S309" s="46"/>
      <c r="T309" s="46"/>
      <c r="U309" s="46"/>
      <c r="V309" s="46"/>
      <c r="W309" s="46"/>
      <c r="X309" s="46"/>
      <c r="Y309" s="46"/>
      <c r="Z309" s="46"/>
    </row>
    <row r="310" spans="1:26" x14ac:dyDescent="0.25">
      <c r="A310" s="46"/>
      <c r="B310" s="46"/>
      <c r="C310" s="46"/>
      <c r="D310" s="46"/>
      <c r="E310" s="46"/>
      <c r="F310" s="46"/>
      <c r="G310" s="46"/>
      <c r="H310" s="46"/>
      <c r="I310" s="46"/>
      <c r="J310" s="46"/>
      <c r="K310" s="46"/>
      <c r="L310" s="46"/>
      <c r="M310" s="46"/>
      <c r="N310" s="46"/>
      <c r="O310" s="46"/>
      <c r="P310" s="46"/>
      <c r="Q310" s="46"/>
      <c r="R310" s="46"/>
      <c r="S310" s="46"/>
      <c r="T310" s="46"/>
      <c r="U310" s="46"/>
      <c r="V310" s="46"/>
      <c r="W310" s="46"/>
      <c r="X310" s="46"/>
      <c r="Y310" s="46"/>
      <c r="Z310" s="46"/>
    </row>
    <row r="311" spans="1:26" x14ac:dyDescent="0.25">
      <c r="A311" s="46"/>
      <c r="B311" s="46"/>
      <c r="C311" s="46"/>
      <c r="D311" s="46"/>
      <c r="E311" s="46"/>
      <c r="F311" s="46"/>
      <c r="G311" s="46"/>
      <c r="H311" s="46"/>
      <c r="I311" s="46"/>
      <c r="J311" s="46"/>
      <c r="K311" s="46"/>
      <c r="L311" s="46"/>
      <c r="M311" s="46"/>
      <c r="N311" s="46"/>
      <c r="O311" s="46"/>
      <c r="P311" s="46"/>
      <c r="Q311" s="46"/>
      <c r="R311" s="46"/>
      <c r="S311" s="46"/>
      <c r="T311" s="46"/>
      <c r="U311" s="46"/>
      <c r="V311" s="46"/>
      <c r="W311" s="46"/>
      <c r="X311" s="46"/>
      <c r="Y311" s="46"/>
      <c r="Z311" s="46"/>
    </row>
    <row r="312" spans="1:26" x14ac:dyDescent="0.25">
      <c r="A312" s="46"/>
      <c r="B312" s="46"/>
      <c r="C312" s="46"/>
      <c r="D312" s="46"/>
      <c r="E312" s="46"/>
      <c r="F312" s="46"/>
      <c r="G312" s="46"/>
      <c r="H312" s="46"/>
      <c r="I312" s="46"/>
      <c r="J312" s="46"/>
      <c r="K312" s="46"/>
      <c r="L312" s="46"/>
      <c r="M312" s="46"/>
      <c r="N312" s="46"/>
      <c r="O312" s="46"/>
      <c r="P312" s="46"/>
      <c r="Q312" s="46"/>
      <c r="R312" s="46"/>
      <c r="S312" s="46"/>
      <c r="T312" s="46"/>
      <c r="U312" s="46"/>
      <c r="V312" s="46"/>
      <c r="W312" s="46"/>
      <c r="X312" s="46"/>
      <c r="Y312" s="46"/>
      <c r="Z312" s="46"/>
    </row>
    <row r="313" spans="1:26" x14ac:dyDescent="0.25">
      <c r="A313" s="46"/>
      <c r="B313" s="46"/>
      <c r="C313" s="46"/>
      <c r="D313" s="46"/>
      <c r="E313" s="46"/>
      <c r="F313" s="46"/>
      <c r="G313" s="46"/>
      <c r="H313" s="46"/>
      <c r="I313" s="46"/>
      <c r="J313" s="46"/>
      <c r="K313" s="46"/>
      <c r="L313" s="46"/>
      <c r="M313" s="46"/>
      <c r="N313" s="46"/>
      <c r="O313" s="46"/>
      <c r="P313" s="46"/>
      <c r="Q313" s="46"/>
      <c r="R313" s="46"/>
      <c r="S313" s="46"/>
      <c r="T313" s="46"/>
      <c r="U313" s="46"/>
      <c r="V313" s="46"/>
      <c r="W313" s="46"/>
      <c r="X313" s="46"/>
      <c r="Y313" s="46"/>
      <c r="Z313" s="46"/>
    </row>
    <row r="314" spans="1:26" x14ac:dyDescent="0.25">
      <c r="A314" s="46"/>
      <c r="B314" s="46"/>
      <c r="C314" s="46"/>
      <c r="D314" s="46"/>
      <c r="E314" s="46"/>
      <c r="F314" s="46"/>
      <c r="G314" s="46"/>
      <c r="H314" s="46"/>
      <c r="I314" s="46"/>
      <c r="J314" s="46"/>
      <c r="K314" s="46"/>
      <c r="L314" s="46"/>
      <c r="M314" s="46"/>
      <c r="N314" s="46"/>
      <c r="O314" s="46"/>
      <c r="P314" s="46"/>
      <c r="Q314" s="46"/>
      <c r="R314" s="46"/>
      <c r="S314" s="46"/>
      <c r="T314" s="46"/>
      <c r="U314" s="46"/>
      <c r="V314" s="46"/>
      <c r="W314" s="46"/>
      <c r="X314" s="46"/>
      <c r="Y314" s="46"/>
      <c r="Z314" s="46"/>
    </row>
    <row r="315" spans="1:26" x14ac:dyDescent="0.25">
      <c r="A315" s="46"/>
      <c r="B315" s="46"/>
      <c r="C315" s="46"/>
      <c r="D315" s="46"/>
      <c r="E315" s="46"/>
      <c r="F315" s="46"/>
      <c r="G315" s="46"/>
      <c r="H315" s="46"/>
      <c r="I315" s="46"/>
      <c r="J315" s="46"/>
      <c r="K315" s="46"/>
      <c r="L315" s="46"/>
      <c r="M315" s="46"/>
      <c r="N315" s="46"/>
      <c r="O315" s="46"/>
      <c r="P315" s="46"/>
      <c r="Q315" s="46"/>
      <c r="R315" s="46"/>
      <c r="S315" s="46"/>
      <c r="T315" s="46"/>
      <c r="U315" s="46"/>
      <c r="V315" s="46"/>
      <c r="W315" s="46"/>
      <c r="X315" s="46"/>
      <c r="Y315" s="46"/>
      <c r="Z315" s="46"/>
    </row>
    <row r="316" spans="1:26" x14ac:dyDescent="0.25">
      <c r="A316" s="46"/>
      <c r="B316" s="46"/>
      <c r="C316" s="46"/>
      <c r="D316" s="46"/>
      <c r="E316" s="46"/>
      <c r="F316" s="46"/>
      <c r="G316" s="46"/>
      <c r="H316" s="46"/>
      <c r="I316" s="46"/>
      <c r="J316" s="46"/>
      <c r="K316" s="46"/>
      <c r="L316" s="46"/>
      <c r="M316" s="46"/>
      <c r="N316" s="46"/>
      <c r="O316" s="46"/>
      <c r="P316" s="46"/>
      <c r="Q316" s="46"/>
      <c r="R316" s="46"/>
      <c r="S316" s="46"/>
      <c r="T316" s="46"/>
      <c r="U316" s="46"/>
      <c r="V316" s="46"/>
      <c r="W316" s="46"/>
      <c r="X316" s="46"/>
      <c r="Y316" s="46"/>
      <c r="Z316" s="46"/>
    </row>
    <row r="317" spans="1:26" x14ac:dyDescent="0.25">
      <c r="A317" s="46"/>
      <c r="B317" s="46"/>
      <c r="C317" s="46"/>
      <c r="D317" s="46"/>
      <c r="E317" s="46"/>
      <c r="F317" s="46"/>
      <c r="G317" s="46"/>
      <c r="H317" s="46"/>
      <c r="I317" s="46"/>
      <c r="J317" s="46"/>
      <c r="K317" s="46"/>
      <c r="L317" s="46"/>
      <c r="M317" s="46"/>
      <c r="N317" s="46"/>
      <c r="O317" s="46"/>
      <c r="P317" s="46"/>
      <c r="Q317" s="46"/>
      <c r="R317" s="46"/>
      <c r="S317" s="46"/>
      <c r="T317" s="46"/>
      <c r="U317" s="46"/>
      <c r="V317" s="46"/>
      <c r="W317" s="46"/>
      <c r="X317" s="46"/>
      <c r="Y317" s="46"/>
      <c r="Z317" s="46"/>
    </row>
    <row r="318" spans="1:26" x14ac:dyDescent="0.25">
      <c r="A318" s="46"/>
      <c r="B318" s="46"/>
      <c r="C318" s="46"/>
      <c r="D318" s="46"/>
      <c r="E318" s="46"/>
      <c r="F318" s="46"/>
      <c r="G318" s="46"/>
      <c r="H318" s="46"/>
      <c r="I318" s="46"/>
      <c r="J318" s="46"/>
      <c r="K318" s="46"/>
      <c r="L318" s="46"/>
      <c r="M318" s="46"/>
      <c r="N318" s="46"/>
      <c r="O318" s="46"/>
      <c r="P318" s="46"/>
      <c r="Q318" s="46"/>
      <c r="R318" s="46"/>
      <c r="S318" s="46"/>
      <c r="T318" s="46"/>
      <c r="U318" s="46"/>
      <c r="V318" s="46"/>
      <c r="W318" s="46"/>
      <c r="X318" s="46"/>
      <c r="Y318" s="46"/>
      <c r="Z318" s="46"/>
    </row>
    <row r="319" spans="1:26" x14ac:dyDescent="0.25">
      <c r="A319" s="46"/>
      <c r="B319" s="46"/>
      <c r="C319" s="46"/>
      <c r="D319" s="46"/>
      <c r="E319" s="46"/>
      <c r="F319" s="46"/>
      <c r="G319" s="46"/>
      <c r="H319" s="46"/>
      <c r="I319" s="46"/>
      <c r="J319" s="46"/>
      <c r="K319" s="46"/>
      <c r="L319" s="46"/>
      <c r="M319" s="46"/>
      <c r="N319" s="46"/>
      <c r="O319" s="46"/>
      <c r="P319" s="46"/>
      <c r="Q319" s="46"/>
      <c r="R319" s="46"/>
      <c r="S319" s="46"/>
      <c r="T319" s="46"/>
      <c r="U319" s="46"/>
      <c r="V319" s="46"/>
      <c r="W319" s="46"/>
      <c r="X319" s="46"/>
      <c r="Y319" s="46"/>
      <c r="Z319" s="46"/>
    </row>
    <row r="320" spans="1:26" x14ac:dyDescent="0.25">
      <c r="A320" s="46"/>
      <c r="B320" s="46"/>
      <c r="C320" s="46"/>
      <c r="D320" s="46"/>
      <c r="E320" s="46"/>
      <c r="F320" s="46"/>
      <c r="G320" s="46"/>
      <c r="H320" s="46"/>
      <c r="I320" s="46"/>
      <c r="J320" s="46"/>
      <c r="K320" s="46"/>
      <c r="L320" s="46"/>
      <c r="M320" s="46"/>
      <c r="N320" s="46"/>
      <c r="O320" s="46"/>
      <c r="P320" s="46"/>
      <c r="Q320" s="46"/>
      <c r="R320" s="46"/>
      <c r="S320" s="46"/>
      <c r="T320" s="46"/>
      <c r="U320" s="46"/>
      <c r="V320" s="46"/>
      <c r="W320" s="46"/>
      <c r="X320" s="46"/>
      <c r="Y320" s="46"/>
      <c r="Z320" s="46"/>
    </row>
    <row r="321" spans="1:26" x14ac:dyDescent="0.25">
      <c r="A321" s="46"/>
      <c r="B321" s="46"/>
      <c r="C321" s="46"/>
      <c r="D321" s="46"/>
      <c r="E321" s="46"/>
      <c r="F321" s="46"/>
      <c r="G321" s="46"/>
      <c r="H321" s="46"/>
      <c r="I321" s="46"/>
      <c r="J321" s="46"/>
      <c r="K321" s="46"/>
      <c r="L321" s="46"/>
      <c r="M321" s="46"/>
      <c r="N321" s="46"/>
      <c r="O321" s="46"/>
      <c r="P321" s="46"/>
      <c r="Q321" s="46"/>
      <c r="R321" s="46"/>
      <c r="S321" s="46"/>
      <c r="T321" s="46"/>
      <c r="U321" s="46"/>
      <c r="V321" s="46"/>
      <c r="W321" s="46"/>
      <c r="X321" s="46"/>
      <c r="Y321" s="46"/>
      <c r="Z321" s="46"/>
    </row>
    <row r="322" spans="1:26" x14ac:dyDescent="0.25">
      <c r="A322" s="46"/>
      <c r="B322" s="46"/>
      <c r="C322" s="46"/>
      <c r="D322" s="46"/>
      <c r="E322" s="46"/>
      <c r="F322" s="46"/>
      <c r="G322" s="46"/>
      <c r="H322" s="46"/>
      <c r="I322" s="46"/>
      <c r="J322" s="46"/>
      <c r="K322" s="46"/>
      <c r="L322" s="46"/>
      <c r="M322" s="46"/>
      <c r="N322" s="46"/>
      <c r="O322" s="46"/>
      <c r="P322" s="46"/>
      <c r="Q322" s="46"/>
      <c r="R322" s="46"/>
      <c r="S322" s="46"/>
      <c r="T322" s="46"/>
      <c r="U322" s="46"/>
      <c r="V322" s="46"/>
      <c r="W322" s="46"/>
      <c r="X322" s="46"/>
      <c r="Y322" s="46"/>
      <c r="Z322" s="46"/>
    </row>
    <row r="323" spans="1:26" x14ac:dyDescent="0.25">
      <c r="A323" s="46"/>
      <c r="B323" s="46"/>
      <c r="C323" s="46"/>
      <c r="D323" s="46"/>
      <c r="E323" s="46"/>
      <c r="F323" s="46"/>
      <c r="G323" s="46"/>
      <c r="H323" s="46"/>
      <c r="I323" s="46"/>
      <c r="J323" s="46"/>
      <c r="K323" s="46"/>
      <c r="L323" s="46"/>
      <c r="M323" s="46"/>
      <c r="N323" s="46"/>
      <c r="O323" s="46"/>
      <c r="P323" s="46"/>
      <c r="Q323" s="46"/>
      <c r="R323" s="46"/>
      <c r="S323" s="46"/>
      <c r="T323" s="46"/>
      <c r="U323" s="46"/>
      <c r="V323" s="46"/>
      <c r="W323" s="46"/>
      <c r="X323" s="46"/>
      <c r="Y323" s="46"/>
      <c r="Z323" s="46"/>
    </row>
    <row r="324" spans="1:26" x14ac:dyDescent="0.25">
      <c r="A324" s="46"/>
      <c r="B324" s="46"/>
      <c r="C324" s="46"/>
      <c r="D324" s="46"/>
      <c r="E324" s="46"/>
      <c r="F324" s="46"/>
      <c r="G324" s="46"/>
      <c r="H324" s="46"/>
      <c r="I324" s="46"/>
      <c r="J324" s="46"/>
      <c r="K324" s="46"/>
      <c r="L324" s="46"/>
      <c r="M324" s="46"/>
      <c r="N324" s="46"/>
      <c r="O324" s="46"/>
      <c r="P324" s="46"/>
      <c r="Q324" s="46"/>
      <c r="R324" s="46"/>
      <c r="S324" s="46"/>
      <c r="T324" s="46"/>
      <c r="U324" s="46"/>
      <c r="V324" s="46"/>
      <c r="W324" s="46"/>
      <c r="X324" s="46"/>
      <c r="Y324" s="46"/>
      <c r="Z324" s="46"/>
    </row>
    <row r="325" spans="1:26" x14ac:dyDescent="0.25">
      <c r="A325" s="46"/>
      <c r="B325" s="46"/>
      <c r="C325" s="46"/>
      <c r="D325" s="46"/>
      <c r="E325" s="46"/>
      <c r="F325" s="46"/>
      <c r="G325" s="46"/>
      <c r="H325" s="46"/>
      <c r="I325" s="46"/>
      <c r="J325" s="46"/>
      <c r="K325" s="46"/>
      <c r="L325" s="46"/>
      <c r="M325" s="46"/>
      <c r="N325" s="46"/>
      <c r="O325" s="46"/>
      <c r="P325" s="46"/>
      <c r="Q325" s="46"/>
      <c r="R325" s="46"/>
      <c r="S325" s="46"/>
      <c r="T325" s="46"/>
      <c r="U325" s="46"/>
      <c r="V325" s="46"/>
      <c r="W325" s="46"/>
      <c r="X325" s="46"/>
      <c r="Y325" s="46"/>
      <c r="Z325" s="46"/>
    </row>
    <row r="326" spans="1:26" x14ac:dyDescent="0.25">
      <c r="A326" s="46"/>
      <c r="B326" s="46"/>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row>
    <row r="327" spans="1:26" x14ac:dyDescent="0.25">
      <c r="A327" s="46"/>
      <c r="B327" s="46"/>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row>
    <row r="328" spans="1:26" x14ac:dyDescent="0.25">
      <c r="A328" s="46"/>
      <c r="B328" s="46"/>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row>
    <row r="329" spans="1:26" x14ac:dyDescent="0.25">
      <c r="A329" s="46"/>
      <c r="B329" s="46"/>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row>
    <row r="330" spans="1:26" x14ac:dyDescent="0.25">
      <c r="A330" s="46"/>
      <c r="B330" s="46"/>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row>
    <row r="331" spans="1:26" x14ac:dyDescent="0.25">
      <c r="A331" s="46"/>
      <c r="B331" s="46"/>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row>
    <row r="332" spans="1:26" x14ac:dyDescent="0.25">
      <c r="A332" s="46"/>
      <c r="B332" s="46"/>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row>
    <row r="333" spans="1:26" x14ac:dyDescent="0.25">
      <c r="A333" s="46"/>
      <c r="B333" s="46"/>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row>
    <row r="334" spans="1:26" x14ac:dyDescent="0.25">
      <c r="A334" s="46"/>
      <c r="B334" s="46"/>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row>
    <row r="335" spans="1:26" x14ac:dyDescent="0.25">
      <c r="A335" s="46"/>
      <c r="B335" s="46"/>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row>
    <row r="336" spans="1:26" x14ac:dyDescent="0.25">
      <c r="A336" s="46"/>
      <c r="B336" s="46"/>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row>
    <row r="337" spans="1:26" x14ac:dyDescent="0.25">
      <c r="A337" s="46"/>
      <c r="B337" s="46"/>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row>
    <row r="338" spans="1:26" x14ac:dyDescent="0.25">
      <c r="A338" s="46"/>
      <c r="B338" s="46"/>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row>
    <row r="339" spans="1:26" x14ac:dyDescent="0.25">
      <c r="A339" s="46"/>
      <c r="B339" s="46"/>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row>
    <row r="340" spans="1:26" x14ac:dyDescent="0.25">
      <c r="A340" s="46"/>
      <c r="B340" s="46"/>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row>
    <row r="341" spans="1:26" x14ac:dyDescent="0.25">
      <c r="A341" s="46"/>
      <c r="B341" s="46"/>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row>
    <row r="342" spans="1:26" x14ac:dyDescent="0.25">
      <c r="A342" s="46"/>
      <c r="B342" s="46"/>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row>
    <row r="343" spans="1:26" x14ac:dyDescent="0.25">
      <c r="A343" s="46"/>
      <c r="B343" s="46"/>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row>
    <row r="344" spans="1:26" x14ac:dyDescent="0.25">
      <c r="A344" s="46"/>
      <c r="B344" s="46"/>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row>
    <row r="345" spans="1:26" x14ac:dyDescent="0.25">
      <c r="A345" s="46"/>
      <c r="B345" s="46"/>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row>
    <row r="346" spans="1:26" x14ac:dyDescent="0.25">
      <c r="A346" s="46"/>
      <c r="B346" s="46"/>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row>
    <row r="347" spans="1:26" x14ac:dyDescent="0.25">
      <c r="A347" s="46"/>
      <c r="B347" s="46"/>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row>
    <row r="348" spans="1:26" x14ac:dyDescent="0.25">
      <c r="A348" s="46"/>
      <c r="B348" s="46"/>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row>
    <row r="349" spans="1:26" x14ac:dyDescent="0.25">
      <c r="A349" s="46"/>
      <c r="B349" s="46"/>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row>
    <row r="350" spans="1:26" x14ac:dyDescent="0.25">
      <c r="A350" s="46"/>
      <c r="B350" s="46"/>
      <c r="C350" s="46"/>
      <c r="D350" s="46"/>
      <c r="E350" s="46"/>
      <c r="F350" s="46"/>
      <c r="G350" s="46"/>
      <c r="H350" s="46"/>
      <c r="I350" s="46"/>
      <c r="J350" s="46"/>
      <c r="K350" s="46"/>
      <c r="L350" s="46"/>
      <c r="M350" s="46"/>
      <c r="N350" s="46"/>
      <c r="O350" s="46"/>
      <c r="P350" s="46"/>
      <c r="Q350" s="46"/>
      <c r="R350" s="46"/>
      <c r="S350" s="46"/>
      <c r="T350" s="46"/>
      <c r="U350" s="46"/>
      <c r="V350" s="46"/>
      <c r="W350" s="46"/>
      <c r="X350" s="46"/>
      <c r="Y350" s="46"/>
      <c r="Z350" s="46"/>
    </row>
    <row r="351" spans="1:26" x14ac:dyDescent="0.25">
      <c r="A351" s="46"/>
      <c r="B351" s="46"/>
      <c r="C351" s="46"/>
      <c r="D351" s="46"/>
      <c r="E351" s="46"/>
      <c r="F351" s="46"/>
      <c r="G351" s="46"/>
      <c r="H351" s="46"/>
      <c r="I351" s="46"/>
      <c r="J351" s="46"/>
      <c r="K351" s="46"/>
      <c r="L351" s="46"/>
      <c r="M351" s="46"/>
      <c r="N351" s="46"/>
      <c r="O351" s="46"/>
      <c r="P351" s="46"/>
      <c r="Q351" s="46"/>
      <c r="R351" s="46"/>
      <c r="S351" s="46"/>
      <c r="T351" s="46"/>
      <c r="U351" s="46"/>
      <c r="V351" s="46"/>
      <c r="W351" s="46"/>
      <c r="X351" s="46"/>
      <c r="Y351" s="46"/>
      <c r="Z351" s="46"/>
    </row>
    <row r="352" spans="1:26" x14ac:dyDescent="0.25">
      <c r="A352" s="46"/>
      <c r="B352" s="46"/>
      <c r="C352" s="46"/>
      <c r="D352" s="46"/>
      <c r="E352" s="46"/>
      <c r="F352" s="46"/>
      <c r="G352" s="46"/>
      <c r="H352" s="46"/>
      <c r="I352" s="46"/>
      <c r="J352" s="46"/>
      <c r="K352" s="46"/>
      <c r="L352" s="46"/>
      <c r="M352" s="46"/>
      <c r="N352" s="46"/>
      <c r="O352" s="46"/>
      <c r="P352" s="46"/>
      <c r="Q352" s="46"/>
      <c r="R352" s="46"/>
      <c r="S352" s="46"/>
      <c r="T352" s="46"/>
      <c r="U352" s="46"/>
      <c r="V352" s="46"/>
      <c r="W352" s="46"/>
      <c r="X352" s="46"/>
      <c r="Y352" s="46"/>
      <c r="Z352" s="46"/>
    </row>
    <row r="353" spans="1:26" x14ac:dyDescent="0.25">
      <c r="A353" s="46"/>
      <c r="B353" s="46"/>
      <c r="C353" s="46"/>
      <c r="D353" s="46"/>
      <c r="E353" s="46"/>
      <c r="F353" s="46"/>
      <c r="G353" s="46"/>
      <c r="H353" s="46"/>
      <c r="I353" s="46"/>
      <c r="J353" s="46"/>
      <c r="K353" s="46"/>
      <c r="L353" s="46"/>
      <c r="M353" s="46"/>
      <c r="N353" s="46"/>
      <c r="O353" s="46"/>
      <c r="P353" s="46"/>
      <c r="Q353" s="46"/>
      <c r="R353" s="46"/>
      <c r="S353" s="46"/>
      <c r="T353" s="46"/>
      <c r="U353" s="46"/>
      <c r="V353" s="46"/>
      <c r="W353" s="46"/>
      <c r="X353" s="46"/>
      <c r="Y353" s="46"/>
      <c r="Z353" s="46"/>
    </row>
    <row r="354" spans="1:26" x14ac:dyDescent="0.25">
      <c r="A354" s="46"/>
      <c r="B354" s="46"/>
      <c r="C354" s="46"/>
      <c r="D354" s="46"/>
      <c r="E354" s="46"/>
      <c r="F354" s="46"/>
      <c r="G354" s="46"/>
      <c r="H354" s="46"/>
      <c r="I354" s="46"/>
      <c r="J354" s="46"/>
      <c r="K354" s="46"/>
      <c r="L354" s="46"/>
      <c r="M354" s="46"/>
      <c r="N354" s="46"/>
      <c r="O354" s="46"/>
      <c r="P354" s="46"/>
      <c r="Q354" s="46"/>
      <c r="R354" s="46"/>
      <c r="S354" s="46"/>
      <c r="T354" s="46"/>
      <c r="U354" s="46"/>
      <c r="V354" s="46"/>
      <c r="W354" s="46"/>
      <c r="X354" s="46"/>
      <c r="Y354" s="46"/>
      <c r="Z354" s="46"/>
    </row>
    <row r="355" spans="1:26" x14ac:dyDescent="0.25">
      <c r="A355" s="46"/>
      <c r="B355" s="46"/>
      <c r="C355" s="46"/>
      <c r="D355" s="46"/>
      <c r="E355" s="46"/>
      <c r="F355" s="46"/>
      <c r="G355" s="46"/>
      <c r="H355" s="46"/>
      <c r="I355" s="46"/>
      <c r="J355" s="46"/>
      <c r="K355" s="46"/>
      <c r="L355" s="46"/>
      <c r="M355" s="46"/>
      <c r="N355" s="46"/>
      <c r="O355" s="46"/>
      <c r="P355" s="46"/>
      <c r="Q355" s="46"/>
      <c r="R355" s="46"/>
      <c r="S355" s="46"/>
      <c r="T355" s="46"/>
      <c r="U355" s="46"/>
      <c r="V355" s="46"/>
      <c r="W355" s="46"/>
      <c r="X355" s="46"/>
      <c r="Y355" s="46"/>
      <c r="Z355" s="46"/>
    </row>
    <row r="356" spans="1:26" x14ac:dyDescent="0.25">
      <c r="A356" s="46"/>
      <c r="B356" s="46"/>
      <c r="C356" s="46"/>
      <c r="D356" s="46"/>
      <c r="E356" s="46"/>
      <c r="F356" s="46"/>
      <c r="G356" s="46"/>
      <c r="H356" s="46"/>
      <c r="I356" s="46"/>
      <c r="J356" s="46"/>
      <c r="K356" s="46"/>
      <c r="L356" s="46"/>
      <c r="M356" s="46"/>
      <c r="N356" s="46"/>
      <c r="O356" s="46"/>
      <c r="P356" s="46"/>
      <c r="Q356" s="46"/>
      <c r="R356" s="46"/>
      <c r="S356" s="46"/>
      <c r="T356" s="46"/>
      <c r="U356" s="46"/>
      <c r="V356" s="46"/>
      <c r="W356" s="46"/>
      <c r="X356" s="46"/>
      <c r="Y356" s="46"/>
      <c r="Z356" s="46"/>
    </row>
    <row r="357" spans="1:26" x14ac:dyDescent="0.25">
      <c r="A357" s="46"/>
      <c r="B357" s="46"/>
      <c r="C357" s="46"/>
      <c r="D357" s="46"/>
      <c r="E357" s="46"/>
      <c r="F357" s="46"/>
      <c r="G357" s="46"/>
      <c r="H357" s="46"/>
      <c r="I357" s="46"/>
      <c r="J357" s="46"/>
      <c r="K357" s="46"/>
      <c r="L357" s="46"/>
      <c r="M357" s="46"/>
      <c r="N357" s="46"/>
      <c r="O357" s="46"/>
      <c r="P357" s="46"/>
      <c r="Q357" s="46"/>
      <c r="R357" s="46"/>
      <c r="S357" s="46"/>
      <c r="T357" s="46"/>
      <c r="U357" s="46"/>
      <c r="V357" s="46"/>
      <c r="W357" s="46"/>
      <c r="X357" s="46"/>
      <c r="Y357" s="46"/>
      <c r="Z357" s="46"/>
    </row>
    <row r="358" spans="1:26" x14ac:dyDescent="0.25">
      <c r="A358" s="46"/>
      <c r="B358" s="46"/>
      <c r="C358" s="46"/>
      <c r="D358" s="46"/>
      <c r="E358" s="46"/>
      <c r="F358" s="46"/>
      <c r="G358" s="46"/>
      <c r="H358" s="46"/>
      <c r="I358" s="46"/>
      <c r="J358" s="46"/>
      <c r="K358" s="46"/>
      <c r="L358" s="46"/>
      <c r="M358" s="46"/>
      <c r="N358" s="46"/>
      <c r="O358" s="46"/>
      <c r="P358" s="46"/>
      <c r="Q358" s="46"/>
      <c r="R358" s="46"/>
      <c r="S358" s="46"/>
      <c r="T358" s="46"/>
      <c r="U358" s="46"/>
      <c r="V358" s="46"/>
      <c r="W358" s="46"/>
      <c r="X358" s="46"/>
      <c r="Y358" s="46"/>
      <c r="Z358" s="46"/>
    </row>
    <row r="359" spans="1:26" x14ac:dyDescent="0.25">
      <c r="A359" s="46"/>
      <c r="B359" s="46"/>
      <c r="C359" s="46"/>
      <c r="D359" s="46"/>
      <c r="E359" s="46"/>
      <c r="F359" s="46"/>
      <c r="G359" s="46"/>
      <c r="H359" s="46"/>
      <c r="I359" s="46"/>
      <c r="J359" s="46"/>
      <c r="K359" s="46"/>
      <c r="L359" s="46"/>
      <c r="M359" s="46"/>
      <c r="N359" s="46"/>
      <c r="O359" s="46"/>
      <c r="P359" s="46"/>
      <c r="Q359" s="46"/>
      <c r="R359" s="46"/>
      <c r="S359" s="46"/>
      <c r="T359" s="46"/>
      <c r="U359" s="46"/>
      <c r="V359" s="46"/>
      <c r="W359" s="46"/>
      <c r="X359" s="46"/>
      <c r="Y359" s="46"/>
      <c r="Z359" s="46"/>
    </row>
    <row r="360" spans="1:26" x14ac:dyDescent="0.25">
      <c r="A360" s="46"/>
      <c r="B360" s="46"/>
      <c r="C360" s="46"/>
      <c r="D360" s="46"/>
      <c r="E360" s="46"/>
      <c r="F360" s="46"/>
      <c r="G360" s="46"/>
      <c r="H360" s="46"/>
      <c r="I360" s="46"/>
      <c r="J360" s="46"/>
      <c r="K360" s="46"/>
      <c r="L360" s="46"/>
      <c r="M360" s="46"/>
      <c r="N360" s="46"/>
      <c r="O360" s="46"/>
      <c r="P360" s="46"/>
      <c r="Q360" s="46"/>
      <c r="R360" s="46"/>
      <c r="S360" s="46"/>
      <c r="T360" s="46"/>
      <c r="U360" s="46"/>
      <c r="V360" s="46"/>
      <c r="W360" s="46"/>
      <c r="X360" s="46"/>
      <c r="Y360" s="46"/>
      <c r="Z360" s="46"/>
    </row>
    <row r="361" spans="1:26" x14ac:dyDescent="0.25">
      <c r="A361" s="46"/>
      <c r="B361" s="46"/>
      <c r="C361" s="46"/>
      <c r="D361" s="46"/>
      <c r="E361" s="46"/>
      <c r="F361" s="46"/>
      <c r="G361" s="46"/>
      <c r="H361" s="46"/>
      <c r="I361" s="46"/>
      <c r="J361" s="46"/>
      <c r="K361" s="46"/>
      <c r="L361" s="46"/>
      <c r="M361" s="46"/>
      <c r="N361" s="46"/>
      <c r="O361" s="46"/>
      <c r="P361" s="46"/>
      <c r="Q361" s="46"/>
      <c r="R361" s="46"/>
      <c r="S361" s="46"/>
      <c r="T361" s="46"/>
      <c r="U361" s="46"/>
      <c r="V361" s="46"/>
      <c r="W361" s="46"/>
      <c r="X361" s="46"/>
      <c r="Y361" s="46"/>
      <c r="Z361" s="46"/>
    </row>
    <row r="362" spans="1:26" x14ac:dyDescent="0.25">
      <c r="A362" s="46"/>
      <c r="B362" s="46"/>
      <c r="C362" s="46"/>
      <c r="D362" s="46"/>
      <c r="E362" s="46"/>
      <c r="F362" s="46"/>
      <c r="G362" s="46"/>
      <c r="H362" s="46"/>
      <c r="I362" s="46"/>
      <c r="J362" s="46"/>
      <c r="K362" s="46"/>
      <c r="L362" s="46"/>
      <c r="M362" s="46"/>
      <c r="N362" s="46"/>
      <c r="O362" s="46"/>
      <c r="P362" s="46"/>
      <c r="Q362" s="46"/>
      <c r="R362" s="46"/>
      <c r="S362" s="46"/>
      <c r="T362" s="46"/>
      <c r="U362" s="46"/>
      <c r="V362" s="46"/>
      <c r="W362" s="46"/>
      <c r="X362" s="46"/>
      <c r="Y362" s="46"/>
      <c r="Z362" s="46"/>
    </row>
    <row r="363" spans="1:26" x14ac:dyDescent="0.25">
      <c r="A363" s="46"/>
      <c r="B363" s="46"/>
      <c r="C363" s="46"/>
      <c r="D363" s="46"/>
      <c r="E363" s="46"/>
      <c r="F363" s="46"/>
      <c r="G363" s="46"/>
      <c r="H363" s="46"/>
      <c r="I363" s="46"/>
      <c r="J363" s="46"/>
      <c r="K363" s="46"/>
      <c r="L363" s="46"/>
      <c r="M363" s="46"/>
      <c r="N363" s="46"/>
      <c r="O363" s="46"/>
      <c r="P363" s="46"/>
      <c r="Q363" s="46"/>
      <c r="R363" s="46"/>
      <c r="S363" s="46"/>
      <c r="T363" s="46"/>
      <c r="U363" s="46"/>
      <c r="V363" s="46"/>
      <c r="W363" s="46"/>
      <c r="X363" s="46"/>
      <c r="Y363" s="46"/>
      <c r="Z363" s="46"/>
    </row>
    <row r="364" spans="1:26" x14ac:dyDescent="0.25">
      <c r="A364" s="46"/>
      <c r="B364" s="46"/>
      <c r="C364" s="46"/>
      <c r="D364" s="46"/>
      <c r="E364" s="46"/>
      <c r="F364" s="46"/>
      <c r="G364" s="46"/>
      <c r="H364" s="46"/>
      <c r="I364" s="46"/>
      <c r="J364" s="46"/>
      <c r="K364" s="46"/>
      <c r="L364" s="46"/>
      <c r="M364" s="46"/>
      <c r="N364" s="46"/>
      <c r="O364" s="46"/>
      <c r="P364" s="46"/>
      <c r="Q364" s="46"/>
      <c r="R364" s="46"/>
      <c r="S364" s="46"/>
      <c r="T364" s="46"/>
      <c r="U364" s="46"/>
      <c r="V364" s="46"/>
      <c r="W364" s="46"/>
      <c r="X364" s="46"/>
      <c r="Y364" s="46"/>
      <c r="Z364" s="46"/>
    </row>
    <row r="365" spans="1:26" x14ac:dyDescent="0.25">
      <c r="A365" s="46"/>
      <c r="B365" s="46"/>
      <c r="C365" s="46"/>
      <c r="D365" s="46"/>
      <c r="E365" s="46"/>
      <c r="F365" s="46"/>
      <c r="G365" s="46"/>
      <c r="H365" s="46"/>
      <c r="I365" s="46"/>
      <c r="J365" s="46"/>
      <c r="K365" s="46"/>
      <c r="L365" s="46"/>
      <c r="M365" s="46"/>
      <c r="N365" s="46"/>
      <c r="O365" s="46"/>
      <c r="P365" s="46"/>
      <c r="Q365" s="46"/>
      <c r="R365" s="46"/>
      <c r="S365" s="46"/>
      <c r="T365" s="46"/>
      <c r="U365" s="46"/>
      <c r="V365" s="46"/>
      <c r="W365" s="46"/>
      <c r="X365" s="46"/>
      <c r="Y365" s="46"/>
      <c r="Z365" s="46"/>
    </row>
    <row r="366" spans="1:26" x14ac:dyDescent="0.25">
      <c r="A366" s="46"/>
      <c r="B366" s="46"/>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row>
    <row r="367" spans="1:26" x14ac:dyDescent="0.25">
      <c r="A367" s="46"/>
      <c r="B367" s="46"/>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row>
    <row r="368" spans="1:26" x14ac:dyDescent="0.25">
      <c r="A368" s="46"/>
      <c r="B368" s="46"/>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row>
    <row r="369" spans="1:26" x14ac:dyDescent="0.25">
      <c r="A369" s="46"/>
      <c r="B369" s="46"/>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row>
    <row r="370" spans="1:26" x14ac:dyDescent="0.25">
      <c r="A370" s="46"/>
      <c r="B370" s="46"/>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row>
    <row r="371" spans="1:26" x14ac:dyDescent="0.25">
      <c r="A371" s="46"/>
      <c r="B371" s="46"/>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row>
    <row r="372" spans="1:26" x14ac:dyDescent="0.25">
      <c r="A372" s="46"/>
      <c r="B372" s="46"/>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row>
    <row r="373" spans="1:26" x14ac:dyDescent="0.25">
      <c r="A373" s="46"/>
      <c r="B373" s="46"/>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row>
    <row r="374" spans="1:26" x14ac:dyDescent="0.25">
      <c r="A374" s="46"/>
      <c r="B374" s="46"/>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row>
    <row r="375" spans="1:26" x14ac:dyDescent="0.25">
      <c r="A375" s="46"/>
      <c r="B375" s="46"/>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row>
    <row r="376" spans="1:26" x14ac:dyDescent="0.25">
      <c r="A376" s="46"/>
      <c r="B376" s="46"/>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row>
    <row r="377" spans="1:26" x14ac:dyDescent="0.25">
      <c r="A377" s="46"/>
      <c r="B377" s="46"/>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row>
    <row r="378" spans="1:26" x14ac:dyDescent="0.25">
      <c r="A378" s="46"/>
      <c r="B378" s="46"/>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row>
    <row r="379" spans="1:26" x14ac:dyDescent="0.25">
      <c r="A379" s="46"/>
      <c r="B379" s="46"/>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row>
    <row r="380" spans="1:26" x14ac:dyDescent="0.25">
      <c r="A380" s="46"/>
      <c r="B380" s="46"/>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row>
    <row r="381" spans="1:26" x14ac:dyDescent="0.25">
      <c r="A381" s="46"/>
      <c r="B381" s="46"/>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row>
    <row r="382" spans="1:26" x14ac:dyDescent="0.25">
      <c r="A382" s="46"/>
      <c r="B382" s="46"/>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row>
    <row r="383" spans="1:26" x14ac:dyDescent="0.25">
      <c r="A383" s="46"/>
      <c r="B383" s="46"/>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row>
    <row r="384" spans="1:26" x14ac:dyDescent="0.25">
      <c r="A384" s="46"/>
      <c r="B384" s="46"/>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row>
    <row r="385" spans="1:26" x14ac:dyDescent="0.25">
      <c r="A385" s="46"/>
      <c r="B385" s="46"/>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row>
    <row r="386" spans="1:26" x14ac:dyDescent="0.25">
      <c r="A386" s="46"/>
      <c r="B386" s="46"/>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row>
    <row r="387" spans="1:26" x14ac:dyDescent="0.25">
      <c r="A387" s="46"/>
      <c r="B387" s="46"/>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row>
    <row r="388" spans="1:26" x14ac:dyDescent="0.25">
      <c r="A388" s="46"/>
      <c r="B388" s="46"/>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row>
    <row r="389" spans="1:26" x14ac:dyDescent="0.25">
      <c r="A389" s="46"/>
      <c r="B389" s="46"/>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row>
    <row r="390" spans="1:26" x14ac:dyDescent="0.25">
      <c r="A390" s="46"/>
      <c r="B390" s="46"/>
      <c r="C390" s="46"/>
      <c r="D390" s="46"/>
      <c r="E390" s="46"/>
      <c r="F390" s="46"/>
      <c r="G390" s="46"/>
      <c r="H390" s="46"/>
      <c r="I390" s="46"/>
      <c r="J390" s="46"/>
      <c r="K390" s="46"/>
      <c r="L390" s="46"/>
      <c r="M390" s="46"/>
      <c r="N390" s="46"/>
      <c r="O390" s="46"/>
      <c r="P390" s="46"/>
      <c r="Q390" s="46"/>
      <c r="R390" s="46"/>
      <c r="S390" s="46"/>
      <c r="T390" s="46"/>
      <c r="U390" s="46"/>
      <c r="V390" s="46"/>
      <c r="W390" s="46"/>
      <c r="X390" s="46"/>
      <c r="Y390" s="46"/>
      <c r="Z390" s="46"/>
    </row>
    <row r="391" spans="1:26" x14ac:dyDescent="0.25">
      <c r="A391" s="46"/>
      <c r="B391" s="46"/>
      <c r="C391" s="46"/>
      <c r="D391" s="46"/>
      <c r="E391" s="46"/>
      <c r="F391" s="46"/>
      <c r="G391" s="46"/>
      <c r="H391" s="46"/>
      <c r="I391" s="46"/>
      <c r="J391" s="46"/>
      <c r="K391" s="46"/>
      <c r="L391" s="46"/>
      <c r="M391" s="46"/>
      <c r="N391" s="46"/>
      <c r="O391" s="46"/>
      <c r="P391" s="46"/>
      <c r="Q391" s="46"/>
      <c r="R391" s="46"/>
      <c r="S391" s="46"/>
      <c r="T391" s="46"/>
      <c r="U391" s="46"/>
      <c r="V391" s="46"/>
      <c r="W391" s="46"/>
      <c r="X391" s="46"/>
      <c r="Y391" s="46"/>
      <c r="Z391" s="46"/>
    </row>
    <row r="392" spans="1:26" x14ac:dyDescent="0.25">
      <c r="A392" s="46"/>
      <c r="B392" s="46"/>
      <c r="C392" s="46"/>
      <c r="D392" s="46"/>
      <c r="E392" s="46"/>
      <c r="F392" s="46"/>
      <c r="G392" s="46"/>
      <c r="H392" s="46"/>
      <c r="I392" s="46"/>
      <c r="J392" s="46"/>
      <c r="K392" s="46"/>
      <c r="L392" s="46"/>
      <c r="M392" s="46"/>
      <c r="N392" s="46"/>
      <c r="O392" s="46"/>
      <c r="P392" s="46"/>
      <c r="Q392" s="46"/>
      <c r="R392" s="46"/>
      <c r="S392" s="46"/>
      <c r="T392" s="46"/>
      <c r="U392" s="46"/>
      <c r="V392" s="46"/>
      <c r="W392" s="46"/>
      <c r="X392" s="46"/>
      <c r="Y392" s="46"/>
      <c r="Z392" s="46"/>
    </row>
    <row r="393" spans="1:26" x14ac:dyDescent="0.25">
      <c r="A393" s="46"/>
      <c r="B393" s="46"/>
      <c r="C393" s="46"/>
      <c r="D393" s="46"/>
      <c r="E393" s="46"/>
      <c r="F393" s="46"/>
      <c r="G393" s="46"/>
      <c r="H393" s="46"/>
      <c r="I393" s="46"/>
      <c r="J393" s="46"/>
      <c r="K393" s="46"/>
      <c r="L393" s="46"/>
      <c r="M393" s="46"/>
      <c r="N393" s="46"/>
      <c r="O393" s="46"/>
      <c r="P393" s="46"/>
      <c r="Q393" s="46"/>
      <c r="R393" s="46"/>
      <c r="S393" s="46"/>
      <c r="T393" s="46"/>
      <c r="U393" s="46"/>
      <c r="V393" s="46"/>
      <c r="W393" s="46"/>
      <c r="X393" s="46"/>
      <c r="Y393" s="46"/>
      <c r="Z393" s="46"/>
    </row>
    <row r="394" spans="1:26" x14ac:dyDescent="0.25">
      <c r="A394" s="46"/>
      <c r="B394" s="46"/>
      <c r="C394" s="46"/>
      <c r="D394" s="46"/>
      <c r="E394" s="46"/>
      <c r="F394" s="46"/>
      <c r="G394" s="46"/>
      <c r="H394" s="46"/>
      <c r="I394" s="46"/>
      <c r="J394" s="46"/>
      <c r="K394" s="46"/>
      <c r="L394" s="46"/>
      <c r="M394" s="46"/>
      <c r="N394" s="46"/>
      <c r="O394" s="46"/>
      <c r="P394" s="46"/>
      <c r="Q394" s="46"/>
      <c r="R394" s="46"/>
      <c r="S394" s="46"/>
      <c r="T394" s="46"/>
      <c r="U394" s="46"/>
      <c r="V394" s="46"/>
      <c r="W394" s="46"/>
      <c r="X394" s="46"/>
      <c r="Y394" s="46"/>
      <c r="Z394" s="46"/>
    </row>
    <row r="395" spans="1:26" x14ac:dyDescent="0.25">
      <c r="A395" s="46"/>
      <c r="B395" s="46"/>
      <c r="C395" s="46"/>
      <c r="D395" s="46"/>
      <c r="E395" s="46"/>
      <c r="F395" s="46"/>
      <c r="G395" s="46"/>
      <c r="H395" s="46"/>
      <c r="I395" s="46"/>
      <c r="J395" s="46"/>
      <c r="K395" s="46"/>
      <c r="L395" s="46"/>
      <c r="M395" s="46"/>
      <c r="N395" s="46"/>
      <c r="O395" s="46"/>
      <c r="P395" s="46"/>
      <c r="Q395" s="46"/>
      <c r="R395" s="46"/>
      <c r="S395" s="46"/>
      <c r="T395" s="46"/>
      <c r="U395" s="46"/>
      <c r="V395" s="46"/>
      <c r="W395" s="46"/>
      <c r="X395" s="46"/>
      <c r="Y395" s="46"/>
      <c r="Z395" s="46"/>
    </row>
    <row r="396" spans="1:26" x14ac:dyDescent="0.25">
      <c r="A396" s="46"/>
      <c r="B396" s="46"/>
      <c r="C396" s="46"/>
      <c r="D396" s="46"/>
      <c r="E396" s="46"/>
      <c r="F396" s="46"/>
      <c r="G396" s="46"/>
      <c r="H396" s="46"/>
      <c r="I396" s="46"/>
      <c r="J396" s="46"/>
      <c r="K396" s="46"/>
      <c r="L396" s="46"/>
      <c r="M396" s="46"/>
      <c r="N396" s="46"/>
      <c r="O396" s="46"/>
      <c r="P396" s="46"/>
      <c r="Q396" s="46"/>
      <c r="R396" s="46"/>
      <c r="S396" s="46"/>
      <c r="T396" s="46"/>
      <c r="U396" s="46"/>
      <c r="V396" s="46"/>
      <c r="W396" s="46"/>
      <c r="X396" s="46"/>
      <c r="Y396" s="46"/>
      <c r="Z396" s="46"/>
    </row>
    <row r="397" spans="1:26" x14ac:dyDescent="0.25">
      <c r="A397" s="46"/>
      <c r="B397" s="46"/>
      <c r="C397" s="46"/>
      <c r="D397" s="46"/>
      <c r="E397" s="46"/>
      <c r="F397" s="46"/>
      <c r="G397" s="46"/>
      <c r="H397" s="46"/>
      <c r="I397" s="46"/>
      <c r="J397" s="46"/>
      <c r="K397" s="46"/>
      <c r="L397" s="46"/>
      <c r="M397" s="46"/>
      <c r="N397" s="46"/>
      <c r="O397" s="46"/>
      <c r="P397" s="46"/>
      <c r="Q397" s="46"/>
      <c r="R397" s="46"/>
      <c r="S397" s="46"/>
      <c r="T397" s="46"/>
      <c r="U397" s="46"/>
      <c r="V397" s="46"/>
      <c r="W397" s="46"/>
      <c r="X397" s="46"/>
      <c r="Y397" s="46"/>
      <c r="Z397" s="46"/>
    </row>
    <row r="398" spans="1:26" x14ac:dyDescent="0.25">
      <c r="A398" s="46"/>
      <c r="B398" s="46"/>
      <c r="C398" s="46"/>
      <c r="D398" s="46"/>
      <c r="E398" s="46"/>
      <c r="F398" s="46"/>
      <c r="G398" s="46"/>
      <c r="H398" s="46"/>
      <c r="I398" s="46"/>
      <c r="J398" s="46"/>
      <c r="K398" s="46"/>
      <c r="L398" s="46"/>
      <c r="M398" s="46"/>
      <c r="N398" s="46"/>
      <c r="O398" s="46"/>
      <c r="P398" s="46"/>
      <c r="Q398" s="46"/>
      <c r="R398" s="46"/>
      <c r="S398" s="46"/>
      <c r="T398" s="46"/>
      <c r="U398" s="46"/>
      <c r="V398" s="46"/>
      <c r="W398" s="46"/>
      <c r="X398" s="46"/>
      <c r="Y398" s="46"/>
      <c r="Z398" s="46"/>
    </row>
    <row r="399" spans="1:26" x14ac:dyDescent="0.25">
      <c r="A399" s="46"/>
      <c r="B399" s="46"/>
      <c r="C399" s="46"/>
      <c r="D399" s="46"/>
      <c r="E399" s="46"/>
      <c r="F399" s="46"/>
      <c r="G399" s="46"/>
      <c r="H399" s="46"/>
      <c r="I399" s="46"/>
      <c r="J399" s="46"/>
      <c r="K399" s="46"/>
      <c r="L399" s="46"/>
      <c r="M399" s="46"/>
      <c r="N399" s="46"/>
      <c r="O399" s="46"/>
      <c r="P399" s="46"/>
      <c r="Q399" s="46"/>
      <c r="R399" s="46"/>
      <c r="S399" s="46"/>
      <c r="T399" s="46"/>
      <c r="U399" s="46"/>
      <c r="V399" s="46"/>
      <c r="W399" s="46"/>
      <c r="X399" s="46"/>
      <c r="Y399" s="46"/>
      <c r="Z399" s="46"/>
    </row>
    <row r="400" spans="1:26" x14ac:dyDescent="0.25">
      <c r="A400" s="46"/>
      <c r="B400" s="46"/>
      <c r="C400" s="46"/>
      <c r="D400" s="46"/>
      <c r="E400" s="46"/>
      <c r="F400" s="46"/>
      <c r="G400" s="46"/>
      <c r="H400" s="46"/>
      <c r="I400" s="46"/>
      <c r="J400" s="46"/>
      <c r="K400" s="46"/>
      <c r="L400" s="46"/>
      <c r="M400" s="46"/>
      <c r="N400" s="46"/>
      <c r="O400" s="46"/>
      <c r="P400" s="46"/>
      <c r="Q400" s="46"/>
      <c r="R400" s="46"/>
      <c r="S400" s="46"/>
      <c r="T400" s="46"/>
      <c r="U400" s="46"/>
      <c r="V400" s="46"/>
      <c r="W400" s="46"/>
      <c r="X400" s="46"/>
      <c r="Y400" s="46"/>
      <c r="Z400" s="46"/>
    </row>
    <row r="401" spans="1:26" x14ac:dyDescent="0.25">
      <c r="A401" s="46"/>
      <c r="B401" s="46"/>
      <c r="C401" s="46"/>
      <c r="D401" s="46"/>
      <c r="E401" s="46"/>
      <c r="F401" s="46"/>
      <c r="G401" s="46"/>
      <c r="H401" s="46"/>
      <c r="I401" s="46"/>
      <c r="J401" s="46"/>
      <c r="K401" s="46"/>
      <c r="L401" s="46"/>
      <c r="M401" s="46"/>
      <c r="N401" s="46"/>
      <c r="O401" s="46"/>
      <c r="P401" s="46"/>
      <c r="Q401" s="46"/>
      <c r="R401" s="46"/>
      <c r="S401" s="46"/>
      <c r="T401" s="46"/>
      <c r="U401" s="46"/>
      <c r="V401" s="46"/>
      <c r="W401" s="46"/>
      <c r="X401" s="46"/>
      <c r="Y401" s="46"/>
      <c r="Z401" s="46"/>
    </row>
    <row r="402" spans="1:26" x14ac:dyDescent="0.25">
      <c r="A402" s="46"/>
      <c r="B402" s="46"/>
      <c r="C402" s="46"/>
      <c r="D402" s="46"/>
      <c r="E402" s="46"/>
      <c r="F402" s="46"/>
      <c r="G402" s="46"/>
      <c r="H402" s="46"/>
      <c r="I402" s="46"/>
      <c r="J402" s="46"/>
      <c r="K402" s="46"/>
      <c r="L402" s="46"/>
      <c r="M402" s="46"/>
      <c r="N402" s="46"/>
      <c r="O402" s="46"/>
      <c r="P402" s="46"/>
      <c r="Q402" s="46"/>
      <c r="R402" s="46"/>
      <c r="S402" s="46"/>
      <c r="T402" s="46"/>
      <c r="U402" s="46"/>
      <c r="V402" s="46"/>
      <c r="W402" s="46"/>
      <c r="X402" s="46"/>
      <c r="Y402" s="46"/>
      <c r="Z402" s="46"/>
    </row>
    <row r="403" spans="1:26" x14ac:dyDescent="0.25">
      <c r="A403" s="46"/>
      <c r="B403" s="46"/>
      <c r="C403" s="46"/>
      <c r="D403" s="46"/>
      <c r="E403" s="46"/>
      <c r="F403" s="46"/>
      <c r="G403" s="46"/>
      <c r="H403" s="46"/>
      <c r="I403" s="46"/>
      <c r="J403" s="46"/>
      <c r="K403" s="46"/>
      <c r="L403" s="46"/>
      <c r="M403" s="46"/>
      <c r="N403" s="46"/>
      <c r="O403" s="46"/>
      <c r="P403" s="46"/>
      <c r="Q403" s="46"/>
      <c r="R403" s="46"/>
      <c r="S403" s="46"/>
      <c r="T403" s="46"/>
      <c r="U403" s="46"/>
      <c r="V403" s="46"/>
      <c r="W403" s="46"/>
      <c r="X403" s="46"/>
      <c r="Y403" s="46"/>
      <c r="Z403" s="46"/>
    </row>
    <row r="404" spans="1:26" x14ac:dyDescent="0.25">
      <c r="A404" s="46"/>
      <c r="B404" s="46"/>
      <c r="C404" s="46"/>
      <c r="D404" s="46"/>
      <c r="E404" s="46"/>
      <c r="F404" s="46"/>
      <c r="G404" s="46"/>
      <c r="H404" s="46"/>
      <c r="I404" s="46"/>
      <c r="J404" s="46"/>
      <c r="K404" s="46"/>
      <c r="L404" s="46"/>
      <c r="M404" s="46"/>
      <c r="N404" s="46"/>
      <c r="O404" s="46"/>
      <c r="P404" s="46"/>
      <c r="Q404" s="46"/>
      <c r="R404" s="46"/>
      <c r="S404" s="46"/>
      <c r="T404" s="46"/>
      <c r="U404" s="46"/>
      <c r="V404" s="46"/>
      <c r="W404" s="46"/>
      <c r="X404" s="46"/>
      <c r="Y404" s="46"/>
      <c r="Z404" s="46"/>
    </row>
    <row r="405" spans="1:26" x14ac:dyDescent="0.25">
      <c r="A405" s="46"/>
      <c r="B405" s="46"/>
      <c r="C405" s="46"/>
      <c r="D405" s="46"/>
      <c r="E405" s="46"/>
      <c r="F405" s="46"/>
      <c r="G405" s="46"/>
      <c r="H405" s="46"/>
      <c r="I405" s="46"/>
      <c r="J405" s="46"/>
      <c r="K405" s="46"/>
      <c r="L405" s="46"/>
      <c r="M405" s="46"/>
      <c r="N405" s="46"/>
      <c r="O405" s="46"/>
      <c r="P405" s="46"/>
      <c r="Q405" s="46"/>
      <c r="R405" s="46"/>
      <c r="S405" s="46"/>
      <c r="T405" s="46"/>
      <c r="U405" s="46"/>
      <c r="V405" s="46"/>
      <c r="W405" s="46"/>
      <c r="X405" s="46"/>
      <c r="Y405" s="46"/>
      <c r="Z405" s="46"/>
    </row>
    <row r="406" spans="1:26" x14ac:dyDescent="0.25">
      <c r="A406" s="46"/>
      <c r="B406" s="46"/>
      <c r="C406" s="46"/>
      <c r="D406" s="46"/>
      <c r="E406" s="46"/>
      <c r="F406" s="46"/>
      <c r="G406" s="46"/>
      <c r="H406" s="46"/>
      <c r="I406" s="46"/>
      <c r="J406" s="46"/>
      <c r="K406" s="46"/>
      <c r="L406" s="46"/>
      <c r="M406" s="46"/>
      <c r="N406" s="46"/>
      <c r="O406" s="46"/>
      <c r="P406" s="46"/>
      <c r="Q406" s="46"/>
      <c r="R406" s="46"/>
      <c r="S406" s="46"/>
      <c r="T406" s="46"/>
      <c r="U406" s="46"/>
      <c r="V406" s="46"/>
      <c r="W406" s="46"/>
      <c r="X406" s="46"/>
      <c r="Y406" s="46"/>
      <c r="Z406" s="46"/>
    </row>
    <row r="407" spans="1:26" x14ac:dyDescent="0.25">
      <c r="A407" s="46"/>
      <c r="B407" s="46"/>
      <c r="C407" s="46"/>
      <c r="D407" s="46"/>
      <c r="E407" s="46"/>
      <c r="F407" s="46"/>
      <c r="G407" s="46"/>
      <c r="H407" s="46"/>
      <c r="I407" s="46"/>
      <c r="J407" s="46"/>
      <c r="K407" s="46"/>
      <c r="L407" s="46"/>
      <c r="M407" s="46"/>
      <c r="N407" s="46"/>
      <c r="O407" s="46"/>
      <c r="P407" s="46"/>
      <c r="Q407" s="46"/>
      <c r="R407" s="46"/>
      <c r="S407" s="46"/>
      <c r="T407" s="46"/>
      <c r="U407" s="46"/>
      <c r="V407" s="46"/>
      <c r="W407" s="46"/>
      <c r="X407" s="46"/>
      <c r="Y407" s="46"/>
      <c r="Z407" s="46"/>
    </row>
    <row r="408" spans="1:26" x14ac:dyDescent="0.25">
      <c r="A408" s="46"/>
      <c r="B408" s="46"/>
      <c r="C408" s="46"/>
      <c r="D408" s="46"/>
      <c r="E408" s="46"/>
      <c r="F408" s="46"/>
      <c r="G408" s="46"/>
      <c r="H408" s="46"/>
      <c r="I408" s="46"/>
      <c r="J408" s="46"/>
      <c r="K408" s="46"/>
      <c r="L408" s="46"/>
      <c r="M408" s="46"/>
      <c r="N408" s="46"/>
      <c r="O408" s="46"/>
      <c r="P408" s="46"/>
      <c r="Q408" s="46"/>
      <c r="R408" s="46"/>
      <c r="S408" s="46"/>
      <c r="T408" s="46"/>
      <c r="U408" s="46"/>
      <c r="V408" s="46"/>
      <c r="W408" s="46"/>
      <c r="X408" s="46"/>
      <c r="Y408" s="46"/>
      <c r="Z408" s="46"/>
    </row>
    <row r="409" spans="1:26" x14ac:dyDescent="0.25">
      <c r="A409" s="46"/>
      <c r="B409" s="46"/>
      <c r="C409" s="46"/>
      <c r="D409" s="46"/>
      <c r="E409" s="46"/>
      <c r="F409" s="46"/>
      <c r="G409" s="46"/>
      <c r="H409" s="46"/>
      <c r="I409" s="46"/>
      <c r="J409" s="46"/>
      <c r="K409" s="46"/>
      <c r="L409" s="46"/>
      <c r="M409" s="46"/>
      <c r="N409" s="46"/>
      <c r="O409" s="46"/>
      <c r="P409" s="46"/>
      <c r="Q409" s="46"/>
      <c r="R409" s="46"/>
      <c r="S409" s="46"/>
      <c r="T409" s="46"/>
      <c r="U409" s="46"/>
      <c r="V409" s="46"/>
      <c r="W409" s="46"/>
      <c r="X409" s="46"/>
      <c r="Y409" s="46"/>
      <c r="Z409" s="46"/>
    </row>
    <row r="410" spans="1:26" x14ac:dyDescent="0.25">
      <c r="A410" s="46"/>
      <c r="B410" s="46"/>
      <c r="C410" s="46"/>
      <c r="D410" s="46"/>
      <c r="E410" s="46"/>
      <c r="F410" s="46"/>
      <c r="G410" s="46"/>
      <c r="H410" s="46"/>
      <c r="I410" s="46"/>
      <c r="J410" s="46"/>
      <c r="K410" s="46"/>
      <c r="L410" s="46"/>
      <c r="M410" s="46"/>
      <c r="N410" s="46"/>
      <c r="O410" s="46"/>
      <c r="P410" s="46"/>
      <c r="Q410" s="46"/>
      <c r="R410" s="46"/>
      <c r="S410" s="46"/>
      <c r="T410" s="46"/>
      <c r="U410" s="46"/>
      <c r="V410" s="46"/>
      <c r="W410" s="46"/>
      <c r="X410" s="46"/>
      <c r="Y410" s="46"/>
      <c r="Z410" s="46"/>
    </row>
    <row r="411" spans="1:26" x14ac:dyDescent="0.25">
      <c r="A411" s="46"/>
      <c r="B411" s="46"/>
      <c r="C411" s="46"/>
      <c r="D411" s="46"/>
      <c r="E411" s="46"/>
      <c r="F411" s="46"/>
      <c r="G411" s="46"/>
      <c r="H411" s="46"/>
      <c r="I411" s="46"/>
      <c r="J411" s="46"/>
      <c r="K411" s="46"/>
      <c r="L411" s="46"/>
      <c r="M411" s="46"/>
      <c r="N411" s="46"/>
      <c r="O411" s="46"/>
      <c r="P411" s="46"/>
      <c r="Q411" s="46"/>
      <c r="R411" s="46"/>
      <c r="S411" s="46"/>
      <c r="T411" s="46"/>
      <c r="U411" s="46"/>
      <c r="V411" s="46"/>
      <c r="W411" s="46"/>
      <c r="X411" s="46"/>
      <c r="Y411" s="46"/>
      <c r="Z411" s="46"/>
    </row>
    <row r="412" spans="1:26" x14ac:dyDescent="0.25">
      <c r="A412" s="46"/>
      <c r="B412" s="46"/>
      <c r="C412" s="46"/>
      <c r="D412" s="46"/>
      <c r="E412" s="46"/>
      <c r="F412" s="46"/>
      <c r="G412" s="46"/>
      <c r="H412" s="46"/>
      <c r="I412" s="46"/>
      <c r="J412" s="46"/>
      <c r="K412" s="46"/>
      <c r="L412" s="46"/>
      <c r="M412" s="46"/>
      <c r="N412" s="46"/>
      <c r="O412" s="46"/>
      <c r="P412" s="46"/>
      <c r="Q412" s="46"/>
      <c r="R412" s="46"/>
      <c r="S412" s="46"/>
      <c r="T412" s="46"/>
      <c r="U412" s="46"/>
      <c r="V412" s="46"/>
      <c r="W412" s="46"/>
      <c r="X412" s="46"/>
      <c r="Y412" s="46"/>
      <c r="Z412" s="46"/>
    </row>
    <row r="413" spans="1:26" x14ac:dyDescent="0.25">
      <c r="A413" s="46"/>
      <c r="B413" s="46"/>
      <c r="C413" s="46"/>
      <c r="D413" s="46"/>
      <c r="E413" s="46"/>
      <c r="F413" s="46"/>
      <c r="G413" s="46"/>
      <c r="H413" s="46"/>
      <c r="I413" s="46"/>
      <c r="J413" s="46"/>
      <c r="K413" s="46"/>
      <c r="L413" s="46"/>
      <c r="M413" s="46"/>
      <c r="N413" s="46"/>
      <c r="O413" s="46"/>
      <c r="P413" s="46"/>
      <c r="Q413" s="46"/>
      <c r="R413" s="46"/>
      <c r="S413" s="46"/>
      <c r="T413" s="46"/>
      <c r="U413" s="46"/>
      <c r="V413" s="46"/>
      <c r="W413" s="46"/>
      <c r="X413" s="46"/>
      <c r="Y413" s="46"/>
      <c r="Z413" s="46"/>
    </row>
    <row r="414" spans="1:26" x14ac:dyDescent="0.25">
      <c r="A414" s="46"/>
      <c r="B414" s="46"/>
      <c r="C414" s="46"/>
      <c r="D414" s="46"/>
      <c r="E414" s="46"/>
      <c r="F414" s="46"/>
      <c r="G414" s="46"/>
      <c r="H414" s="46"/>
      <c r="I414" s="46"/>
      <c r="J414" s="46"/>
      <c r="K414" s="46"/>
      <c r="L414" s="46"/>
      <c r="M414" s="46"/>
      <c r="N414" s="46"/>
      <c r="O414" s="46"/>
      <c r="P414" s="46"/>
      <c r="Q414" s="46"/>
      <c r="R414" s="46"/>
      <c r="S414" s="46"/>
      <c r="T414" s="46"/>
      <c r="U414" s="46"/>
      <c r="V414" s="46"/>
      <c r="W414" s="46"/>
      <c r="X414" s="46"/>
      <c r="Y414" s="46"/>
      <c r="Z414" s="46"/>
    </row>
    <row r="415" spans="1:26" x14ac:dyDescent="0.25">
      <c r="A415" s="46"/>
      <c r="B415" s="46"/>
      <c r="C415" s="46"/>
      <c r="D415" s="46"/>
      <c r="E415" s="46"/>
      <c r="F415" s="46"/>
      <c r="G415" s="46"/>
      <c r="H415" s="46"/>
      <c r="I415" s="46"/>
      <c r="J415" s="46"/>
      <c r="K415" s="46"/>
      <c r="L415" s="46"/>
      <c r="M415" s="46"/>
      <c r="N415" s="46"/>
      <c r="O415" s="46"/>
      <c r="P415" s="46"/>
      <c r="Q415" s="46"/>
      <c r="R415" s="46"/>
      <c r="S415" s="46"/>
      <c r="T415" s="46"/>
      <c r="U415" s="46"/>
      <c r="V415" s="46"/>
      <c r="W415" s="46"/>
      <c r="X415" s="46"/>
      <c r="Y415" s="46"/>
      <c r="Z415" s="46"/>
    </row>
    <row r="416" spans="1:26" x14ac:dyDescent="0.25">
      <c r="A416" s="46"/>
      <c r="B416" s="46"/>
      <c r="C416" s="46"/>
      <c r="D416" s="46"/>
      <c r="E416" s="46"/>
      <c r="F416" s="46"/>
      <c r="G416" s="46"/>
      <c r="H416" s="46"/>
      <c r="I416" s="46"/>
      <c r="J416" s="46"/>
      <c r="K416" s="46"/>
      <c r="L416" s="46"/>
      <c r="M416" s="46"/>
      <c r="N416" s="46"/>
      <c r="O416" s="46"/>
      <c r="P416" s="46"/>
      <c r="Q416" s="46"/>
      <c r="R416" s="46"/>
      <c r="S416" s="46"/>
      <c r="T416" s="46"/>
      <c r="U416" s="46"/>
      <c r="V416" s="46"/>
      <c r="W416" s="46"/>
      <c r="X416" s="46"/>
      <c r="Y416" s="46"/>
      <c r="Z416" s="46"/>
    </row>
    <row r="417" spans="1:26" x14ac:dyDescent="0.25">
      <c r="A417" s="46"/>
      <c r="B417" s="46"/>
      <c r="C417" s="46"/>
      <c r="D417" s="46"/>
      <c r="E417" s="46"/>
      <c r="F417" s="46"/>
      <c r="G417" s="46"/>
      <c r="H417" s="46"/>
      <c r="I417" s="46"/>
      <c r="J417" s="46"/>
      <c r="K417" s="46"/>
      <c r="L417" s="46"/>
      <c r="M417" s="46"/>
      <c r="N417" s="46"/>
      <c r="O417" s="46"/>
      <c r="P417" s="46"/>
      <c r="Q417" s="46"/>
      <c r="R417" s="46"/>
      <c r="S417" s="46"/>
      <c r="T417" s="46"/>
      <c r="U417" s="46"/>
      <c r="V417" s="46"/>
      <c r="W417" s="46"/>
      <c r="X417" s="46"/>
      <c r="Y417" s="46"/>
      <c r="Z417" s="46"/>
    </row>
    <row r="418" spans="1:26" x14ac:dyDescent="0.25">
      <c r="A418" s="46"/>
      <c r="B418" s="46"/>
      <c r="C418" s="46"/>
      <c r="D418" s="46"/>
      <c r="E418" s="46"/>
      <c r="F418" s="46"/>
      <c r="G418" s="46"/>
      <c r="H418" s="46"/>
      <c r="I418" s="46"/>
      <c r="J418" s="46"/>
      <c r="K418" s="46"/>
      <c r="L418" s="46"/>
      <c r="M418" s="46"/>
      <c r="N418" s="46"/>
      <c r="O418" s="46"/>
      <c r="P418" s="46"/>
      <c r="Q418" s="46"/>
      <c r="R418" s="46"/>
      <c r="S418" s="46"/>
      <c r="T418" s="46"/>
      <c r="U418" s="46"/>
      <c r="V418" s="46"/>
      <c r="W418" s="46"/>
      <c r="X418" s="46"/>
      <c r="Y418" s="46"/>
      <c r="Z418" s="46"/>
    </row>
    <row r="419" spans="1:26" x14ac:dyDescent="0.25">
      <c r="A419" s="46"/>
      <c r="B419" s="46"/>
      <c r="C419" s="46"/>
      <c r="D419" s="46"/>
      <c r="E419" s="46"/>
      <c r="F419" s="46"/>
      <c r="G419" s="46"/>
      <c r="H419" s="46"/>
      <c r="I419" s="46"/>
      <c r="J419" s="46"/>
      <c r="K419" s="46"/>
      <c r="L419" s="46"/>
      <c r="M419" s="46"/>
      <c r="N419" s="46"/>
      <c r="O419" s="46"/>
      <c r="P419" s="46"/>
      <c r="Q419" s="46"/>
      <c r="R419" s="46"/>
      <c r="S419" s="46"/>
      <c r="T419" s="46"/>
      <c r="U419" s="46"/>
      <c r="V419" s="46"/>
      <c r="W419" s="46"/>
      <c r="X419" s="46"/>
      <c r="Y419" s="46"/>
      <c r="Z419" s="46"/>
    </row>
    <row r="420" spans="1:26" x14ac:dyDescent="0.25">
      <c r="A420" s="46"/>
      <c r="B420" s="46"/>
      <c r="C420" s="46"/>
      <c r="D420" s="46"/>
      <c r="E420" s="46"/>
      <c r="F420" s="46"/>
      <c r="G420" s="46"/>
      <c r="H420" s="46"/>
      <c r="I420" s="46"/>
      <c r="J420" s="46"/>
      <c r="K420" s="46"/>
      <c r="L420" s="46"/>
      <c r="M420" s="46"/>
      <c r="N420" s="46"/>
      <c r="O420" s="46"/>
      <c r="P420" s="46"/>
      <c r="Q420" s="46"/>
      <c r="R420" s="46"/>
      <c r="S420" s="46"/>
      <c r="T420" s="46"/>
      <c r="U420" s="46"/>
      <c r="V420" s="46"/>
      <c r="W420" s="46"/>
      <c r="X420" s="46"/>
      <c r="Y420" s="46"/>
      <c r="Z420" s="46"/>
    </row>
    <row r="421" spans="1:26" x14ac:dyDescent="0.25">
      <c r="A421" s="46"/>
      <c r="B421" s="46"/>
      <c r="C421" s="46"/>
      <c r="D421" s="46"/>
      <c r="E421" s="46"/>
      <c r="F421" s="46"/>
      <c r="G421" s="46"/>
      <c r="H421" s="46"/>
      <c r="I421" s="46"/>
      <c r="J421" s="46"/>
      <c r="K421" s="46"/>
      <c r="L421" s="46"/>
      <c r="M421" s="46"/>
      <c r="N421" s="46"/>
      <c r="O421" s="46"/>
      <c r="P421" s="46"/>
      <c r="Q421" s="46"/>
      <c r="R421" s="46"/>
      <c r="S421" s="46"/>
      <c r="T421" s="46"/>
      <c r="U421" s="46"/>
      <c r="V421" s="46"/>
      <c r="W421" s="46"/>
      <c r="X421" s="46"/>
      <c r="Y421" s="46"/>
      <c r="Z421" s="46"/>
    </row>
    <row r="422" spans="1:26" x14ac:dyDescent="0.25">
      <c r="A422" s="46"/>
      <c r="B422" s="46"/>
      <c r="C422" s="46"/>
      <c r="D422" s="46"/>
      <c r="E422" s="46"/>
      <c r="F422" s="46"/>
      <c r="G422" s="46"/>
      <c r="H422" s="46"/>
      <c r="I422" s="46"/>
      <c r="J422" s="46"/>
      <c r="K422" s="46"/>
      <c r="L422" s="46"/>
      <c r="M422" s="46"/>
      <c r="N422" s="46"/>
      <c r="O422" s="46"/>
      <c r="P422" s="46"/>
      <c r="Q422" s="46"/>
      <c r="R422" s="46"/>
      <c r="S422" s="46"/>
      <c r="T422" s="46"/>
      <c r="U422" s="46"/>
      <c r="V422" s="46"/>
      <c r="W422" s="46"/>
      <c r="X422" s="46"/>
      <c r="Y422" s="46"/>
      <c r="Z422" s="46"/>
    </row>
    <row r="423" spans="1:26" x14ac:dyDescent="0.25">
      <c r="A423" s="46"/>
      <c r="B423" s="46"/>
      <c r="C423" s="46"/>
      <c r="D423" s="46"/>
      <c r="E423" s="46"/>
      <c r="F423" s="46"/>
      <c r="G423" s="46"/>
      <c r="H423" s="46"/>
      <c r="I423" s="46"/>
      <c r="J423" s="46"/>
      <c r="K423" s="46"/>
      <c r="L423" s="46"/>
      <c r="M423" s="46"/>
      <c r="N423" s="46"/>
      <c r="O423" s="46"/>
      <c r="P423" s="46"/>
      <c r="Q423" s="46"/>
      <c r="R423" s="46"/>
      <c r="S423" s="46"/>
      <c r="T423" s="46"/>
      <c r="U423" s="46"/>
      <c r="V423" s="46"/>
      <c r="W423" s="46"/>
      <c r="X423" s="46"/>
      <c r="Y423" s="46"/>
      <c r="Z423" s="46"/>
    </row>
    <row r="424" spans="1:26" x14ac:dyDescent="0.25">
      <c r="A424" s="46"/>
      <c r="B424" s="46"/>
      <c r="C424" s="46"/>
      <c r="D424" s="46"/>
      <c r="E424" s="46"/>
      <c r="F424" s="46"/>
      <c r="G424" s="46"/>
      <c r="H424" s="46"/>
      <c r="I424" s="46"/>
      <c r="J424" s="46"/>
      <c r="K424" s="46"/>
      <c r="L424" s="46"/>
      <c r="M424" s="46"/>
      <c r="N424" s="46"/>
      <c r="O424" s="46"/>
      <c r="P424" s="46"/>
      <c r="Q424" s="46"/>
      <c r="R424" s="46"/>
      <c r="S424" s="46"/>
      <c r="T424" s="46"/>
      <c r="U424" s="46"/>
      <c r="V424" s="46"/>
      <c r="W424" s="46"/>
      <c r="X424" s="46"/>
      <c r="Y424" s="46"/>
      <c r="Z424" s="46"/>
    </row>
    <row r="425" spans="1:26" x14ac:dyDescent="0.25">
      <c r="A425" s="46"/>
      <c r="B425" s="46"/>
      <c r="C425" s="46"/>
      <c r="D425" s="46"/>
      <c r="E425" s="46"/>
      <c r="F425" s="46"/>
      <c r="G425" s="46"/>
      <c r="H425" s="46"/>
      <c r="I425" s="46"/>
      <c r="J425" s="46"/>
      <c r="K425" s="46"/>
      <c r="L425" s="46"/>
      <c r="M425" s="46"/>
      <c r="N425" s="46"/>
      <c r="O425" s="46"/>
      <c r="P425" s="46"/>
      <c r="Q425" s="46"/>
      <c r="R425" s="46"/>
      <c r="S425" s="46"/>
      <c r="T425" s="46"/>
      <c r="U425" s="46"/>
      <c r="V425" s="46"/>
      <c r="W425" s="46"/>
      <c r="X425" s="46"/>
      <c r="Y425" s="46"/>
      <c r="Z425" s="46"/>
    </row>
    <row r="426" spans="1:26" x14ac:dyDescent="0.25">
      <c r="A426" s="46"/>
      <c r="B426" s="46"/>
      <c r="C426" s="46"/>
      <c r="D426" s="46"/>
      <c r="E426" s="46"/>
      <c r="F426" s="46"/>
      <c r="G426" s="46"/>
      <c r="H426" s="46"/>
      <c r="I426" s="46"/>
      <c r="J426" s="46"/>
      <c r="K426" s="46"/>
      <c r="L426" s="46"/>
      <c r="M426" s="46"/>
      <c r="N426" s="46"/>
      <c r="O426" s="46"/>
      <c r="P426" s="46"/>
      <c r="Q426" s="46"/>
      <c r="R426" s="46"/>
      <c r="S426" s="46"/>
      <c r="T426" s="46"/>
      <c r="U426" s="46"/>
      <c r="V426" s="46"/>
      <c r="W426" s="46"/>
      <c r="X426" s="46"/>
      <c r="Y426" s="46"/>
      <c r="Z426" s="46"/>
    </row>
    <row r="427" spans="1:26" x14ac:dyDescent="0.25">
      <c r="A427" s="46"/>
      <c r="B427" s="46"/>
      <c r="C427" s="46"/>
      <c r="D427" s="46"/>
      <c r="E427" s="46"/>
      <c r="F427" s="46"/>
      <c r="G427" s="46"/>
      <c r="H427" s="46"/>
      <c r="I427" s="46"/>
      <c r="J427" s="46"/>
      <c r="K427" s="46"/>
      <c r="L427" s="46"/>
      <c r="M427" s="46"/>
      <c r="N427" s="46"/>
      <c r="O427" s="46"/>
      <c r="P427" s="46"/>
      <c r="Q427" s="46"/>
      <c r="R427" s="46"/>
      <c r="S427" s="46"/>
      <c r="T427" s="46"/>
      <c r="U427" s="46"/>
      <c r="V427" s="46"/>
      <c r="W427" s="46"/>
      <c r="X427" s="46"/>
      <c r="Y427" s="46"/>
      <c r="Z427" s="46"/>
    </row>
    <row r="428" spans="1:26" x14ac:dyDescent="0.25">
      <c r="A428" s="46"/>
      <c r="B428" s="46"/>
      <c r="C428" s="46"/>
      <c r="D428" s="46"/>
      <c r="E428" s="46"/>
      <c r="F428" s="46"/>
      <c r="G428" s="46"/>
      <c r="H428" s="46"/>
      <c r="I428" s="46"/>
      <c r="J428" s="46"/>
      <c r="K428" s="46"/>
      <c r="L428" s="46"/>
      <c r="M428" s="46"/>
      <c r="N428" s="46"/>
      <c r="O428" s="46"/>
      <c r="P428" s="46"/>
      <c r="Q428" s="46"/>
      <c r="R428" s="46"/>
      <c r="S428" s="46"/>
      <c r="T428" s="46"/>
      <c r="U428" s="46"/>
      <c r="V428" s="46"/>
      <c r="W428" s="46"/>
      <c r="X428" s="46"/>
      <c r="Y428" s="46"/>
      <c r="Z428" s="46"/>
    </row>
    <row r="429" spans="1:26" x14ac:dyDescent="0.25">
      <c r="A429" s="46"/>
      <c r="B429" s="46"/>
      <c r="C429" s="46"/>
      <c r="D429" s="46"/>
      <c r="E429" s="46"/>
      <c r="F429" s="46"/>
      <c r="G429" s="46"/>
      <c r="H429" s="46"/>
      <c r="I429" s="46"/>
      <c r="J429" s="46"/>
      <c r="K429" s="46"/>
      <c r="L429" s="46"/>
      <c r="M429" s="46"/>
      <c r="N429" s="46"/>
      <c r="O429" s="46"/>
      <c r="P429" s="46"/>
      <c r="Q429" s="46"/>
      <c r="R429" s="46"/>
      <c r="S429" s="46"/>
      <c r="T429" s="46"/>
      <c r="U429" s="46"/>
      <c r="V429" s="46"/>
      <c r="W429" s="46"/>
      <c r="X429" s="46"/>
      <c r="Y429" s="46"/>
      <c r="Z429" s="46"/>
    </row>
    <row r="430" spans="1:26" x14ac:dyDescent="0.25">
      <c r="A430" s="46"/>
      <c r="B430" s="46"/>
      <c r="C430" s="46"/>
      <c r="D430" s="46"/>
      <c r="E430" s="46"/>
      <c r="F430" s="46"/>
      <c r="G430" s="46"/>
      <c r="H430" s="46"/>
      <c r="I430" s="46"/>
      <c r="J430" s="46"/>
      <c r="K430" s="46"/>
      <c r="L430" s="46"/>
      <c r="M430" s="46"/>
      <c r="N430" s="46"/>
      <c r="O430" s="46"/>
      <c r="P430" s="46"/>
      <c r="Q430" s="46"/>
      <c r="R430" s="46"/>
      <c r="S430" s="46"/>
      <c r="T430" s="46"/>
      <c r="U430" s="46"/>
      <c r="V430" s="46"/>
      <c r="W430" s="46"/>
      <c r="X430" s="46"/>
      <c r="Y430" s="46"/>
      <c r="Z430" s="46"/>
    </row>
    <row r="431" spans="1:26" x14ac:dyDescent="0.25">
      <c r="A431" s="46"/>
      <c r="B431" s="46"/>
      <c r="C431" s="46"/>
      <c r="D431" s="46"/>
      <c r="E431" s="46"/>
      <c r="F431" s="46"/>
      <c r="G431" s="46"/>
      <c r="H431" s="46"/>
      <c r="I431" s="46"/>
      <c r="J431" s="46"/>
      <c r="K431" s="46"/>
      <c r="L431" s="46"/>
      <c r="M431" s="46"/>
      <c r="N431" s="46"/>
      <c r="O431" s="46"/>
      <c r="P431" s="46"/>
      <c r="Q431" s="46"/>
      <c r="R431" s="46"/>
      <c r="S431" s="46"/>
      <c r="T431" s="46"/>
      <c r="U431" s="46"/>
      <c r="V431" s="46"/>
      <c r="W431" s="46"/>
      <c r="X431" s="46"/>
      <c r="Y431" s="46"/>
      <c r="Z431" s="46"/>
    </row>
    <row r="432" spans="1:26" x14ac:dyDescent="0.25">
      <c r="A432" s="46"/>
      <c r="B432" s="46"/>
      <c r="C432" s="46"/>
      <c r="D432" s="46"/>
      <c r="E432" s="46"/>
      <c r="F432" s="46"/>
      <c r="G432" s="46"/>
      <c r="H432" s="46"/>
      <c r="I432" s="46"/>
      <c r="J432" s="46"/>
      <c r="K432" s="46"/>
      <c r="L432" s="46"/>
      <c r="M432" s="46"/>
      <c r="N432" s="46"/>
      <c r="O432" s="46"/>
      <c r="P432" s="46"/>
      <c r="Q432" s="46"/>
      <c r="R432" s="46"/>
      <c r="S432" s="46"/>
      <c r="T432" s="46"/>
      <c r="U432" s="46"/>
      <c r="V432" s="46"/>
      <c r="W432" s="46"/>
      <c r="X432" s="46"/>
      <c r="Y432" s="46"/>
      <c r="Z432" s="46"/>
    </row>
    <row r="433" spans="1:26" x14ac:dyDescent="0.25">
      <c r="A433" s="46"/>
      <c r="B433" s="46"/>
      <c r="C433" s="46"/>
      <c r="D433" s="46"/>
      <c r="E433" s="46"/>
      <c r="F433" s="46"/>
      <c r="G433" s="46"/>
      <c r="H433" s="46"/>
      <c r="I433" s="46"/>
      <c r="J433" s="46"/>
      <c r="K433" s="46"/>
      <c r="L433" s="46"/>
      <c r="M433" s="46"/>
      <c r="N433" s="46"/>
      <c r="O433" s="46"/>
      <c r="P433" s="46"/>
      <c r="Q433" s="46"/>
      <c r="R433" s="46"/>
      <c r="S433" s="46"/>
      <c r="T433" s="46"/>
      <c r="U433" s="46"/>
      <c r="V433" s="46"/>
      <c r="W433" s="46"/>
      <c r="X433" s="46"/>
      <c r="Y433" s="46"/>
      <c r="Z433" s="46"/>
    </row>
    <row r="434" spans="1:26" x14ac:dyDescent="0.25">
      <c r="A434" s="46"/>
      <c r="B434" s="46"/>
      <c r="C434" s="46"/>
      <c r="D434" s="46"/>
      <c r="E434" s="46"/>
      <c r="F434" s="46"/>
      <c r="G434" s="46"/>
      <c r="H434" s="46"/>
      <c r="I434" s="46"/>
      <c r="J434" s="46"/>
      <c r="K434" s="46"/>
      <c r="L434" s="46"/>
      <c r="M434" s="46"/>
      <c r="N434" s="46"/>
      <c r="O434" s="46"/>
      <c r="P434" s="46"/>
      <c r="Q434" s="46"/>
      <c r="R434" s="46"/>
      <c r="S434" s="46"/>
      <c r="T434" s="46"/>
      <c r="U434" s="46"/>
      <c r="V434" s="46"/>
      <c r="W434" s="46"/>
      <c r="X434" s="46"/>
      <c r="Y434" s="46"/>
      <c r="Z434" s="46"/>
    </row>
    <row r="435" spans="1:26" x14ac:dyDescent="0.25">
      <c r="A435" s="46"/>
      <c r="B435" s="46"/>
      <c r="C435" s="46"/>
      <c r="D435" s="46"/>
      <c r="E435" s="46"/>
      <c r="F435" s="46"/>
      <c r="G435" s="46"/>
      <c r="H435" s="46"/>
      <c r="I435" s="46"/>
      <c r="J435" s="46"/>
      <c r="K435" s="46"/>
      <c r="L435" s="46"/>
      <c r="M435" s="46"/>
      <c r="N435" s="46"/>
      <c r="O435" s="46"/>
      <c r="P435" s="46"/>
      <c r="Q435" s="46"/>
      <c r="R435" s="46"/>
      <c r="S435" s="46"/>
      <c r="T435" s="46"/>
      <c r="U435" s="46"/>
      <c r="V435" s="46"/>
      <c r="W435" s="46"/>
      <c r="X435" s="46"/>
      <c r="Y435" s="46"/>
      <c r="Z435" s="46"/>
    </row>
    <row r="436" spans="1:26" x14ac:dyDescent="0.25">
      <c r="A436" s="46"/>
      <c r="B436" s="46"/>
      <c r="C436" s="46"/>
      <c r="D436" s="46"/>
      <c r="E436" s="46"/>
      <c r="F436" s="46"/>
      <c r="G436" s="46"/>
      <c r="H436" s="46"/>
      <c r="I436" s="46"/>
      <c r="J436" s="46"/>
      <c r="K436" s="46"/>
      <c r="L436" s="46"/>
      <c r="M436" s="46"/>
      <c r="N436" s="46"/>
      <c r="O436" s="46"/>
      <c r="P436" s="46"/>
      <c r="Q436" s="46"/>
      <c r="R436" s="46"/>
      <c r="S436" s="46"/>
      <c r="T436" s="46"/>
      <c r="U436" s="46"/>
      <c r="V436" s="46"/>
      <c r="W436" s="46"/>
      <c r="X436" s="46"/>
      <c r="Y436" s="46"/>
      <c r="Z436" s="46"/>
    </row>
    <row r="437" spans="1:26" x14ac:dyDescent="0.25">
      <c r="A437" s="46"/>
      <c r="B437" s="46"/>
      <c r="C437" s="46"/>
      <c r="D437" s="46"/>
      <c r="E437" s="46"/>
      <c r="F437" s="46"/>
      <c r="G437" s="46"/>
      <c r="H437" s="46"/>
      <c r="I437" s="46"/>
      <c r="J437" s="46"/>
      <c r="K437" s="46"/>
      <c r="L437" s="46"/>
      <c r="M437" s="46"/>
      <c r="N437" s="46"/>
      <c r="O437" s="46"/>
      <c r="P437" s="46"/>
      <c r="Q437" s="46"/>
      <c r="R437" s="46"/>
      <c r="S437" s="46"/>
      <c r="T437" s="46"/>
      <c r="U437" s="46"/>
      <c r="V437" s="46"/>
      <c r="W437" s="46"/>
      <c r="X437" s="46"/>
      <c r="Y437" s="46"/>
      <c r="Z437" s="46"/>
    </row>
    <row r="438" spans="1:26" x14ac:dyDescent="0.25">
      <c r="A438" s="46"/>
      <c r="B438" s="46"/>
      <c r="C438" s="46"/>
      <c r="D438" s="46"/>
      <c r="E438" s="46"/>
      <c r="F438" s="46"/>
      <c r="G438" s="46"/>
      <c r="H438" s="46"/>
      <c r="I438" s="46"/>
      <c r="J438" s="46"/>
      <c r="K438" s="46"/>
      <c r="L438" s="46"/>
      <c r="M438" s="46"/>
      <c r="N438" s="46"/>
      <c r="O438" s="46"/>
      <c r="P438" s="46"/>
      <c r="Q438" s="46"/>
      <c r="R438" s="46"/>
      <c r="S438" s="46"/>
      <c r="T438" s="46"/>
      <c r="U438" s="46"/>
      <c r="V438" s="46"/>
      <c r="W438" s="46"/>
      <c r="X438" s="46"/>
      <c r="Y438" s="46"/>
      <c r="Z438" s="46"/>
    </row>
    <row r="439" spans="1:26" x14ac:dyDescent="0.25">
      <c r="A439" s="46"/>
      <c r="B439" s="46"/>
      <c r="C439" s="46"/>
      <c r="D439" s="46"/>
      <c r="E439" s="46"/>
      <c r="F439" s="46"/>
      <c r="G439" s="46"/>
      <c r="H439" s="46"/>
      <c r="I439" s="46"/>
      <c r="J439" s="46"/>
      <c r="K439" s="46"/>
      <c r="L439" s="46"/>
      <c r="M439" s="46"/>
      <c r="N439" s="46"/>
      <c r="O439" s="46"/>
      <c r="P439" s="46"/>
      <c r="Q439" s="46"/>
      <c r="R439" s="46"/>
      <c r="S439" s="46"/>
      <c r="T439" s="46"/>
      <c r="U439" s="46"/>
      <c r="V439" s="46"/>
      <c r="W439" s="46"/>
      <c r="X439" s="46"/>
      <c r="Y439" s="46"/>
      <c r="Z439" s="46"/>
    </row>
    <row r="440" spans="1:26" x14ac:dyDescent="0.25">
      <c r="A440" s="46"/>
      <c r="B440" s="46"/>
      <c r="C440" s="46"/>
      <c r="D440" s="46"/>
      <c r="E440" s="46"/>
      <c r="F440" s="46"/>
      <c r="G440" s="46"/>
      <c r="H440" s="46"/>
      <c r="I440" s="46"/>
      <c r="J440" s="46"/>
      <c r="K440" s="46"/>
      <c r="L440" s="46"/>
      <c r="M440" s="46"/>
      <c r="N440" s="46"/>
      <c r="O440" s="46"/>
      <c r="P440" s="46"/>
      <c r="Q440" s="46"/>
      <c r="R440" s="46"/>
      <c r="S440" s="46"/>
      <c r="T440" s="46"/>
      <c r="U440" s="46"/>
      <c r="V440" s="46"/>
      <c r="W440" s="46"/>
      <c r="X440" s="46"/>
      <c r="Y440" s="46"/>
      <c r="Z440" s="46"/>
    </row>
    <row r="441" spans="1:26" x14ac:dyDescent="0.25">
      <c r="A441" s="46"/>
      <c r="B441" s="46"/>
      <c r="C441" s="46"/>
      <c r="D441" s="46"/>
      <c r="E441" s="46"/>
      <c r="F441" s="46"/>
      <c r="G441" s="46"/>
      <c r="H441" s="46"/>
      <c r="I441" s="46"/>
      <c r="J441" s="46"/>
      <c r="K441" s="46"/>
      <c r="L441" s="46"/>
      <c r="M441" s="46"/>
      <c r="N441" s="46"/>
      <c r="O441" s="46"/>
      <c r="P441" s="46"/>
      <c r="Q441" s="46"/>
      <c r="R441" s="46"/>
      <c r="S441" s="46"/>
      <c r="T441" s="46"/>
      <c r="U441" s="46"/>
      <c r="V441" s="46"/>
      <c r="W441" s="46"/>
      <c r="X441" s="46"/>
      <c r="Y441" s="46"/>
      <c r="Z441" s="46"/>
    </row>
    <row r="442" spans="1:26" x14ac:dyDescent="0.25">
      <c r="A442" s="46"/>
      <c r="B442" s="46"/>
      <c r="C442" s="46"/>
      <c r="D442" s="46"/>
      <c r="E442" s="46"/>
      <c r="F442" s="46"/>
      <c r="G442" s="46"/>
      <c r="H442" s="46"/>
      <c r="I442" s="46"/>
      <c r="J442" s="46"/>
      <c r="K442" s="46"/>
      <c r="L442" s="46"/>
      <c r="M442" s="46"/>
      <c r="N442" s="46"/>
      <c r="O442" s="46"/>
      <c r="P442" s="46"/>
      <c r="Q442" s="46"/>
      <c r="R442" s="46"/>
      <c r="S442" s="46"/>
      <c r="T442" s="46"/>
      <c r="U442" s="46"/>
      <c r="V442" s="46"/>
      <c r="W442" s="46"/>
      <c r="X442" s="46"/>
      <c r="Y442" s="46"/>
      <c r="Z442" s="46"/>
    </row>
    <row r="443" spans="1:26" x14ac:dyDescent="0.25">
      <c r="A443" s="46"/>
      <c r="B443" s="46"/>
      <c r="C443" s="46"/>
      <c r="D443" s="46"/>
      <c r="E443" s="46"/>
      <c r="F443" s="46"/>
      <c r="G443" s="46"/>
      <c r="H443" s="46"/>
      <c r="I443" s="46"/>
      <c r="J443" s="46"/>
      <c r="K443" s="46"/>
      <c r="L443" s="46"/>
      <c r="M443" s="46"/>
      <c r="N443" s="46"/>
      <c r="O443" s="46"/>
      <c r="P443" s="46"/>
      <c r="Q443" s="46"/>
      <c r="R443" s="46"/>
      <c r="S443" s="46"/>
      <c r="T443" s="46"/>
      <c r="U443" s="46"/>
      <c r="V443" s="46"/>
      <c r="W443" s="46"/>
      <c r="X443" s="46"/>
      <c r="Y443" s="46"/>
      <c r="Z443" s="46"/>
    </row>
    <row r="444" spans="1:26" x14ac:dyDescent="0.25">
      <c r="A444" s="46"/>
      <c r="B444" s="46"/>
      <c r="C444" s="46"/>
      <c r="D444" s="46"/>
      <c r="E444" s="46"/>
      <c r="F444" s="46"/>
      <c r="G444" s="46"/>
      <c r="H444" s="46"/>
      <c r="I444" s="46"/>
      <c r="J444" s="46"/>
      <c r="K444" s="46"/>
      <c r="L444" s="46"/>
      <c r="M444" s="46"/>
      <c r="N444" s="46"/>
      <c r="O444" s="46"/>
      <c r="P444" s="46"/>
      <c r="Q444" s="46"/>
      <c r="R444" s="46"/>
      <c r="S444" s="46"/>
      <c r="T444" s="46"/>
      <c r="U444" s="46"/>
      <c r="V444" s="46"/>
      <c r="W444" s="46"/>
      <c r="X444" s="46"/>
      <c r="Y444" s="46"/>
      <c r="Z444" s="46"/>
    </row>
    <row r="445" spans="1:26" x14ac:dyDescent="0.25">
      <c r="A445" s="46"/>
      <c r="B445" s="46"/>
      <c r="C445" s="46"/>
      <c r="D445" s="46"/>
      <c r="E445" s="46"/>
      <c r="F445" s="46"/>
      <c r="G445" s="46"/>
      <c r="H445" s="46"/>
      <c r="I445" s="46"/>
      <c r="J445" s="46"/>
      <c r="K445" s="46"/>
      <c r="L445" s="46"/>
      <c r="M445" s="46"/>
      <c r="N445" s="46"/>
      <c r="O445" s="46"/>
      <c r="P445" s="46"/>
      <c r="Q445" s="46"/>
      <c r="R445" s="46"/>
      <c r="S445" s="46"/>
      <c r="T445" s="46"/>
      <c r="U445" s="46"/>
      <c r="V445" s="46"/>
      <c r="W445" s="46"/>
      <c r="X445" s="46"/>
      <c r="Y445" s="46"/>
      <c r="Z445" s="46"/>
    </row>
    <row r="446" spans="1:26" x14ac:dyDescent="0.25">
      <c r="A446" s="46"/>
      <c r="B446" s="46"/>
      <c r="C446" s="46"/>
      <c r="D446" s="46"/>
      <c r="E446" s="46"/>
      <c r="F446" s="46"/>
      <c r="G446" s="46"/>
      <c r="H446" s="46"/>
      <c r="I446" s="46"/>
      <c r="J446" s="46"/>
      <c r="K446" s="46"/>
      <c r="L446" s="46"/>
      <c r="M446" s="46"/>
      <c r="N446" s="46"/>
      <c r="O446" s="46"/>
      <c r="P446" s="46"/>
      <c r="Q446" s="46"/>
      <c r="R446" s="46"/>
      <c r="S446" s="46"/>
      <c r="T446" s="46"/>
      <c r="U446" s="46"/>
      <c r="V446" s="46"/>
      <c r="W446" s="46"/>
      <c r="X446" s="46"/>
      <c r="Y446" s="46"/>
      <c r="Z446" s="46"/>
    </row>
    <row r="447" spans="1:26" x14ac:dyDescent="0.25">
      <c r="A447" s="46"/>
      <c r="B447" s="46"/>
      <c r="C447" s="46"/>
      <c r="D447" s="46"/>
      <c r="E447" s="46"/>
      <c r="F447" s="46"/>
      <c r="G447" s="46"/>
      <c r="H447" s="46"/>
      <c r="I447" s="46"/>
      <c r="J447" s="46"/>
      <c r="K447" s="46"/>
      <c r="L447" s="46"/>
      <c r="M447" s="46"/>
      <c r="N447" s="46"/>
      <c r="O447" s="46"/>
      <c r="P447" s="46"/>
      <c r="Q447" s="46"/>
      <c r="R447" s="46"/>
      <c r="S447" s="46"/>
      <c r="T447" s="46"/>
      <c r="U447" s="46"/>
      <c r="V447" s="46"/>
      <c r="W447" s="46"/>
      <c r="X447" s="46"/>
      <c r="Y447" s="46"/>
      <c r="Z447" s="46"/>
    </row>
    <row r="448" spans="1:26" x14ac:dyDescent="0.25">
      <c r="A448" s="46"/>
      <c r="B448" s="46"/>
      <c r="C448" s="46"/>
      <c r="D448" s="46"/>
      <c r="E448" s="46"/>
      <c r="F448" s="46"/>
      <c r="G448" s="46"/>
      <c r="H448" s="46"/>
      <c r="I448" s="46"/>
      <c r="J448" s="46"/>
      <c r="K448" s="46"/>
      <c r="L448" s="46"/>
      <c r="M448" s="46"/>
      <c r="N448" s="46"/>
      <c r="O448" s="46"/>
      <c r="P448" s="46"/>
      <c r="Q448" s="46"/>
      <c r="R448" s="46"/>
      <c r="S448" s="46"/>
      <c r="T448" s="46"/>
      <c r="U448" s="46"/>
      <c r="V448" s="46"/>
      <c r="W448" s="46"/>
      <c r="X448" s="46"/>
      <c r="Y448" s="46"/>
      <c r="Z448" s="46"/>
    </row>
    <row r="449" spans="1:26" x14ac:dyDescent="0.25">
      <c r="A449" s="46"/>
      <c r="B449" s="46"/>
      <c r="C449" s="46"/>
      <c r="D449" s="46"/>
      <c r="E449" s="46"/>
      <c r="F449" s="46"/>
      <c r="G449" s="46"/>
      <c r="H449" s="46"/>
      <c r="I449" s="46"/>
      <c r="J449" s="46"/>
      <c r="K449" s="46"/>
      <c r="L449" s="46"/>
      <c r="M449" s="46"/>
      <c r="N449" s="46"/>
      <c r="O449" s="46"/>
      <c r="P449" s="46"/>
      <c r="Q449" s="46"/>
      <c r="R449" s="46"/>
      <c r="S449" s="46"/>
      <c r="T449" s="46"/>
      <c r="U449" s="46"/>
      <c r="V449" s="46"/>
      <c r="W449" s="46"/>
      <c r="X449" s="46"/>
      <c r="Y449" s="46"/>
      <c r="Z449" s="46"/>
    </row>
    <row r="450" spans="1:26" x14ac:dyDescent="0.25">
      <c r="A450" s="46"/>
      <c r="B450" s="46"/>
      <c r="C450" s="46"/>
      <c r="D450" s="46"/>
      <c r="E450" s="46"/>
      <c r="F450" s="46"/>
      <c r="G450" s="46"/>
      <c r="H450" s="46"/>
      <c r="I450" s="46"/>
      <c r="J450" s="46"/>
      <c r="K450" s="46"/>
      <c r="L450" s="46"/>
      <c r="M450" s="46"/>
      <c r="N450" s="46"/>
      <c r="O450" s="46"/>
      <c r="P450" s="46"/>
      <c r="Q450" s="46"/>
      <c r="R450" s="46"/>
      <c r="S450" s="46"/>
      <c r="T450" s="46"/>
      <c r="U450" s="46"/>
      <c r="V450" s="46"/>
      <c r="W450" s="46"/>
      <c r="X450" s="46"/>
      <c r="Y450" s="46"/>
      <c r="Z450" s="46"/>
    </row>
    <row r="451" spans="1:26" x14ac:dyDescent="0.25">
      <c r="A451" s="46"/>
      <c r="B451" s="46"/>
      <c r="C451" s="46"/>
      <c r="D451" s="46"/>
      <c r="E451" s="46"/>
      <c r="F451" s="46"/>
      <c r="G451" s="46"/>
      <c r="H451" s="46"/>
      <c r="I451" s="46"/>
      <c r="J451" s="46"/>
      <c r="K451" s="46"/>
      <c r="L451" s="46"/>
      <c r="M451" s="46"/>
      <c r="N451" s="46"/>
      <c r="O451" s="46"/>
      <c r="P451" s="46"/>
      <c r="Q451" s="46"/>
      <c r="R451" s="46"/>
      <c r="S451" s="46"/>
      <c r="T451" s="46"/>
      <c r="U451" s="46"/>
      <c r="V451" s="46"/>
      <c r="W451" s="46"/>
      <c r="X451" s="46"/>
      <c r="Y451" s="46"/>
      <c r="Z451" s="46"/>
    </row>
    <row r="452" spans="1:26" x14ac:dyDescent="0.25">
      <c r="A452" s="46"/>
      <c r="B452" s="46"/>
      <c r="C452" s="46"/>
      <c r="D452" s="46"/>
      <c r="E452" s="46"/>
      <c r="F452" s="46"/>
      <c r="G452" s="46"/>
      <c r="H452" s="46"/>
      <c r="I452" s="46"/>
      <c r="J452" s="46"/>
      <c r="K452" s="46"/>
      <c r="L452" s="46"/>
      <c r="M452" s="46"/>
      <c r="N452" s="46"/>
      <c r="O452" s="46"/>
      <c r="P452" s="46"/>
      <c r="Q452" s="46"/>
      <c r="R452" s="46"/>
      <c r="S452" s="46"/>
      <c r="T452" s="46"/>
      <c r="U452" s="46"/>
      <c r="V452" s="46"/>
      <c r="W452" s="46"/>
      <c r="X452" s="46"/>
      <c r="Y452" s="46"/>
      <c r="Z452" s="46"/>
    </row>
    <row r="453" spans="1:26" x14ac:dyDescent="0.25">
      <c r="A453" s="46"/>
      <c r="B453" s="46"/>
      <c r="C453" s="46"/>
      <c r="D453" s="46"/>
      <c r="E453" s="46"/>
      <c r="F453" s="46"/>
      <c r="G453" s="46"/>
      <c r="H453" s="46"/>
      <c r="I453" s="46"/>
      <c r="J453" s="46"/>
      <c r="K453" s="46"/>
      <c r="L453" s="46"/>
      <c r="M453" s="46"/>
      <c r="N453" s="46"/>
      <c r="O453" s="46"/>
      <c r="P453" s="46"/>
      <c r="Q453" s="46"/>
      <c r="R453" s="46"/>
      <c r="S453" s="46"/>
      <c r="T453" s="46"/>
      <c r="U453" s="46"/>
      <c r="V453" s="46"/>
      <c r="W453" s="46"/>
      <c r="X453" s="46"/>
      <c r="Y453" s="46"/>
      <c r="Z453" s="46"/>
    </row>
    <row r="454" spans="1:26" x14ac:dyDescent="0.25">
      <c r="A454" s="46"/>
      <c r="B454" s="46"/>
      <c r="C454" s="46"/>
      <c r="D454" s="46"/>
      <c r="E454" s="46"/>
      <c r="F454" s="46"/>
      <c r="G454" s="46"/>
      <c r="H454" s="46"/>
      <c r="I454" s="46"/>
      <c r="J454" s="46"/>
      <c r="K454" s="46"/>
      <c r="L454" s="46"/>
      <c r="M454" s="46"/>
      <c r="N454" s="46"/>
      <c r="O454" s="46"/>
      <c r="P454" s="46"/>
      <c r="Q454" s="46"/>
      <c r="R454" s="46"/>
      <c r="S454" s="46"/>
      <c r="T454" s="46"/>
      <c r="U454" s="46"/>
      <c r="V454" s="46"/>
      <c r="W454" s="46"/>
      <c r="X454" s="46"/>
      <c r="Y454" s="46"/>
      <c r="Z454" s="46"/>
    </row>
    <row r="455" spans="1:26" x14ac:dyDescent="0.25">
      <c r="A455" s="46"/>
      <c r="B455" s="46"/>
      <c r="C455" s="46"/>
      <c r="D455" s="46"/>
      <c r="E455" s="46"/>
      <c r="F455" s="46"/>
      <c r="G455" s="46"/>
      <c r="H455" s="46"/>
      <c r="I455" s="46"/>
      <c r="J455" s="46"/>
      <c r="K455" s="46"/>
      <c r="L455" s="46"/>
      <c r="M455" s="46"/>
      <c r="N455" s="46"/>
      <c r="O455" s="46"/>
      <c r="P455" s="46"/>
      <c r="Q455" s="46"/>
      <c r="R455" s="46"/>
      <c r="S455" s="46"/>
      <c r="T455" s="46"/>
      <c r="U455" s="46"/>
      <c r="V455" s="46"/>
      <c r="W455" s="46"/>
      <c r="X455" s="46"/>
      <c r="Y455" s="46"/>
      <c r="Z455" s="46"/>
    </row>
    <row r="456" spans="1:26" x14ac:dyDescent="0.25">
      <c r="A456" s="46"/>
      <c r="B456" s="46"/>
      <c r="C456" s="46"/>
      <c r="D456" s="46"/>
      <c r="E456" s="46"/>
      <c r="F456" s="46"/>
      <c r="G456" s="46"/>
      <c r="H456" s="46"/>
      <c r="I456" s="46"/>
      <c r="J456" s="46"/>
      <c r="K456" s="46"/>
      <c r="L456" s="46"/>
      <c r="M456" s="46"/>
      <c r="N456" s="46"/>
      <c r="O456" s="46"/>
      <c r="P456" s="46"/>
      <c r="Q456" s="46"/>
      <c r="R456" s="46"/>
      <c r="S456" s="46"/>
      <c r="T456" s="46"/>
      <c r="U456" s="46"/>
      <c r="V456" s="46"/>
      <c r="W456" s="46"/>
      <c r="X456" s="46"/>
      <c r="Y456" s="46"/>
      <c r="Z456" s="46"/>
    </row>
    <row r="457" spans="1:26" x14ac:dyDescent="0.25">
      <c r="A457" s="46"/>
      <c r="B457" s="46"/>
      <c r="C457" s="46"/>
      <c r="D457" s="46"/>
      <c r="E457" s="46"/>
      <c r="F457" s="46"/>
      <c r="G457" s="46"/>
      <c r="H457" s="46"/>
      <c r="I457" s="46"/>
      <c r="J457" s="46"/>
      <c r="K457" s="46"/>
      <c r="L457" s="46"/>
      <c r="M457" s="46"/>
      <c r="N457" s="46"/>
      <c r="O457" s="46"/>
      <c r="P457" s="46"/>
      <c r="Q457" s="46"/>
      <c r="R457" s="46"/>
      <c r="S457" s="46"/>
      <c r="T457" s="46"/>
      <c r="U457" s="46"/>
      <c r="V457" s="46"/>
      <c r="W457" s="46"/>
      <c r="X457" s="46"/>
      <c r="Y457" s="46"/>
      <c r="Z457" s="46"/>
    </row>
    <row r="458" spans="1:26" x14ac:dyDescent="0.25">
      <c r="A458" s="46"/>
      <c r="B458" s="46"/>
      <c r="C458" s="46"/>
      <c r="D458" s="46"/>
      <c r="E458" s="46"/>
      <c r="F458" s="46"/>
      <c r="G458" s="46"/>
      <c r="H458" s="46"/>
      <c r="I458" s="46"/>
      <c r="J458" s="46"/>
      <c r="K458" s="46"/>
      <c r="L458" s="46"/>
      <c r="M458" s="46"/>
      <c r="N458" s="46"/>
      <c r="O458" s="46"/>
      <c r="P458" s="46"/>
      <c r="Q458" s="46"/>
      <c r="R458" s="46"/>
      <c r="S458" s="46"/>
      <c r="T458" s="46"/>
      <c r="U458" s="46"/>
      <c r="V458" s="46"/>
      <c r="W458" s="46"/>
      <c r="X458" s="46"/>
      <c r="Y458" s="46"/>
      <c r="Z458" s="46"/>
    </row>
    <row r="459" spans="1:26" x14ac:dyDescent="0.25">
      <c r="A459" s="46"/>
      <c r="B459" s="46"/>
      <c r="C459" s="46"/>
      <c r="D459" s="46"/>
      <c r="E459" s="46"/>
      <c r="F459" s="46"/>
      <c r="G459" s="46"/>
      <c r="H459" s="46"/>
      <c r="I459" s="46"/>
      <c r="J459" s="46"/>
      <c r="K459" s="46"/>
      <c r="L459" s="46"/>
      <c r="M459" s="46"/>
      <c r="N459" s="46"/>
      <c r="O459" s="46"/>
      <c r="P459" s="46"/>
      <c r="Q459" s="46"/>
      <c r="R459" s="46"/>
      <c r="S459" s="46"/>
      <c r="T459" s="46"/>
      <c r="U459" s="46"/>
      <c r="V459" s="46"/>
      <c r="W459" s="46"/>
      <c r="X459" s="46"/>
      <c r="Y459" s="46"/>
      <c r="Z459" s="46"/>
    </row>
    <row r="460" spans="1:26" x14ac:dyDescent="0.25">
      <c r="A460" s="46"/>
      <c r="B460" s="46"/>
      <c r="C460" s="46"/>
      <c r="D460" s="46"/>
      <c r="E460" s="46"/>
      <c r="F460" s="46"/>
      <c r="G460" s="46"/>
      <c r="H460" s="46"/>
      <c r="I460" s="46"/>
      <c r="J460" s="46"/>
      <c r="K460" s="46"/>
      <c r="L460" s="46"/>
      <c r="M460" s="46"/>
      <c r="N460" s="46"/>
      <c r="O460" s="46"/>
      <c r="P460" s="46"/>
      <c r="Q460" s="46"/>
      <c r="R460" s="46"/>
      <c r="S460" s="46"/>
      <c r="T460" s="46"/>
      <c r="U460" s="46"/>
      <c r="V460" s="46"/>
      <c r="W460" s="46"/>
      <c r="X460" s="46"/>
      <c r="Y460" s="46"/>
      <c r="Z460" s="46"/>
    </row>
    <row r="461" spans="1:26" x14ac:dyDescent="0.25">
      <c r="A461" s="46"/>
      <c r="B461" s="46"/>
      <c r="C461" s="46"/>
      <c r="D461" s="46"/>
      <c r="E461" s="46"/>
      <c r="F461" s="46"/>
      <c r="G461" s="46"/>
      <c r="H461" s="46"/>
      <c r="I461" s="46"/>
      <c r="J461" s="46"/>
      <c r="K461" s="46"/>
      <c r="L461" s="46"/>
      <c r="M461" s="46"/>
      <c r="N461" s="46"/>
      <c r="O461" s="46"/>
      <c r="P461" s="46"/>
      <c r="Q461" s="46"/>
      <c r="R461" s="46"/>
      <c r="S461" s="46"/>
      <c r="T461" s="46"/>
      <c r="U461" s="46"/>
      <c r="V461" s="46"/>
      <c r="W461" s="46"/>
      <c r="X461" s="46"/>
      <c r="Y461" s="46"/>
      <c r="Z461" s="46"/>
    </row>
    <row r="462" spans="1:26" x14ac:dyDescent="0.25">
      <c r="A462" s="46"/>
      <c r="B462" s="46"/>
      <c r="C462" s="46"/>
      <c r="D462" s="46"/>
      <c r="E462" s="46"/>
      <c r="F462" s="46"/>
      <c r="G462" s="46"/>
      <c r="H462" s="46"/>
      <c r="I462" s="46"/>
      <c r="J462" s="46"/>
      <c r="K462" s="46"/>
      <c r="L462" s="46"/>
      <c r="M462" s="46"/>
      <c r="N462" s="46"/>
      <c r="O462" s="46"/>
      <c r="P462" s="46"/>
      <c r="Q462" s="46"/>
      <c r="R462" s="46"/>
      <c r="S462" s="46"/>
      <c r="T462" s="46"/>
      <c r="U462" s="46"/>
      <c r="V462" s="46"/>
      <c r="W462" s="46"/>
      <c r="X462" s="46"/>
      <c r="Y462" s="46"/>
      <c r="Z462" s="46"/>
    </row>
    <row r="463" spans="1:26" x14ac:dyDescent="0.25">
      <c r="A463" s="46"/>
      <c r="B463" s="46"/>
      <c r="C463" s="46"/>
      <c r="D463" s="46"/>
      <c r="E463" s="46"/>
      <c r="F463" s="46"/>
      <c r="G463" s="46"/>
      <c r="H463" s="46"/>
      <c r="I463" s="46"/>
      <c r="J463" s="46"/>
      <c r="K463" s="46"/>
      <c r="L463" s="46"/>
      <c r="M463" s="46"/>
      <c r="N463" s="46"/>
      <c r="O463" s="46"/>
      <c r="P463" s="46"/>
      <c r="Q463" s="46"/>
      <c r="R463" s="46"/>
      <c r="S463" s="46"/>
      <c r="T463" s="46"/>
      <c r="U463" s="46"/>
      <c r="V463" s="46"/>
      <c r="W463" s="46"/>
      <c r="X463" s="46"/>
      <c r="Y463" s="46"/>
      <c r="Z463" s="46"/>
    </row>
    <row r="464" spans="1:26" x14ac:dyDescent="0.25">
      <c r="A464" s="46"/>
      <c r="B464" s="46"/>
      <c r="C464" s="46"/>
      <c r="D464" s="46"/>
      <c r="E464" s="46"/>
      <c r="F464" s="46"/>
      <c r="G464" s="46"/>
      <c r="H464" s="46"/>
      <c r="I464" s="46"/>
      <c r="J464" s="46"/>
      <c r="K464" s="46"/>
      <c r="L464" s="46"/>
      <c r="M464" s="46"/>
      <c r="N464" s="46"/>
      <c r="O464" s="46"/>
      <c r="P464" s="46"/>
      <c r="Q464" s="46"/>
      <c r="R464" s="46"/>
      <c r="S464" s="46"/>
      <c r="T464" s="46"/>
      <c r="U464" s="46"/>
      <c r="V464" s="46"/>
      <c r="W464" s="46"/>
      <c r="X464" s="46"/>
      <c r="Y464" s="46"/>
      <c r="Z464" s="46"/>
    </row>
    <row r="465" spans="1:26" x14ac:dyDescent="0.25">
      <c r="A465" s="46"/>
      <c r="B465" s="46"/>
      <c r="C465" s="46"/>
      <c r="D465" s="46"/>
      <c r="E465" s="46"/>
      <c r="F465" s="46"/>
      <c r="G465" s="46"/>
      <c r="H465" s="46"/>
      <c r="I465" s="46"/>
      <c r="J465" s="46"/>
      <c r="K465" s="46"/>
      <c r="L465" s="46"/>
      <c r="M465" s="46"/>
      <c r="N465" s="46"/>
      <c r="O465" s="46"/>
      <c r="P465" s="46"/>
      <c r="Q465" s="46"/>
      <c r="R465" s="46"/>
      <c r="S465" s="46"/>
      <c r="T465" s="46"/>
      <c r="U465" s="46"/>
      <c r="V465" s="46"/>
      <c r="W465" s="46"/>
      <c r="X465" s="46"/>
      <c r="Y465" s="46"/>
      <c r="Z465" s="46"/>
    </row>
    <row r="466" spans="1:26" x14ac:dyDescent="0.25">
      <c r="A466" s="46"/>
      <c r="B466" s="46"/>
      <c r="C466" s="46"/>
      <c r="D466" s="46"/>
      <c r="E466" s="46"/>
      <c r="F466" s="46"/>
      <c r="G466" s="46"/>
      <c r="H466" s="46"/>
      <c r="I466" s="46"/>
      <c r="J466" s="46"/>
      <c r="K466" s="46"/>
      <c r="L466" s="46"/>
      <c r="M466" s="46"/>
      <c r="N466" s="46"/>
      <c r="O466" s="46"/>
      <c r="P466" s="46"/>
      <c r="Q466" s="46"/>
      <c r="R466" s="46"/>
      <c r="S466" s="46"/>
      <c r="T466" s="46"/>
      <c r="U466" s="46"/>
      <c r="V466" s="46"/>
      <c r="W466" s="46"/>
      <c r="X466" s="46"/>
      <c r="Y466" s="46"/>
      <c r="Z466" s="46"/>
    </row>
    <row r="467" spans="1:26" x14ac:dyDescent="0.25">
      <c r="A467" s="46"/>
      <c r="B467" s="46"/>
      <c r="C467" s="46"/>
      <c r="D467" s="46"/>
      <c r="E467" s="46"/>
      <c r="F467" s="46"/>
      <c r="G467" s="46"/>
      <c r="H467" s="46"/>
      <c r="I467" s="46"/>
      <c r="J467" s="46"/>
      <c r="K467" s="46"/>
      <c r="L467" s="46"/>
      <c r="M467" s="46"/>
      <c r="N467" s="46"/>
      <c r="O467" s="46"/>
      <c r="P467" s="46"/>
      <c r="Q467" s="46"/>
      <c r="R467" s="46"/>
      <c r="S467" s="46"/>
      <c r="T467" s="46"/>
      <c r="U467" s="46"/>
      <c r="V467" s="46"/>
      <c r="W467" s="46"/>
      <c r="X467" s="46"/>
      <c r="Y467" s="46"/>
      <c r="Z467" s="46"/>
    </row>
    <row r="468" spans="1:26" x14ac:dyDescent="0.25">
      <c r="A468" s="46"/>
      <c r="B468" s="46"/>
      <c r="C468" s="46"/>
      <c r="D468" s="46"/>
      <c r="E468" s="46"/>
      <c r="F468" s="46"/>
      <c r="G468" s="46"/>
      <c r="H468" s="46"/>
      <c r="I468" s="46"/>
      <c r="J468" s="46"/>
      <c r="K468" s="46"/>
      <c r="L468" s="46"/>
      <c r="M468" s="46"/>
      <c r="N468" s="46"/>
      <c r="O468" s="46"/>
      <c r="P468" s="46"/>
      <c r="Q468" s="46"/>
      <c r="R468" s="46"/>
      <c r="S468" s="46"/>
      <c r="T468" s="46"/>
      <c r="U468" s="46"/>
      <c r="V468" s="46"/>
      <c r="W468" s="46"/>
      <c r="X468" s="46"/>
      <c r="Y468" s="46"/>
      <c r="Z468" s="46"/>
    </row>
    <row r="469" spans="1:26" x14ac:dyDescent="0.25">
      <c r="A469" s="46"/>
      <c r="B469" s="46"/>
      <c r="C469" s="46"/>
      <c r="D469" s="46"/>
      <c r="E469" s="46"/>
      <c r="F469" s="46"/>
      <c r="G469" s="46"/>
      <c r="H469" s="46"/>
      <c r="I469" s="46"/>
      <c r="J469" s="46"/>
      <c r="K469" s="46"/>
      <c r="L469" s="46"/>
      <c r="M469" s="46"/>
      <c r="N469" s="46"/>
      <c r="O469" s="46"/>
      <c r="P469" s="46"/>
      <c r="Q469" s="46"/>
      <c r="R469" s="46"/>
      <c r="S469" s="46"/>
      <c r="T469" s="46"/>
      <c r="U469" s="46"/>
      <c r="V469" s="46"/>
      <c r="W469" s="46"/>
      <c r="X469" s="46"/>
      <c r="Y469" s="46"/>
      <c r="Z469" s="46"/>
    </row>
    <row r="470" spans="1:26" x14ac:dyDescent="0.25">
      <c r="A470" s="46"/>
      <c r="B470" s="46"/>
      <c r="C470" s="46"/>
      <c r="D470" s="46"/>
      <c r="E470" s="46"/>
      <c r="F470" s="46"/>
      <c r="G470" s="46"/>
      <c r="H470" s="46"/>
      <c r="I470" s="46"/>
      <c r="J470" s="46"/>
      <c r="K470" s="46"/>
      <c r="L470" s="46"/>
      <c r="M470" s="46"/>
      <c r="N470" s="46"/>
      <c r="O470" s="46"/>
      <c r="P470" s="46"/>
      <c r="Q470" s="46"/>
      <c r="R470" s="46"/>
      <c r="S470" s="46"/>
      <c r="T470" s="46"/>
      <c r="U470" s="46"/>
      <c r="V470" s="46"/>
      <c r="W470" s="46"/>
      <c r="X470" s="46"/>
      <c r="Y470" s="46"/>
      <c r="Z470" s="46"/>
    </row>
    <row r="471" spans="1:26" x14ac:dyDescent="0.25">
      <c r="A471" s="46"/>
      <c r="B471" s="46"/>
      <c r="C471" s="46"/>
      <c r="D471" s="46"/>
      <c r="E471" s="46"/>
      <c r="F471" s="46"/>
      <c r="G471" s="46"/>
      <c r="H471" s="46"/>
      <c r="I471" s="46"/>
      <c r="J471" s="46"/>
      <c r="K471" s="46"/>
      <c r="L471" s="46"/>
      <c r="M471" s="46"/>
      <c r="N471" s="46"/>
      <c r="O471" s="46"/>
      <c r="P471" s="46"/>
      <c r="Q471" s="46"/>
      <c r="R471" s="46"/>
      <c r="S471" s="46"/>
      <c r="T471" s="46"/>
      <c r="U471" s="46"/>
      <c r="V471" s="46"/>
      <c r="W471" s="46"/>
      <c r="X471" s="46"/>
      <c r="Y471" s="46"/>
      <c r="Z471" s="46"/>
    </row>
    <row r="472" spans="1:26" x14ac:dyDescent="0.25">
      <c r="A472" s="46"/>
      <c r="B472" s="46"/>
      <c r="C472" s="46"/>
      <c r="D472" s="46"/>
      <c r="E472" s="46"/>
      <c r="F472" s="46"/>
      <c r="G472" s="46"/>
      <c r="H472" s="46"/>
      <c r="I472" s="46"/>
      <c r="J472" s="46"/>
      <c r="K472" s="46"/>
      <c r="L472" s="46"/>
      <c r="M472" s="46"/>
      <c r="N472" s="46"/>
      <c r="O472" s="46"/>
      <c r="P472" s="46"/>
      <c r="Q472" s="46"/>
      <c r="R472" s="46"/>
      <c r="S472" s="46"/>
      <c r="T472" s="46"/>
      <c r="U472" s="46"/>
      <c r="V472" s="46"/>
      <c r="W472" s="46"/>
      <c r="X472" s="46"/>
      <c r="Y472" s="46"/>
      <c r="Z472" s="46"/>
    </row>
    <row r="473" spans="1:26" x14ac:dyDescent="0.25">
      <c r="A473" s="46"/>
      <c r="B473" s="46"/>
      <c r="C473" s="46"/>
      <c r="D473" s="46"/>
      <c r="E473" s="46"/>
      <c r="F473" s="46"/>
      <c r="G473" s="46"/>
      <c r="H473" s="46"/>
      <c r="I473" s="46"/>
      <c r="J473" s="46"/>
      <c r="K473" s="46"/>
      <c r="L473" s="46"/>
      <c r="M473" s="46"/>
      <c r="N473" s="46"/>
      <c r="O473" s="46"/>
      <c r="P473" s="46"/>
      <c r="Q473" s="46"/>
      <c r="R473" s="46"/>
      <c r="S473" s="46"/>
      <c r="T473" s="46"/>
      <c r="U473" s="46"/>
      <c r="V473" s="46"/>
      <c r="W473" s="46"/>
      <c r="X473" s="46"/>
      <c r="Y473" s="46"/>
      <c r="Z473" s="46"/>
    </row>
    <row r="474" spans="1:26" x14ac:dyDescent="0.25">
      <c r="A474" s="46"/>
      <c r="B474" s="46"/>
      <c r="C474" s="46"/>
      <c r="D474" s="46"/>
      <c r="E474" s="46"/>
      <c r="F474" s="46"/>
      <c r="G474" s="46"/>
      <c r="H474" s="46"/>
      <c r="I474" s="46"/>
      <c r="J474" s="46"/>
      <c r="K474" s="46"/>
      <c r="L474" s="46"/>
      <c r="M474" s="46"/>
      <c r="N474" s="46"/>
      <c r="O474" s="46"/>
      <c r="P474" s="46"/>
      <c r="Q474" s="46"/>
      <c r="R474" s="46"/>
      <c r="S474" s="46"/>
      <c r="T474" s="46"/>
      <c r="U474" s="46"/>
      <c r="V474" s="46"/>
      <c r="W474" s="46"/>
      <c r="X474" s="46"/>
      <c r="Y474" s="46"/>
      <c r="Z474" s="46"/>
    </row>
    <row r="475" spans="1:26" x14ac:dyDescent="0.25">
      <c r="A475" s="46"/>
      <c r="B475" s="46"/>
      <c r="C475" s="46"/>
      <c r="D475" s="46"/>
      <c r="E475" s="46"/>
      <c r="F475" s="46"/>
      <c r="G475" s="46"/>
      <c r="H475" s="46"/>
      <c r="I475" s="46"/>
      <c r="J475" s="46"/>
      <c r="K475" s="46"/>
      <c r="L475" s="46"/>
      <c r="M475" s="46"/>
      <c r="N475" s="46"/>
      <c r="O475" s="46"/>
      <c r="P475" s="46"/>
      <c r="Q475" s="46"/>
      <c r="R475" s="46"/>
      <c r="S475" s="46"/>
      <c r="T475" s="46"/>
      <c r="U475" s="46"/>
      <c r="V475" s="46"/>
      <c r="W475" s="46"/>
      <c r="X475" s="46"/>
      <c r="Y475" s="46"/>
      <c r="Z475" s="46"/>
    </row>
    <row r="476" spans="1:26" x14ac:dyDescent="0.25">
      <c r="A476" s="46"/>
      <c r="B476" s="46"/>
      <c r="C476" s="46"/>
      <c r="D476" s="46"/>
      <c r="E476" s="46"/>
      <c r="F476" s="46"/>
      <c r="G476" s="46"/>
      <c r="H476" s="46"/>
      <c r="I476" s="46"/>
      <c r="J476" s="46"/>
      <c r="K476" s="46"/>
      <c r="L476" s="46"/>
      <c r="M476" s="46"/>
      <c r="N476" s="46"/>
      <c r="O476" s="46"/>
      <c r="P476" s="46"/>
      <c r="Q476" s="46"/>
      <c r="R476" s="46"/>
      <c r="S476" s="46"/>
      <c r="T476" s="46"/>
      <c r="U476" s="46"/>
      <c r="V476" s="46"/>
      <c r="W476" s="46"/>
      <c r="X476" s="46"/>
      <c r="Y476" s="46"/>
      <c r="Z476" s="46"/>
    </row>
    <row r="477" spans="1:26" x14ac:dyDescent="0.25">
      <c r="A477" s="46"/>
      <c r="B477" s="46"/>
      <c r="C477" s="46"/>
      <c r="D477" s="46"/>
      <c r="E477" s="46"/>
      <c r="F477" s="46"/>
      <c r="G477" s="46"/>
      <c r="H477" s="46"/>
      <c r="I477" s="46"/>
      <c r="J477" s="46"/>
      <c r="K477" s="46"/>
      <c r="L477" s="46"/>
      <c r="M477" s="46"/>
      <c r="N477" s="46"/>
      <c r="O477" s="46"/>
      <c r="P477" s="46"/>
      <c r="Q477" s="46"/>
      <c r="R477" s="46"/>
      <c r="S477" s="46"/>
      <c r="T477" s="46"/>
      <c r="U477" s="46"/>
      <c r="V477" s="46"/>
      <c r="W477" s="46"/>
      <c r="X477" s="46"/>
      <c r="Y477" s="46"/>
      <c r="Z477" s="46"/>
    </row>
    <row r="478" spans="1:26" x14ac:dyDescent="0.25">
      <c r="A478" s="46"/>
      <c r="B478" s="46"/>
      <c r="C478" s="46"/>
      <c r="D478" s="46"/>
      <c r="E478" s="46"/>
      <c r="F478" s="46"/>
      <c r="G478" s="46"/>
      <c r="H478" s="46"/>
      <c r="I478" s="46"/>
      <c r="J478" s="46"/>
      <c r="K478" s="46"/>
      <c r="L478" s="46"/>
      <c r="M478" s="46"/>
      <c r="N478" s="46"/>
      <c r="O478" s="46"/>
      <c r="P478" s="46"/>
      <c r="Q478" s="46"/>
      <c r="R478" s="46"/>
      <c r="S478" s="46"/>
      <c r="T478" s="46"/>
      <c r="U478" s="46"/>
      <c r="V478" s="46"/>
      <c r="W478" s="46"/>
      <c r="X478" s="46"/>
      <c r="Y478" s="46"/>
      <c r="Z478" s="46"/>
    </row>
    <row r="479" spans="1:26" x14ac:dyDescent="0.25">
      <c r="A479" s="46"/>
      <c r="B479" s="46"/>
      <c r="C479" s="46"/>
      <c r="D479" s="46"/>
      <c r="E479" s="46"/>
      <c r="F479" s="46"/>
      <c r="G479" s="46"/>
      <c r="H479" s="46"/>
      <c r="I479" s="46"/>
      <c r="J479" s="46"/>
      <c r="K479" s="46"/>
      <c r="L479" s="46"/>
      <c r="M479" s="46"/>
      <c r="N479" s="46"/>
      <c r="O479" s="46"/>
      <c r="P479" s="46"/>
      <c r="Q479" s="46"/>
      <c r="R479" s="46"/>
      <c r="S479" s="46"/>
      <c r="T479" s="46"/>
      <c r="U479" s="46"/>
      <c r="V479" s="46"/>
      <c r="W479" s="46"/>
      <c r="X479" s="46"/>
      <c r="Y479" s="46"/>
      <c r="Z479" s="46"/>
    </row>
    <row r="480" spans="1:26" x14ac:dyDescent="0.25">
      <c r="A480" s="46"/>
      <c r="B480" s="46"/>
      <c r="C480" s="46"/>
      <c r="D480" s="46"/>
      <c r="E480" s="46"/>
      <c r="F480" s="46"/>
      <c r="G480" s="46"/>
      <c r="H480" s="46"/>
      <c r="I480" s="46"/>
      <c r="J480" s="46"/>
      <c r="K480" s="46"/>
      <c r="L480" s="46"/>
      <c r="M480" s="46"/>
      <c r="N480" s="46"/>
      <c r="O480" s="46"/>
      <c r="P480" s="46"/>
      <c r="Q480" s="46"/>
      <c r="R480" s="46"/>
      <c r="S480" s="46"/>
      <c r="T480" s="46"/>
      <c r="U480" s="46"/>
      <c r="V480" s="46"/>
      <c r="W480" s="46"/>
      <c r="X480" s="46"/>
      <c r="Y480" s="46"/>
      <c r="Z480" s="46"/>
    </row>
    <row r="481" spans="1:26" x14ac:dyDescent="0.25">
      <c r="A481" s="46"/>
      <c r="B481" s="46"/>
      <c r="C481" s="46"/>
      <c r="D481" s="46"/>
      <c r="E481" s="46"/>
      <c r="F481" s="46"/>
      <c r="G481" s="46"/>
      <c r="H481" s="46"/>
      <c r="I481" s="46"/>
      <c r="J481" s="46"/>
      <c r="K481" s="46"/>
      <c r="L481" s="46"/>
      <c r="M481" s="46"/>
      <c r="N481" s="46"/>
      <c r="O481" s="46"/>
      <c r="P481" s="46"/>
      <c r="Q481" s="46"/>
      <c r="R481" s="46"/>
      <c r="S481" s="46"/>
      <c r="T481" s="46"/>
      <c r="U481" s="46"/>
      <c r="V481" s="46"/>
      <c r="W481" s="46"/>
      <c r="X481" s="46"/>
      <c r="Y481" s="46"/>
      <c r="Z481" s="46"/>
    </row>
    <row r="482" spans="1:26" x14ac:dyDescent="0.25">
      <c r="A482" s="46"/>
      <c r="B482" s="46"/>
      <c r="C482" s="46"/>
      <c r="D482" s="46"/>
      <c r="E482" s="46"/>
      <c r="F482" s="46"/>
      <c r="G482" s="46"/>
      <c r="H482" s="46"/>
      <c r="I482" s="46"/>
      <c r="J482" s="46"/>
      <c r="K482" s="46"/>
      <c r="L482" s="46"/>
      <c r="M482" s="46"/>
      <c r="N482" s="46"/>
      <c r="O482" s="46"/>
      <c r="P482" s="46"/>
      <c r="Q482" s="46"/>
      <c r="R482" s="46"/>
      <c r="S482" s="46"/>
      <c r="T482" s="46"/>
      <c r="U482" s="46"/>
      <c r="V482" s="46"/>
      <c r="W482" s="46"/>
      <c r="X482" s="46"/>
      <c r="Y482" s="46"/>
      <c r="Z482" s="46"/>
    </row>
    <row r="483" spans="1:26" x14ac:dyDescent="0.25">
      <c r="A483" s="46"/>
      <c r="B483" s="46"/>
      <c r="C483" s="46"/>
      <c r="D483" s="46"/>
      <c r="E483" s="46"/>
      <c r="F483" s="46"/>
      <c r="G483" s="46"/>
      <c r="H483" s="46"/>
      <c r="I483" s="46"/>
      <c r="J483" s="46"/>
      <c r="K483" s="46"/>
      <c r="L483" s="46"/>
      <c r="M483" s="46"/>
      <c r="N483" s="46"/>
      <c r="O483" s="46"/>
      <c r="P483" s="46"/>
      <c r="Q483" s="46"/>
      <c r="R483" s="46"/>
      <c r="S483" s="46"/>
      <c r="T483" s="46"/>
      <c r="U483" s="46"/>
      <c r="V483" s="46"/>
      <c r="W483" s="46"/>
      <c r="X483" s="46"/>
      <c r="Y483" s="46"/>
      <c r="Z483" s="46"/>
    </row>
    <row r="484" spans="1:26" x14ac:dyDescent="0.25">
      <c r="A484" s="46"/>
      <c r="B484" s="46"/>
      <c r="C484" s="46"/>
      <c r="D484" s="46"/>
      <c r="E484" s="46"/>
      <c r="F484" s="46"/>
      <c r="G484" s="46"/>
      <c r="H484" s="46"/>
      <c r="I484" s="46"/>
      <c r="J484" s="46"/>
      <c r="K484" s="46"/>
      <c r="L484" s="46"/>
      <c r="M484" s="46"/>
      <c r="N484" s="46"/>
      <c r="O484" s="46"/>
      <c r="P484" s="46"/>
      <c r="Q484" s="46"/>
      <c r="R484" s="46"/>
      <c r="S484" s="46"/>
      <c r="T484" s="46"/>
      <c r="U484" s="46"/>
      <c r="V484" s="46"/>
      <c r="W484" s="46"/>
      <c r="X484" s="46"/>
      <c r="Y484" s="46"/>
      <c r="Z484" s="46"/>
    </row>
    <row r="485" spans="1:26" x14ac:dyDescent="0.25">
      <c r="A485" s="46"/>
      <c r="B485" s="46"/>
      <c r="C485" s="46"/>
      <c r="D485" s="46"/>
      <c r="E485" s="46"/>
      <c r="F485" s="46"/>
      <c r="G485" s="46"/>
      <c r="H485" s="46"/>
      <c r="I485" s="46"/>
      <c r="J485" s="46"/>
      <c r="K485" s="46"/>
      <c r="L485" s="46"/>
      <c r="M485" s="46"/>
      <c r="N485" s="46"/>
      <c r="O485" s="46"/>
      <c r="P485" s="46"/>
      <c r="Q485" s="46"/>
      <c r="R485" s="46"/>
      <c r="S485" s="46"/>
      <c r="T485" s="46"/>
      <c r="U485" s="46"/>
      <c r="V485" s="46"/>
      <c r="W485" s="46"/>
      <c r="X485" s="46"/>
      <c r="Y485" s="46"/>
      <c r="Z485" s="46"/>
    </row>
    <row r="486" spans="1:26" x14ac:dyDescent="0.25">
      <c r="A486" s="46"/>
      <c r="B486" s="46"/>
      <c r="C486" s="46"/>
      <c r="D486" s="46"/>
      <c r="E486" s="46"/>
      <c r="F486" s="46"/>
      <c r="G486" s="46"/>
      <c r="H486" s="46"/>
      <c r="I486" s="46"/>
      <c r="J486" s="46"/>
      <c r="K486" s="46"/>
      <c r="L486" s="46"/>
      <c r="M486" s="46"/>
      <c r="N486" s="46"/>
      <c r="O486" s="46"/>
      <c r="P486" s="46"/>
      <c r="Q486" s="46"/>
      <c r="R486" s="46"/>
      <c r="S486" s="46"/>
      <c r="T486" s="46"/>
      <c r="U486" s="46"/>
      <c r="V486" s="46"/>
      <c r="W486" s="46"/>
      <c r="X486" s="46"/>
      <c r="Y486" s="46"/>
      <c r="Z486" s="46"/>
    </row>
    <row r="487" spans="1:26" x14ac:dyDescent="0.25">
      <c r="A487" s="46"/>
      <c r="B487" s="46"/>
      <c r="C487" s="46"/>
      <c r="D487" s="46"/>
      <c r="E487" s="46"/>
      <c r="F487" s="46"/>
      <c r="G487" s="46"/>
      <c r="H487" s="46"/>
      <c r="I487" s="46"/>
      <c r="J487" s="46"/>
      <c r="K487" s="46"/>
      <c r="L487" s="46"/>
      <c r="M487" s="46"/>
      <c r="N487" s="46"/>
      <c r="O487" s="46"/>
      <c r="P487" s="46"/>
      <c r="Q487" s="46"/>
      <c r="R487" s="46"/>
      <c r="S487" s="46"/>
      <c r="T487" s="46"/>
      <c r="U487" s="46"/>
      <c r="V487" s="46"/>
      <c r="W487" s="46"/>
      <c r="X487" s="46"/>
      <c r="Y487" s="46"/>
      <c r="Z487" s="46"/>
    </row>
    <row r="488" spans="1:26" x14ac:dyDescent="0.25">
      <c r="A488" s="46"/>
      <c r="B488" s="46"/>
      <c r="C488" s="46"/>
      <c r="D488" s="46"/>
      <c r="E488" s="46"/>
      <c r="F488" s="46"/>
      <c r="G488" s="46"/>
      <c r="H488" s="46"/>
      <c r="I488" s="46"/>
      <c r="J488" s="46"/>
      <c r="K488" s="46"/>
      <c r="L488" s="46"/>
      <c r="M488" s="46"/>
      <c r="N488" s="46"/>
      <c r="O488" s="46"/>
      <c r="P488" s="46"/>
      <c r="Q488" s="46"/>
      <c r="R488" s="46"/>
      <c r="S488" s="46"/>
      <c r="T488" s="46"/>
      <c r="U488" s="46"/>
      <c r="V488" s="46"/>
      <c r="W488" s="46"/>
      <c r="X488" s="46"/>
      <c r="Y488" s="46"/>
      <c r="Z488" s="46"/>
    </row>
    <row r="489" spans="1:26" x14ac:dyDescent="0.25">
      <c r="A489" s="46"/>
      <c r="B489" s="46"/>
      <c r="C489" s="46"/>
      <c r="D489" s="46"/>
      <c r="E489" s="46"/>
      <c r="F489" s="46"/>
      <c r="G489" s="46"/>
      <c r="H489" s="46"/>
      <c r="I489" s="46"/>
      <c r="J489" s="46"/>
      <c r="K489" s="46"/>
      <c r="L489" s="46"/>
      <c r="M489" s="46"/>
      <c r="N489" s="46"/>
      <c r="O489" s="46"/>
      <c r="P489" s="46"/>
      <c r="Q489" s="46"/>
      <c r="R489" s="46"/>
      <c r="S489" s="46"/>
      <c r="T489" s="46"/>
      <c r="U489" s="46"/>
      <c r="V489" s="46"/>
      <c r="W489" s="46"/>
      <c r="X489" s="46"/>
      <c r="Y489" s="46"/>
      <c r="Z489" s="46"/>
    </row>
    <row r="490" spans="1:26" x14ac:dyDescent="0.25">
      <c r="A490" s="46"/>
      <c r="B490" s="46"/>
      <c r="C490" s="46"/>
      <c r="D490" s="46"/>
      <c r="E490" s="46"/>
      <c r="F490" s="46"/>
      <c r="G490" s="46"/>
      <c r="H490" s="46"/>
      <c r="I490" s="46"/>
      <c r="J490" s="46"/>
      <c r="K490" s="46"/>
      <c r="L490" s="46"/>
      <c r="M490" s="46"/>
      <c r="N490" s="46"/>
      <c r="O490" s="46"/>
      <c r="P490" s="46"/>
      <c r="Q490" s="46"/>
      <c r="R490" s="46"/>
      <c r="S490" s="46"/>
      <c r="T490" s="46"/>
      <c r="U490" s="46"/>
      <c r="V490" s="46"/>
      <c r="W490" s="46"/>
      <c r="X490" s="46"/>
      <c r="Y490" s="46"/>
      <c r="Z490" s="46"/>
    </row>
    <row r="491" spans="1:26" x14ac:dyDescent="0.25">
      <c r="A491" s="46"/>
      <c r="B491" s="46"/>
      <c r="C491" s="46"/>
      <c r="D491" s="46"/>
      <c r="E491" s="46"/>
      <c r="F491" s="46"/>
      <c r="G491" s="46"/>
      <c r="H491" s="46"/>
      <c r="I491" s="46"/>
      <c r="J491" s="46"/>
      <c r="K491" s="46"/>
      <c r="L491" s="46"/>
      <c r="M491" s="46"/>
      <c r="N491" s="46"/>
      <c r="O491" s="46"/>
      <c r="P491" s="46"/>
      <c r="Q491" s="46"/>
      <c r="R491" s="46"/>
      <c r="S491" s="46"/>
      <c r="T491" s="46"/>
      <c r="U491" s="46"/>
      <c r="V491" s="46"/>
      <c r="W491" s="46"/>
      <c r="X491" s="46"/>
      <c r="Y491" s="46"/>
      <c r="Z491" s="46"/>
    </row>
    <row r="492" spans="1:26" x14ac:dyDescent="0.25">
      <c r="A492" s="46"/>
      <c r="B492" s="46"/>
      <c r="C492" s="46"/>
      <c r="D492" s="46"/>
      <c r="E492" s="46"/>
      <c r="F492" s="46"/>
      <c r="G492" s="46"/>
      <c r="H492" s="46"/>
      <c r="I492" s="46"/>
      <c r="J492" s="46"/>
      <c r="K492" s="46"/>
      <c r="L492" s="46"/>
      <c r="M492" s="46"/>
      <c r="N492" s="46"/>
      <c r="O492" s="46"/>
      <c r="P492" s="46"/>
      <c r="Q492" s="46"/>
      <c r="R492" s="46"/>
      <c r="S492" s="46"/>
      <c r="T492" s="46"/>
      <c r="U492" s="46"/>
      <c r="V492" s="46"/>
      <c r="W492" s="46"/>
      <c r="X492" s="46"/>
      <c r="Y492" s="46"/>
      <c r="Z492" s="46"/>
    </row>
    <row r="493" spans="1:26" x14ac:dyDescent="0.25">
      <c r="A493" s="46"/>
      <c r="B493" s="46"/>
      <c r="C493" s="46"/>
      <c r="D493" s="46"/>
      <c r="E493" s="46"/>
      <c r="F493" s="46"/>
      <c r="G493" s="46"/>
      <c r="H493" s="46"/>
      <c r="I493" s="46"/>
      <c r="J493" s="46"/>
      <c r="K493" s="46"/>
      <c r="L493" s="46"/>
      <c r="M493" s="46"/>
      <c r="N493" s="46"/>
      <c r="O493" s="46"/>
      <c r="P493" s="46"/>
      <c r="Q493" s="46"/>
      <c r="R493" s="46"/>
      <c r="S493" s="46"/>
      <c r="T493" s="46"/>
      <c r="U493" s="46"/>
      <c r="V493" s="46"/>
      <c r="W493" s="46"/>
      <c r="X493" s="46"/>
      <c r="Y493" s="46"/>
      <c r="Z493" s="46"/>
    </row>
    <row r="494" spans="1:26" x14ac:dyDescent="0.25">
      <c r="A494" s="46"/>
      <c r="B494" s="46"/>
      <c r="C494" s="46"/>
      <c r="D494" s="46"/>
      <c r="E494" s="46"/>
      <c r="F494" s="46"/>
      <c r="G494" s="46"/>
      <c r="H494" s="46"/>
      <c r="I494" s="46"/>
      <c r="J494" s="46"/>
      <c r="K494" s="46"/>
      <c r="L494" s="46"/>
      <c r="M494" s="46"/>
      <c r="N494" s="46"/>
      <c r="O494" s="46"/>
      <c r="P494" s="46"/>
      <c r="Q494" s="46"/>
      <c r="R494" s="46"/>
      <c r="S494" s="46"/>
      <c r="T494" s="46"/>
      <c r="U494" s="46"/>
      <c r="V494" s="46"/>
      <c r="W494" s="46"/>
      <c r="X494" s="46"/>
      <c r="Y494" s="46"/>
      <c r="Z494" s="46"/>
    </row>
    <row r="495" spans="1:26" x14ac:dyDescent="0.25">
      <c r="A495" s="46"/>
      <c r="B495" s="46"/>
      <c r="C495" s="46"/>
      <c r="D495" s="46"/>
      <c r="E495" s="46"/>
      <c r="F495" s="46"/>
      <c r="G495" s="46"/>
      <c r="H495" s="46"/>
      <c r="I495" s="46"/>
      <c r="J495" s="46"/>
      <c r="K495" s="46"/>
      <c r="L495" s="46"/>
      <c r="M495" s="46"/>
      <c r="N495" s="46"/>
      <c r="O495" s="46"/>
      <c r="P495" s="46"/>
      <c r="Q495" s="46"/>
      <c r="R495" s="46"/>
      <c r="S495" s="46"/>
      <c r="T495" s="46"/>
      <c r="U495" s="46"/>
      <c r="V495" s="46"/>
      <c r="W495" s="46"/>
      <c r="X495" s="46"/>
      <c r="Y495" s="46"/>
      <c r="Z495" s="46"/>
    </row>
    <row r="496" spans="1:26" x14ac:dyDescent="0.25">
      <c r="A496" s="46"/>
      <c r="B496" s="46"/>
      <c r="C496" s="46"/>
      <c r="D496" s="46"/>
      <c r="E496" s="46"/>
      <c r="F496" s="46"/>
      <c r="G496" s="46"/>
      <c r="H496" s="46"/>
      <c r="I496" s="46"/>
      <c r="J496" s="46"/>
      <c r="K496" s="46"/>
      <c r="L496" s="46"/>
      <c r="M496" s="46"/>
      <c r="N496" s="46"/>
      <c r="O496" s="46"/>
      <c r="P496" s="46"/>
      <c r="Q496" s="46"/>
      <c r="R496" s="46"/>
      <c r="S496" s="46"/>
      <c r="T496" s="46"/>
      <c r="U496" s="46"/>
      <c r="V496" s="46"/>
      <c r="W496" s="46"/>
      <c r="X496" s="46"/>
      <c r="Y496" s="46"/>
      <c r="Z496" s="46"/>
    </row>
    <row r="497" spans="1:26" x14ac:dyDescent="0.25">
      <c r="A497" s="46"/>
      <c r="B497" s="46"/>
      <c r="C497" s="46"/>
      <c r="D497" s="46"/>
      <c r="E497" s="46"/>
      <c r="F497" s="46"/>
      <c r="G497" s="46"/>
      <c r="H497" s="46"/>
      <c r="I497" s="46"/>
      <c r="J497" s="46"/>
      <c r="K497" s="46"/>
      <c r="L497" s="46"/>
      <c r="M497" s="46"/>
      <c r="N497" s="46"/>
      <c r="O497" s="46"/>
      <c r="P497" s="46"/>
      <c r="Q497" s="46"/>
      <c r="R497" s="46"/>
      <c r="S497" s="46"/>
      <c r="T497" s="46"/>
      <c r="U497" s="46"/>
      <c r="V497" s="46"/>
      <c r="W497" s="46"/>
      <c r="X497" s="46"/>
      <c r="Y497" s="46"/>
      <c r="Z497" s="46"/>
    </row>
    <row r="498" spans="1:26" x14ac:dyDescent="0.25">
      <c r="A498" s="46"/>
      <c r="B498" s="46"/>
      <c r="C498" s="46"/>
      <c r="D498" s="46"/>
      <c r="E498" s="46"/>
      <c r="F498" s="46"/>
      <c r="G498" s="46"/>
      <c r="H498" s="46"/>
      <c r="I498" s="46"/>
      <c r="J498" s="46"/>
      <c r="K498" s="46"/>
      <c r="L498" s="46"/>
      <c r="M498" s="46"/>
      <c r="N498" s="46"/>
      <c r="O498" s="46"/>
      <c r="P498" s="46"/>
      <c r="Q498" s="46"/>
      <c r="R498" s="46"/>
      <c r="S498" s="46"/>
      <c r="T498" s="46"/>
      <c r="U498" s="46"/>
      <c r="V498" s="46"/>
      <c r="W498" s="46"/>
      <c r="X498" s="46"/>
      <c r="Y498" s="46"/>
      <c r="Z498" s="46"/>
    </row>
    <row r="499" spans="1:26" x14ac:dyDescent="0.25">
      <c r="A499" s="46"/>
      <c r="B499" s="46"/>
      <c r="C499" s="46"/>
      <c r="D499" s="46"/>
      <c r="E499" s="46"/>
      <c r="F499" s="46"/>
      <c r="G499" s="46"/>
      <c r="H499" s="46"/>
      <c r="I499" s="46"/>
      <c r="J499" s="46"/>
      <c r="K499" s="46"/>
      <c r="L499" s="46"/>
      <c r="M499" s="46"/>
      <c r="N499" s="46"/>
      <c r="O499" s="46"/>
      <c r="P499" s="46"/>
      <c r="Q499" s="46"/>
      <c r="R499" s="46"/>
      <c r="S499" s="46"/>
      <c r="T499" s="46"/>
      <c r="U499" s="46"/>
      <c r="V499" s="46"/>
      <c r="W499" s="46"/>
      <c r="X499" s="46"/>
      <c r="Y499" s="46"/>
      <c r="Z499" s="46"/>
    </row>
    <row r="500" spans="1:26" x14ac:dyDescent="0.25">
      <c r="A500" s="46"/>
      <c r="B500" s="46"/>
      <c r="C500" s="46"/>
      <c r="D500" s="46"/>
      <c r="E500" s="46"/>
      <c r="F500" s="46"/>
      <c r="G500" s="46"/>
      <c r="H500" s="46"/>
      <c r="I500" s="46"/>
      <c r="J500" s="46"/>
      <c r="K500" s="46"/>
      <c r="L500" s="46"/>
      <c r="M500" s="46"/>
      <c r="N500" s="46"/>
      <c r="O500" s="46"/>
      <c r="P500" s="46"/>
      <c r="Q500" s="46"/>
      <c r="R500" s="46"/>
      <c r="S500" s="46"/>
      <c r="T500" s="46"/>
      <c r="U500" s="46"/>
      <c r="V500" s="46"/>
      <c r="W500" s="46"/>
      <c r="X500" s="46"/>
      <c r="Y500" s="46"/>
      <c r="Z500" s="46"/>
    </row>
  </sheetData>
  <sheetProtection sheet="1" objects="1" scenarios="1"/>
  <mergeCells count="7">
    <mergeCell ref="B16:E16"/>
    <mergeCell ref="B17:E17"/>
    <mergeCell ref="B2:E2"/>
    <mergeCell ref="B4:E4"/>
    <mergeCell ref="B5:E5"/>
    <mergeCell ref="B10:E10"/>
    <mergeCell ref="B11:E11"/>
  </mergeCells>
  <dataValidations count="1">
    <dataValidation type="list" allowBlank="1" showInputMessage="1" showErrorMessage="1" sqref="C28" xr:uid="{7C0C0E4D-4BA5-4101-8DC3-9A7FA6CC241A}">
      <formula1>"LOCKED,UNLOCKED"</formula1>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F4EA8-5E68-4A07-B65A-77140BC57716}">
  <dimension ref="B2:F30"/>
  <sheetViews>
    <sheetView topLeftCell="A8" workbookViewId="0">
      <selection activeCell="K15" sqref="K15"/>
    </sheetView>
  </sheetViews>
  <sheetFormatPr defaultRowHeight="15" x14ac:dyDescent="0.25"/>
  <cols>
    <col min="1" max="1" width="3.85546875" customWidth="1"/>
    <col min="2" max="2" width="6.7109375" customWidth="1"/>
    <col min="3" max="3" width="76.140625" customWidth="1"/>
    <col min="4" max="4" width="34.28515625" customWidth="1"/>
    <col min="5" max="5" width="13.28515625" customWidth="1"/>
    <col min="6" max="6" width="46.5703125" style="1" customWidth="1"/>
  </cols>
  <sheetData>
    <row r="2" spans="2:6" ht="18" x14ac:dyDescent="0.25">
      <c r="B2" s="25" t="s">
        <v>851</v>
      </c>
      <c r="C2" s="2"/>
      <c r="D2" s="2"/>
    </row>
    <row r="4" spans="2:6" ht="21.95" customHeight="1" x14ac:dyDescent="0.25">
      <c r="B4" s="24" t="s">
        <v>852</v>
      </c>
      <c r="C4" s="23" t="s">
        <v>853</v>
      </c>
      <c r="D4" s="24" t="s">
        <v>402</v>
      </c>
      <c r="E4" s="24" t="s">
        <v>857</v>
      </c>
      <c r="F4" s="34" t="s">
        <v>854</v>
      </c>
    </row>
    <row r="5" spans="2:6" ht="80.099999999999994" customHeight="1" x14ac:dyDescent="0.25">
      <c r="B5" s="26">
        <v>1</v>
      </c>
      <c r="C5" s="27"/>
      <c r="D5" s="28"/>
      <c r="E5" s="32"/>
      <c r="F5" s="33"/>
    </row>
    <row r="6" spans="2:6" ht="80.099999999999994" customHeight="1" x14ac:dyDescent="0.25">
      <c r="B6" s="26">
        <v>2</v>
      </c>
      <c r="C6" s="27"/>
      <c r="D6" s="28"/>
      <c r="E6" s="32"/>
      <c r="F6" s="33"/>
    </row>
    <row r="7" spans="2:6" ht="80.099999999999994" customHeight="1" x14ac:dyDescent="0.25">
      <c r="B7" s="26">
        <v>3</v>
      </c>
      <c r="C7" s="27"/>
      <c r="D7" s="28"/>
      <c r="E7" s="32"/>
      <c r="F7" s="33"/>
    </row>
    <row r="8" spans="2:6" ht="80.099999999999994" customHeight="1" x14ac:dyDescent="0.25">
      <c r="B8" s="26">
        <v>4</v>
      </c>
      <c r="C8" s="27"/>
      <c r="D8" s="28"/>
      <c r="E8" s="32"/>
      <c r="F8" s="33"/>
    </row>
    <row r="9" spans="2:6" ht="45" customHeight="1" x14ac:dyDescent="0.25">
      <c r="B9" s="26">
        <v>5</v>
      </c>
      <c r="C9" s="27"/>
      <c r="D9" s="28"/>
      <c r="E9" s="32"/>
      <c r="F9" s="33"/>
    </row>
    <row r="10" spans="2:6" ht="45" customHeight="1" x14ac:dyDescent="0.25">
      <c r="B10" s="26">
        <v>6</v>
      </c>
      <c r="C10" s="27"/>
      <c r="D10" s="28"/>
      <c r="E10" s="32"/>
      <c r="F10" s="33"/>
    </row>
    <row r="11" spans="2:6" ht="45" customHeight="1" x14ac:dyDescent="0.25">
      <c r="B11" s="26">
        <v>7</v>
      </c>
      <c r="C11" s="27"/>
      <c r="D11" s="28"/>
      <c r="E11" s="32"/>
      <c r="F11" s="33"/>
    </row>
    <row r="12" spans="2:6" ht="45" customHeight="1" x14ac:dyDescent="0.25">
      <c r="B12" s="26">
        <v>8</v>
      </c>
      <c r="C12" s="27"/>
      <c r="D12" s="28"/>
      <c r="E12" s="32"/>
      <c r="F12" s="33"/>
    </row>
    <row r="13" spans="2:6" ht="45" customHeight="1" x14ac:dyDescent="0.25">
      <c r="B13" s="26">
        <v>9</v>
      </c>
      <c r="C13" s="27"/>
      <c r="D13" s="28"/>
      <c r="E13" s="32"/>
      <c r="F13" s="33"/>
    </row>
    <row r="14" spans="2:6" ht="30" customHeight="1" x14ac:dyDescent="0.25">
      <c r="B14" s="26">
        <v>10</v>
      </c>
      <c r="C14" s="27"/>
      <c r="D14" s="28"/>
      <c r="E14" s="32"/>
      <c r="F14" s="33"/>
    </row>
    <row r="15" spans="2:6" ht="30" customHeight="1" x14ac:dyDescent="0.25">
      <c r="B15" s="26">
        <v>11</v>
      </c>
      <c r="C15" s="27"/>
      <c r="D15" s="28"/>
      <c r="E15" s="32"/>
      <c r="F15" s="33"/>
    </row>
    <row r="16" spans="2:6" ht="30" customHeight="1" x14ac:dyDescent="0.25">
      <c r="B16" s="26">
        <v>12</v>
      </c>
      <c r="C16" s="27"/>
      <c r="D16" s="36"/>
      <c r="E16" s="32"/>
      <c r="F16" s="33"/>
    </row>
    <row r="17" spans="2:6" ht="45" customHeight="1" x14ac:dyDescent="0.25">
      <c r="B17" s="29">
        <v>13</v>
      </c>
      <c r="C17" s="27"/>
      <c r="D17" s="28"/>
      <c r="E17" s="32"/>
      <c r="F17" s="35"/>
    </row>
    <row r="18" spans="2:6" ht="45" customHeight="1" x14ac:dyDescent="0.25">
      <c r="B18" s="29">
        <v>14</v>
      </c>
      <c r="C18" s="27"/>
      <c r="D18" s="28"/>
      <c r="E18" s="32"/>
      <c r="F18" s="35"/>
    </row>
    <row r="19" spans="2:6" ht="80.099999999999994" customHeight="1" x14ac:dyDescent="0.25">
      <c r="B19" s="29">
        <v>15</v>
      </c>
      <c r="C19" s="27"/>
      <c r="D19" s="28"/>
      <c r="E19" s="32"/>
      <c r="F19" s="35"/>
    </row>
    <row r="20" spans="2:6" ht="45" customHeight="1" x14ac:dyDescent="0.25">
      <c r="B20" s="29">
        <v>16</v>
      </c>
      <c r="C20" s="27"/>
      <c r="D20" s="28"/>
      <c r="E20" s="32"/>
      <c r="F20" s="35"/>
    </row>
    <row r="22" spans="2:6" ht="18" x14ac:dyDescent="0.25">
      <c r="B22" s="40" t="s">
        <v>863</v>
      </c>
      <c r="C22" s="40"/>
      <c r="D22" s="40"/>
    </row>
    <row r="24" spans="2:6" ht="21.95" customHeight="1" x14ac:dyDescent="0.25">
      <c r="B24" s="24" t="s">
        <v>852</v>
      </c>
      <c r="C24" s="23" t="s">
        <v>864</v>
      </c>
      <c r="D24" s="23" t="s">
        <v>865</v>
      </c>
    </row>
    <row r="25" spans="2:6" ht="60" customHeight="1" x14ac:dyDescent="0.25">
      <c r="B25" s="26">
        <v>1</v>
      </c>
      <c r="C25" s="30"/>
      <c r="D25" s="31"/>
    </row>
    <row r="26" spans="2:6" ht="45" customHeight="1" x14ac:dyDescent="0.25">
      <c r="B26" s="26">
        <v>2</v>
      </c>
      <c r="C26" s="30"/>
      <c r="D26" s="31"/>
    </row>
    <row r="27" spans="2:6" x14ac:dyDescent="0.25">
      <c r="B27" s="26">
        <v>3</v>
      </c>
      <c r="C27" s="30"/>
      <c r="D27" s="31"/>
    </row>
    <row r="28" spans="2:6" x14ac:dyDescent="0.25">
      <c r="B28" s="37">
        <v>4</v>
      </c>
      <c r="C28" s="38"/>
      <c r="D28" s="39"/>
    </row>
    <row r="29" spans="2:6" x14ac:dyDescent="0.25">
      <c r="B29" s="37">
        <v>5</v>
      </c>
      <c r="C29" s="38"/>
      <c r="D29" s="39"/>
    </row>
    <row r="30" spans="2:6" x14ac:dyDescent="0.25">
      <c r="B30" s="37">
        <v>6</v>
      </c>
      <c r="C30" s="38"/>
      <c r="D30" s="39"/>
    </row>
  </sheetData>
  <mergeCells count="1">
    <mergeCell ref="B22:D22"/>
  </mergeCells>
  <pageMargins left="0.7" right="0.7" top="0.75" bottom="0.75" header="0.3" footer="0.3"/>
  <pageSetup orientation="landscape" horizontalDpi="0" verticalDpi="0"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1</vt:i4>
      </vt:variant>
    </vt:vector>
  </HeadingPairs>
  <TitlesOfParts>
    <vt:vector size="15" baseType="lpstr">
      <vt:lpstr>How to Use</vt:lpstr>
      <vt:lpstr>Hardware Inputs</vt:lpstr>
      <vt:lpstr>Workload Planner</vt:lpstr>
      <vt:lpstr>AVD Planning</vt:lpstr>
      <vt:lpstr>SOFS Planner</vt:lpstr>
      <vt:lpstr>Volume Detail</vt:lpstr>
      <vt:lpstr>Capacity Report</vt:lpstr>
      <vt:lpstr>Compute Report</vt:lpstr>
      <vt:lpstr>Final Report</vt:lpstr>
      <vt:lpstr>Drive Layout Comparison</vt:lpstr>
      <vt:lpstr>Thin Provisioning</vt:lpstr>
      <vt:lpstr>References</vt:lpstr>
      <vt:lpstr>Advanced Settings</vt:lpstr>
      <vt:lpstr>To Do</vt:lpstr>
      <vt:lpstr>'Final Report'!Print_Area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Kristopher Turner</cp:lastModifiedBy>
  <cp:revision>0</cp:revision>
  <dcterms:created xsi:type="dcterms:W3CDTF">2026-03-10T12:32:26Z</dcterms:created>
  <dcterms:modified xsi:type="dcterms:W3CDTF">2026-04-01T13:14:24Z</dcterms:modified>
  <dc:language>en-US</dc:language>
</cp:coreProperties>
</file>