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\azurelocal-toolkit\tools\planning\"/>
    </mc:Choice>
  </mc:AlternateContent>
  <xr:revisionPtr revIDLastSave="0" documentId="13_ncr:1_{9E440F3E-38DA-4829-B3F9-0866637A150C}" xr6:coauthVersionLast="47" xr6:coauthVersionMax="47" xr10:uidLastSave="{00000000-0000-0000-0000-000000000000}"/>
  <bookViews>
    <workbookView xWindow="3555" yWindow="840" windowWidth="45765" windowHeight="19950" tabRatio="590" xr2:uid="{00000000-000D-0000-FFFF-FFFF00000000}"/>
  </bookViews>
  <sheets>
    <sheet name="How to Use" sheetId="1" r:id="rId1"/>
    <sheet name="Hardware Inputs" sheetId="2" r:id="rId2"/>
    <sheet name="Drive Layout Comparison" sheetId="10" r:id="rId3"/>
    <sheet name="Workload Planner" sheetId="3" r:id="rId4"/>
    <sheet name="Advanced Settings" sheetId="4" r:id="rId5"/>
    <sheet name="Capacity Report" sheetId="5" r:id="rId6"/>
    <sheet name="Thin Provisioning" sheetId="6" r:id="rId7"/>
    <sheet name="Volume Detail" sheetId="7" r:id="rId8"/>
    <sheet name="Final Report" sheetId="11" r:id="rId9"/>
    <sheet name="References" sheetId="8" r:id="rId10"/>
  </sheets>
  <definedNames>
    <definedName name="_xlnm.Print_Area" localSheetId="8">'Final Report'!$B$1:$H$113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3" i="11" l="1"/>
  <c r="B82" i="11"/>
  <c r="B81" i="11"/>
  <c r="B80" i="11"/>
  <c r="B79" i="11"/>
  <c r="E57" i="11"/>
  <c r="E52" i="11"/>
  <c r="C58" i="11"/>
  <c r="C59" i="11"/>
  <c r="C60" i="11"/>
  <c r="C61" i="11"/>
  <c r="C53" i="11"/>
  <c r="C54" i="11"/>
  <c r="C55" i="11"/>
  <c r="C56" i="11"/>
  <c r="C111" i="11"/>
  <c r="C110" i="11"/>
  <c r="C109" i="11"/>
  <c r="C108" i="11"/>
  <c r="C104" i="11"/>
  <c r="C96" i="11"/>
  <c r="D43" i="11"/>
  <c r="D44" i="11"/>
  <c r="D45" i="11"/>
  <c r="D46" i="11"/>
  <c r="D47" i="11"/>
  <c r="D48" i="11"/>
  <c r="D49" i="11"/>
  <c r="C6" i="11"/>
  <c r="C7" i="11"/>
  <c r="C8" i="11"/>
  <c r="C9" i="11"/>
  <c r="B3" i="11"/>
  <c r="C68" i="3"/>
  <c r="C69" i="3" s="1"/>
  <c r="B20" i="7"/>
  <c r="C12" i="7"/>
  <c r="H12" i="7" s="1"/>
  <c r="C11" i="7"/>
  <c r="C71" i="11" s="1"/>
  <c r="C10" i="7"/>
  <c r="C70" i="11" s="1"/>
  <c r="C9" i="7"/>
  <c r="G9" i="7" s="1"/>
  <c r="G69" i="11" s="1"/>
  <c r="C8" i="7"/>
  <c r="G8" i="7" s="1"/>
  <c r="G68" i="11" s="1"/>
  <c r="C7" i="7"/>
  <c r="H7" i="7" s="1"/>
  <c r="C6" i="7"/>
  <c r="H6" i="7" s="1"/>
  <c r="D67" i="3"/>
  <c r="F49" i="11" s="1"/>
  <c r="C61" i="3"/>
  <c r="C62" i="3" s="1"/>
  <c r="D60" i="3"/>
  <c r="F48" i="11" s="1"/>
  <c r="C54" i="3"/>
  <c r="D10" i="7" s="1"/>
  <c r="D70" i="11" s="1"/>
  <c r="D53" i="3"/>
  <c r="F47" i="11" s="1"/>
  <c r="C45" i="3"/>
  <c r="F45" i="3" s="1"/>
  <c r="D44" i="3"/>
  <c r="F46" i="11" s="1"/>
  <c r="C37" i="3"/>
  <c r="D8" i="7" s="1"/>
  <c r="D68" i="11" s="1"/>
  <c r="D36" i="3"/>
  <c r="F45" i="11" s="1"/>
  <c r="C22" i="3"/>
  <c r="D21" i="3"/>
  <c r="F44" i="11" s="1"/>
  <c r="C14" i="3"/>
  <c r="C15" i="3" s="1"/>
  <c r="D13" i="3"/>
  <c r="F43" i="11" s="1"/>
  <c r="C10" i="10"/>
  <c r="C8" i="10"/>
  <c r="C91" i="11" s="1"/>
  <c r="C7" i="10"/>
  <c r="C90" i="11" s="1"/>
  <c r="C6" i="10"/>
  <c r="D21" i="10" s="1"/>
  <c r="C8" i="5"/>
  <c r="C6" i="5"/>
  <c r="C5" i="5"/>
  <c r="C23" i="4"/>
  <c r="C22" i="4"/>
  <c r="C21" i="4"/>
  <c r="C20" i="4"/>
  <c r="C19" i="4"/>
  <c r="C18" i="4"/>
  <c r="C14" i="4"/>
  <c r="C22" i="2" s="1"/>
  <c r="C12" i="5" s="1"/>
  <c r="C7" i="4"/>
  <c r="B29" i="2"/>
  <c r="C19" i="2"/>
  <c r="C21" i="2" s="1"/>
  <c r="C11" i="5" s="1"/>
  <c r="C17" i="2"/>
  <c r="C16" i="2"/>
  <c r="C18" i="2" s="1"/>
  <c r="C9" i="5" s="1"/>
  <c r="C49" i="11" l="1"/>
  <c r="G49" i="11" s="1"/>
  <c r="C14" i="10"/>
  <c r="E14" i="10" s="1"/>
  <c r="C66" i="11"/>
  <c r="D12" i="7"/>
  <c r="I12" i="7" s="1"/>
  <c r="H72" i="11" s="1"/>
  <c r="C38" i="3"/>
  <c r="F8" i="7" s="1"/>
  <c r="F68" i="11" s="1"/>
  <c r="F14" i="10"/>
  <c r="C92" i="11" s="1"/>
  <c r="C67" i="11"/>
  <c r="D72" i="11"/>
  <c r="C46" i="11"/>
  <c r="E46" i="11" s="1"/>
  <c r="D15" i="10"/>
  <c r="C46" i="3"/>
  <c r="D18" i="10"/>
  <c r="D20" i="10"/>
  <c r="C14" i="11"/>
  <c r="B14" i="10"/>
  <c r="D14" i="10" s="1"/>
  <c r="C84" i="3"/>
  <c r="H10" i="7"/>
  <c r="C13" i="11"/>
  <c r="D16" i="10"/>
  <c r="D17" i="10"/>
  <c r="D19" i="10"/>
  <c r="G11" i="7"/>
  <c r="G71" i="11" s="1"/>
  <c r="C10" i="11"/>
  <c r="C11" i="11"/>
  <c r="C9" i="10"/>
  <c r="G10" i="7"/>
  <c r="G70" i="11" s="1"/>
  <c r="C43" i="11"/>
  <c r="H11" i="7"/>
  <c r="G12" i="7"/>
  <c r="G72" i="11" s="1"/>
  <c r="C48" i="11"/>
  <c r="C72" i="11"/>
  <c r="D9" i="7"/>
  <c r="E9" i="7" s="1"/>
  <c r="E69" i="11" s="1"/>
  <c r="C47" i="11"/>
  <c r="E49" i="11"/>
  <c r="H9" i="7"/>
  <c r="C45" i="11"/>
  <c r="C69" i="11"/>
  <c r="C112" i="11"/>
  <c r="C44" i="11"/>
  <c r="C68" i="11"/>
  <c r="C113" i="11"/>
  <c r="C81" i="3"/>
  <c r="F12" i="7"/>
  <c r="F72" i="11" s="1"/>
  <c r="C75" i="3"/>
  <c r="F6" i="7"/>
  <c r="F66" i="11" s="1"/>
  <c r="F11" i="7"/>
  <c r="F71" i="11" s="1"/>
  <c r="C80" i="3"/>
  <c r="E8" i="7"/>
  <c r="E68" i="11" s="1"/>
  <c r="I8" i="7"/>
  <c r="H68" i="11" s="1"/>
  <c r="E10" i="7"/>
  <c r="E70" i="11" s="1"/>
  <c r="I10" i="7"/>
  <c r="H70" i="11" s="1"/>
  <c r="F22" i="3"/>
  <c r="C77" i="3"/>
  <c r="D7" i="7"/>
  <c r="D67" i="11" s="1"/>
  <c r="E12" i="7"/>
  <c r="E72" i="11" s="1"/>
  <c r="C23" i="3"/>
  <c r="F54" i="3"/>
  <c r="C55" i="3"/>
  <c r="H8" i="7"/>
  <c r="G7" i="7"/>
  <c r="G67" i="11" s="1"/>
  <c r="D11" i="7"/>
  <c r="D71" i="11" s="1"/>
  <c r="F37" i="3"/>
  <c r="D6" i="7"/>
  <c r="D66" i="11" s="1"/>
  <c r="C85" i="3"/>
  <c r="F14" i="3"/>
  <c r="G6" i="7"/>
  <c r="G66" i="11" s="1"/>
  <c r="C20" i="2"/>
  <c r="C12" i="11" s="1"/>
  <c r="C7" i="5"/>
  <c r="G46" i="11" l="1"/>
  <c r="G14" i="10"/>
  <c r="C93" i="11" s="1"/>
  <c r="C78" i="3"/>
  <c r="F9" i="7"/>
  <c r="F69" i="11" s="1"/>
  <c r="E47" i="11"/>
  <c r="G47" i="11"/>
  <c r="G43" i="11"/>
  <c r="E43" i="11"/>
  <c r="G44" i="11"/>
  <c r="E44" i="11"/>
  <c r="I9" i="7"/>
  <c r="H69" i="11" s="1"/>
  <c r="D69" i="11"/>
  <c r="F85" i="3"/>
  <c r="C105" i="11"/>
  <c r="C21" i="11"/>
  <c r="E45" i="11"/>
  <c r="G45" i="11"/>
  <c r="C20" i="10"/>
  <c r="E20" i="10" s="1"/>
  <c r="C18" i="10"/>
  <c r="E18" i="10" s="1"/>
  <c r="C15" i="10"/>
  <c r="E15" i="10" s="1"/>
  <c r="C21" i="10"/>
  <c r="C17" i="10"/>
  <c r="E17" i="10" s="1"/>
  <c r="F17" i="10" s="1"/>
  <c r="G17" i="10" s="1"/>
  <c r="H17" i="10" s="1"/>
  <c r="C19" i="10"/>
  <c r="E19" i="10" s="1"/>
  <c r="F19" i="10" s="1"/>
  <c r="G19" i="10" s="1"/>
  <c r="H19" i="10" s="1"/>
  <c r="C16" i="10"/>
  <c r="E16" i="10" s="1"/>
  <c r="F16" i="10" s="1"/>
  <c r="G48" i="11"/>
  <c r="E48" i="11"/>
  <c r="C16" i="5"/>
  <c r="E50" i="11"/>
  <c r="C20" i="11"/>
  <c r="I6" i="7"/>
  <c r="H66" i="11" s="1"/>
  <c r="D14" i="7"/>
  <c r="D73" i="11" s="1"/>
  <c r="E6" i="7"/>
  <c r="C76" i="3"/>
  <c r="C83" i="3" s="1"/>
  <c r="C27" i="11" s="1"/>
  <c r="F7" i="7"/>
  <c r="F67" i="11" s="1"/>
  <c r="C24" i="3"/>
  <c r="I11" i="7"/>
  <c r="H71" i="11" s="1"/>
  <c r="E11" i="7"/>
  <c r="E71" i="11" s="1"/>
  <c r="F10" i="7"/>
  <c r="C79" i="3"/>
  <c r="I7" i="7"/>
  <c r="H67" i="11" s="1"/>
  <c r="E7" i="7"/>
  <c r="C10" i="5"/>
  <c r="C24" i="2"/>
  <c r="E67" i="11" l="1"/>
  <c r="B78" i="11"/>
  <c r="E66" i="11"/>
  <c r="B77" i="11"/>
  <c r="C19" i="11"/>
  <c r="G50" i="11"/>
  <c r="E21" i="10"/>
  <c r="C97" i="11"/>
  <c r="G16" i="10"/>
  <c r="H16" i="10" s="1"/>
  <c r="F18" i="10"/>
  <c r="G18" i="10"/>
  <c r="H18" i="10" s="1"/>
  <c r="F20" i="10"/>
  <c r="G20" i="10" s="1"/>
  <c r="H20" i="10" s="1"/>
  <c r="E15" i="11"/>
  <c r="C5" i="3"/>
  <c r="C73" i="3"/>
  <c r="C18" i="11" s="1"/>
  <c r="C15" i="11"/>
  <c r="E5" i="3"/>
  <c r="F15" i="10"/>
  <c r="G15" i="10"/>
  <c r="H15" i="10" s="1"/>
  <c r="F14" i="7"/>
  <c r="F73" i="11" s="1"/>
  <c r="F70" i="11"/>
  <c r="C15" i="5"/>
  <c r="E14" i="7"/>
  <c r="E73" i="11" s="1"/>
  <c r="I14" i="7"/>
  <c r="H73" i="11" s="1"/>
  <c r="C13" i="5"/>
  <c r="C26" i="2"/>
  <c r="C14" i="5" s="1"/>
  <c r="C87" i="3" l="1"/>
  <c r="C17" i="5" s="1"/>
  <c r="C88" i="3"/>
  <c r="F21" i="10"/>
  <c r="C98" i="11" s="1"/>
  <c r="G21" i="10"/>
  <c r="F87" i="3" l="1"/>
  <c r="D27" i="11"/>
  <c r="B17" i="7"/>
  <c r="C99" i="11"/>
  <c r="H21" i="10"/>
  <c r="C100" i="11" s="1"/>
  <c r="C18" i="5"/>
  <c r="C106" i="11"/>
  <c r="C107" i="11"/>
  <c r="C24" i="11"/>
  <c r="C25" i="11"/>
  <c r="C23" i="11"/>
</calcChain>
</file>

<file path=xl/sharedStrings.xml><?xml version="1.0" encoding="utf-8"?>
<sst xmlns="http://schemas.openxmlformats.org/spreadsheetml/2006/main" count="662" uniqueCount="495">
  <si>
    <t>S2D CAPACITY CALCULATOR — HOW TO USE</t>
  </si>
  <si>
    <t>Azure Local / Storage Spaces Direct — Capacity Planning Tool</t>
  </si>
  <si>
    <t>This workbook helps you plan storage for an Azure Local cluster using Storage Spaces Direct (S2D). Enter your hardware specs and planned workloads — the calculator tells you how much usable storage you get and whether everything fits. You do NOT need to be a storage expert.</t>
  </si>
  <si>
    <t>QUICK START — 3 STEPS</t>
  </si>
  <si>
    <t>STEP 1</t>
  </si>
  <si>
    <t>Go to 'Hardware Inputs'. Use the DROPDOWN MENUS to enter: node count, drive type, drives per node, and drive size. The calculator IMMEDIATELY shows your available storage in a big green number.</t>
  </si>
  <si>
    <t>STEP 2</t>
  </si>
  <si>
    <t>STEP 3</t>
  </si>
  <si>
    <t>Review 'Capacity Report' and 'Volume Detail'. Print or share these with your team or customer. The report explains all the numbers and includes key concepts if anyone asks questions.</t>
  </si>
  <si>
    <t>COLOR GUIDE</t>
  </si>
  <si>
    <t>Blue on Yellow</t>
  </si>
  <si>
    <t>YOUR INPUT — only cells you edit. All have dropdowns or accept numbers.</t>
  </si>
  <si>
    <t>Green</t>
  </si>
  <si>
    <t>GOOD NEWS — available capacity, passing checks. Bigger green number = better.</t>
  </si>
  <si>
    <t>Blue on Light Blue</t>
  </si>
  <si>
    <t>CALCULATED — auto-calculated values. Do not edit.</t>
  </si>
  <si>
    <t>Red / Pink</t>
  </si>
  <si>
    <t>WARNING — footprint numbers, overcommit alerts, capacity exceeded.</t>
  </si>
  <si>
    <t>Orange</t>
  </si>
  <si>
    <t>CAUTION — reserve capacity, infrastructure overhead.</t>
  </si>
  <si>
    <t>Gray</t>
  </si>
  <si>
    <t>LABELS — descriptions explaining what each row means.</t>
  </si>
  <si>
    <t>TABS IN THIS WORKBOOK</t>
  </si>
  <si>
    <t>1. Hardware Inputs</t>
  </si>
  <si>
    <t>WHERE YOU START. Enter cluster hardware with dropdowns. See your available capacity instantly. Shows TB vs TiB conversion for Windows Admin Center. Includes N+1 compute reminder.</t>
  </si>
  <si>
    <t>NORMALLY DON'T TOUCH. Capacity efficiency factor (92%) with explanation. Infrastructure volume size. TB-to-TiB conversion reference table.</t>
  </si>
  <si>
    <t>WHAT YOU SHARE. Executive summary, capacity term glossary, reserve explanation, drive sizing advisory, N+1 compute reminder. Print this for project documentation.</t>
  </si>
  <si>
    <t>READ IF CONSIDERING THIN. Risks, when acceptable, monitoring commands, best practices checklist.</t>
  </si>
  <si>
    <t>PER-VOLUME TABLE. Name, resiliency, efficiency, logical size, footprint, usable capacity. PASS/FAIL check.</t>
  </si>
  <si>
    <t>DOCUMENTATION LINKS. 10 Microsoft Learn pages covering all S2D topics.</t>
  </si>
  <si>
    <t>COMMON QUESTIONS</t>
  </si>
  <si>
    <t>Why does Windows show different numbers?</t>
  </si>
  <si>
    <t>Calculator uses TB (decimal). Windows uses TiB (binary). 1 TB = 0.909 TiB. Both are correct. Row 26 on Hardware Inputs shows TiB equivalent.</t>
  </si>
  <si>
    <t>Why is so much capacity 'lost'?</t>
  </si>
  <si>
    <t>Three-way mirror = 3 copies = 33% efficiency. This is WHY data survives 2 failures. Two-way = 50%. Dual Parity = 50-80% at 4+ nodes.</t>
  </si>
  <si>
    <t>Why can't I use all my pool?</t>
  </si>
  <si>
    <t>Three deductions: Drive overhead (~8%), Reserve (~1 drive/node for auto-repair), Infrastructure volume (~250 GB for Azure Local system).</t>
  </si>
  <si>
    <t>What if workloads don't fit?</t>
  </si>
  <si>
    <t>Should I use thin provisioning?</t>
  </si>
  <si>
    <t>Production: NO, use Fixed. Thin risks pool exhaustion = VMs crash. OK for dev/test and FSLogix with monitoring. See Thin Provisioning tab.</t>
  </si>
  <si>
    <t>NVMe+SSD vs All-NVMe?</t>
  </si>
  <si>
    <t>NVMe+SSD: NVMe becomes CACHE (not capacity). Only SSD counts. All-NVMe: all drives are capacity. Most common for new Azure Local deployments.</t>
  </si>
  <si>
    <t>Can I add drives/nodes later?</t>
  </si>
  <si>
    <t>Yes. New drives auto-join pool. Adding 3rd node unlocks three-way mirror. But sizing correctly upfront is simpler than expanding later.</t>
  </si>
  <si>
    <t>What does N+1 compute mean?</t>
  </si>
  <si>
    <t>Size VMs to fit on N-1 nodes. If 1 node goes down, all VMs must failover to remaining nodes. This is CPU/RAM, separate from storage.</t>
  </si>
  <si>
    <t>TIPS</t>
  </si>
  <si>
    <t>1.</t>
  </si>
  <si>
    <t>Start with Hardware Inputs before planning workloads. Know what you have before planning what to put on it.</t>
  </si>
  <si>
    <t>2.</t>
  </si>
  <si>
    <t>Use dropdown menus — don't type resiliency types manually. Typos break formulas.</t>
  </si>
  <si>
    <t>3.</t>
  </si>
  <si>
    <t>Include ALL disks when estimating VM sizes (OS + data disks). Typical Windows Server = 80 GB OS + 100 GB data = 180 GB.</t>
  </si>
  <si>
    <t>4.</t>
  </si>
  <si>
    <t>For FSLogix, start at 5 GB/user if no data. Measure after 30 days and adjust.</t>
  </si>
  <si>
    <t>5.</t>
  </si>
  <si>
    <t>Keep pool utilization below 70%. Above 70% = limited rebuild headroom. Above 90% = danger zone.</t>
  </si>
  <si>
    <t>6.</t>
  </si>
  <si>
    <t>Consider Dual Parity for backup/archive on 4+ node clusters: 50-80% efficiency vs 33% for three-way mirror.</t>
  </si>
  <si>
    <t>7.</t>
  </si>
  <si>
    <t>Print the Capacity Report tab for project documentation.</t>
  </si>
  <si>
    <t>8.</t>
  </si>
  <si>
    <t>This calculator uses TB. Windows uses TiB. Numbers WILL look different. Both are correct.</t>
  </si>
  <si>
    <t>S2D CAPACITY CALCULATOR — Azure Local</t>
  </si>
  <si>
    <t>Cluster Hardware Configuration</t>
  </si>
  <si>
    <t>INSTRUCTIONS: Enter values in BLUE cells (dropdowns provided). Everything else auto-calculates.</t>
  </si>
  <si>
    <t>STEP 1: ENTER YOUR CLUSTER HARDWARE</t>
  </si>
  <si>
    <t>Number of Cluster Nodes (Servers)</t>
  </si>
  <si>
    <t>Select 1-16</t>
  </si>
  <si>
    <t>Physical servers in the Azure Local cluster.</t>
  </si>
  <si>
    <t>Drive Media Configuration</t>
  </si>
  <si>
    <t>All-NVMe (No Cache)</t>
  </si>
  <si>
    <t>Select type</t>
  </si>
  <si>
    <t>All-NVMe: all drives are capacity. NVMe+SSD: NVMe is CACHE only.</t>
  </si>
  <si>
    <t>Capacity Drives per Node</t>
  </si>
  <si>
    <t>Minimum: 2</t>
  </si>
  <si>
    <t>Drives per node used for CAPACITY.</t>
  </si>
  <si>
    <t>Size of Each Capacity Drive (TB)</t>
  </si>
  <si>
    <t>e.g. 1.6, 3.2, 7.68</t>
  </si>
  <si>
    <t>Vendor-advertised drive size in TB.</t>
  </si>
  <si>
    <t>Cache Drives per Node (NVMe+SSD only)</t>
  </si>
  <si>
    <t>Only if NVMe+SSD</t>
  </si>
  <si>
    <t>NVMe cache drives per node. These do NOT add capacity.</t>
  </si>
  <si>
    <t>Default Volume Provisioning</t>
  </si>
  <si>
    <t>Fixed (Thick)</t>
  </si>
  <si>
    <t>RECOMMENDED: Fixed. See Thin Provisioning tab for risks.</t>
  </si>
  <si>
    <t>STEP 2: YOUR AVAILABLE STORAGE (Auto-Calculated)</t>
  </si>
  <si>
    <t>Total Capacity Drives</t>
  </si>
  <si>
    <t>drives</t>
  </si>
  <si>
    <t>Nodes x Capacity Drives (excludes cache)</t>
  </si>
  <si>
    <t>Cache Drives (if applicable)</t>
  </si>
  <si>
    <t>Cache drives do NOT count toward capacity.</t>
  </si>
  <si>
    <t>Total Raw Capacity (Advertised)</t>
  </si>
  <si>
    <t>TB</t>
  </si>
  <si>
    <t>Capacity Drives x Drive Size.</t>
  </si>
  <si>
    <t>Usable Capacity per Drive</t>
  </si>
  <si>
    <t>After NVMe overhead (~8%). See Advanced Settings tab.</t>
  </si>
  <si>
    <t>Total Usable Pool (Before Reserve)</t>
  </si>
  <si>
    <t>All capacity drives pooled after overhead.</t>
  </si>
  <si>
    <t>Reserve (drive failure repair)</t>
  </si>
  <si>
    <t>1 drive per node (max 4) for auto-repair.</t>
  </si>
  <si>
    <t>Infrastructure Volume (Azure Local)</t>
  </si>
  <si>
    <t>TB footprint</t>
  </si>
  <si>
    <t>System volume created during deployment (~250 GB).</t>
  </si>
  <si>
    <t>YOUR AVAILABLE CAPACITY FOR VOLUMES</t>
  </si>
  <si>
    <t>Pool minus reserve minus infra = what you can use.</t>
  </si>
  <si>
    <t>What Windows Admin Center shows (TiB):</t>
  </si>
  <si>
    <t>TiB (approx)</t>
  </si>
  <si>
    <t>Windows uses TiB (binary). 1 TB = ~0.909 TiB. Numbers WILL differ.</t>
  </si>
  <si>
    <t>N+1 COMPUTE REMINDER</t>
  </si>
  <si>
    <t>RESILIENCY REFERENCE</t>
  </si>
  <si>
    <t>Type</t>
  </si>
  <si>
    <t>Efficiency</t>
  </si>
  <si>
    <t>Min Nodes</t>
  </si>
  <si>
    <t>Fault Tolerance</t>
  </si>
  <si>
    <t>Two-Way Mirror</t>
  </si>
  <si>
    <t>50.0%</t>
  </si>
  <si>
    <t>1 failure</t>
  </si>
  <si>
    <t>Three-Way Mirror</t>
  </si>
  <si>
    <t>33.3%</t>
  </si>
  <si>
    <t>2 failures</t>
  </si>
  <si>
    <t>Dual Parity (4-6)</t>
  </si>
  <si>
    <t>Dual Parity (7-8)</t>
  </si>
  <si>
    <t>66.7%</t>
  </si>
  <si>
    <t>Dual Parity (9-15 flash)</t>
  </si>
  <si>
    <t>75.0%</t>
  </si>
  <si>
    <t>Dual Parity (16 flash)</t>
  </si>
  <si>
    <t>80.0%</t>
  </si>
  <si>
    <t>Nested Two-Way</t>
  </si>
  <si>
    <t>25.0%</t>
  </si>
  <si>
    <t>1 server+1 drive</t>
  </si>
  <si>
    <t>AVAILABLE POOL CAPACITY:</t>
  </si>
  <si>
    <t>VMs</t>
  </si>
  <si>
    <t>GB</t>
  </si>
  <si>
    <t>Logical / efficiency = pool space consumed.</t>
  </si>
  <si>
    <t>users</t>
  </si>
  <si>
    <t>overhead</t>
  </si>
  <si>
    <t>Buffer for growth. 20-50% recommended.</t>
  </si>
  <si>
    <t>Yes</t>
  </si>
  <si>
    <t>Dual Parity</t>
  </si>
  <si>
    <t>CAPACITY SUMMARY</t>
  </si>
  <si>
    <t>Available Pool Capacity</t>
  </si>
  <si>
    <t>Total pool capacity for volumes.</t>
  </si>
  <si>
    <t>TOTAL PHYSICAL FOOTPRINT</t>
  </si>
  <si>
    <t>Must be LESS than available pool.</t>
  </si>
  <si>
    <t>TOTAL USABLE VOLUME CAPACITY</t>
  </si>
  <si>
    <t>Logical capacity you get to use.</t>
  </si>
  <si>
    <t>Volume Count</t>
  </si>
  <si>
    <t>volumes</t>
  </si>
  <si>
    <t>REMAINING POOL CAPACITY</t>
  </si>
  <si>
    <t>Pool Utilization</t>
  </si>
  <si>
    <t>ADVANCED SETTINGS</t>
  </si>
  <si>
    <t>DRIVE CAPACITY EFFICIENCY FACTOR</t>
  </si>
  <si>
    <t>Manufacturers label drives in decimal TB (1 TB = 1,000,000,000,000 bytes). Windows reports in binary TiB (1 TiB = 1,099,511,627,776 bytes). A 7.68 TB drive shows as ~6.98 TiB. Plus NVMe reserves 1-3% for wear leveling. Combined: ~8% reduction.</t>
  </si>
  <si>
    <t>Example: 7.68 TB at 92%:</t>
  </si>
  <si>
    <t>TB usable</t>
  </si>
  <si>
    <t>What S2D pool reports per drive.</t>
  </si>
  <si>
    <t>Capacity Efficiency Factor</t>
  </si>
  <si>
    <t>Default: 92%</t>
  </si>
  <si>
    <t>Only change if vendor provides specific formatted capacity.</t>
  </si>
  <si>
    <t>INFRASTRUCTURE VOLUME</t>
  </si>
  <si>
    <t>Azure Local creates an infrastructure volume during deployment (~250 GB) for system metadata. This uses the same resiliency as workload volumes, so its footprint is larger.</t>
  </si>
  <si>
    <t>Infrastructure Volume Logical Size</t>
  </si>
  <si>
    <t>TB (~250 GB)</t>
  </si>
  <si>
    <t>Size of the infrastructure volume.</t>
  </si>
  <si>
    <t>Infrastructure Volume Footprint</t>
  </si>
  <si>
    <t>TB in pool</t>
  </si>
  <si>
    <t>Three-way mirror (3+ nodes) or two-way mirror (2 nodes).</t>
  </si>
  <si>
    <t>TB vs TiB CONVERSION TABLE</t>
  </si>
  <si>
    <t>Windows Admin Center, PowerShell, and Disk Management show TiB (binary). This calculator uses TB (decimal). Use this table to cross-check.</t>
  </si>
  <si>
    <t>1 TB (decimal) =</t>
  </si>
  <si>
    <t>TiB (binary)</t>
  </si>
  <si>
    <t>What Windows will show.</t>
  </si>
  <si>
    <t>5 TB (decimal) =</t>
  </si>
  <si>
    <t>10 TB (decimal) =</t>
  </si>
  <si>
    <t>25 TB (decimal) =</t>
  </si>
  <si>
    <t>50 TB (decimal) =</t>
  </si>
  <si>
    <t>100 TB (decimal) =</t>
  </si>
  <si>
    <t>S2D CAPACITY REPORT</t>
  </si>
  <si>
    <t>EXECUTIVE SUMMARY</t>
  </si>
  <si>
    <t>Cluster Nodes</t>
  </si>
  <si>
    <t>servers</t>
  </si>
  <si>
    <t>Drive Config</t>
  </si>
  <si>
    <t>Capacity Drives</t>
  </si>
  <si>
    <t>Drive Size</t>
  </si>
  <si>
    <t>TB each</t>
  </si>
  <si>
    <t>Raw Capacity</t>
  </si>
  <si>
    <t>After Overhead</t>
  </si>
  <si>
    <t>Pool Reserve</t>
  </si>
  <si>
    <t>Infra Volume</t>
  </si>
  <si>
    <t>AVAILABLE POOL</t>
  </si>
  <si>
    <t>WAC Display</t>
  </si>
  <si>
    <t>TiB</t>
  </si>
  <si>
    <t>Workload Footprint</t>
  </si>
  <si>
    <t>Usable Volume Capacity</t>
  </si>
  <si>
    <t>Remaining Free</t>
  </si>
  <si>
    <t>CAPACITY TERMS</t>
  </si>
  <si>
    <t>Drive label size. Manufacturer's decimal number.</t>
  </si>
  <si>
    <t>Usable Capacity</t>
  </si>
  <si>
    <t>After ~8% overhead (TB-to-TiB + NVMe reserves).</t>
  </si>
  <si>
    <t>Pool Capacity</t>
  </si>
  <si>
    <t>All usable capacity pooled. Excludes cache.</t>
  </si>
  <si>
    <t>Reserve</t>
  </si>
  <si>
    <t>1 drive/node (max 4) for auto-repair.</t>
  </si>
  <si>
    <t>~250 GB for Azure Local system metadata.</t>
  </si>
  <si>
    <t>Available Pool</t>
  </si>
  <si>
    <t>Pool - reserve - infra. What you allocate.</t>
  </si>
  <si>
    <t>Volume Size</t>
  </si>
  <si>
    <t>Logical size you request. What OS shows.</t>
  </si>
  <si>
    <t>Footprint</t>
  </si>
  <si>
    <t>Physical pool space. 1TB 3-way mirror = 3TB.</t>
  </si>
  <si>
    <t>Usable/footprint. 2-way=50%, 3-way=33%.</t>
  </si>
  <si>
    <t>TB vs TiB</t>
  </si>
  <si>
    <t>Manufacturers=TB. Windows=TiB. 1TB=0.909TiB.</t>
  </si>
  <si>
    <t>WHY RESERVE IS CRITICAL</t>
  </si>
  <si>
    <t>Drive fails:</t>
  </si>
  <si>
    <t>S2D rebuilds lost data onto other drives. Needs FREE pool space.</t>
  </si>
  <si>
    <t>No reserve:</t>
  </si>
  <si>
    <t>Must wait for replacement drive. Reduced redundancy = risk.</t>
  </si>
  <si>
    <t>With reserve:</t>
  </si>
  <si>
    <t>Rebuild starts IMMEDIATELY. Full resiliency in minutes, not days.</t>
  </si>
  <si>
    <t>DRIVE SIZING ADVISORY</t>
  </si>
  <si>
    <t>Cost</t>
  </si>
  <si>
    <t>Smaller drives cheaper per TB.</t>
  </si>
  <si>
    <t>Rebuild Speed</t>
  </si>
  <si>
    <t>3.84 TB rebuilds ~half the time of 7.68 TB.</t>
  </si>
  <si>
    <t>Parallelism</t>
  </si>
  <si>
    <t>More drives = more IOPS. 8 drives/node &gt; 4.</t>
  </si>
  <si>
    <t>Reserve Cost</t>
  </si>
  <si>
    <t>Smaller drive = smaller reserve = more for volumes.</t>
  </si>
  <si>
    <t>Slots</t>
  </si>
  <si>
    <t>Limited NVMe slots per server. Check hardware spec.</t>
  </si>
  <si>
    <t>THIN PROVISIONING — RISKS &amp; GUIDANCE</t>
  </si>
  <si>
    <t>DEFAULT: USE FIXED (THICK)</t>
  </si>
  <si>
    <t>Fixed allocates full footprint at creation. Guarantees capacity. STRONGLY recommended for production.</t>
  </si>
  <si>
    <t>WHEN THIN IS ACCEPTABLE</t>
  </si>
  <si>
    <t>Dev/Test</t>
  </si>
  <si>
    <t>Outages tolerable.</t>
  </si>
  <si>
    <t>FSLogix</t>
  </si>
  <si>
    <t>Slow growth. Monitor.</t>
  </si>
  <si>
    <t>Archive</t>
  </si>
  <si>
    <t>Infrequent access.</t>
  </si>
  <si>
    <t>Prototyping</t>
  </si>
  <si>
    <t>Right-size later.</t>
  </si>
  <si>
    <t>RISKS</t>
  </si>
  <si>
    <t>Pool Exhaustion</t>
  </si>
  <si>
    <t>Pool full = volumes OFFLINE = VMs crash. HARD STOP.</t>
  </si>
  <si>
    <t>Silent Overcommit</t>
  </si>
  <si>
    <t>Logical can exceed physical. No hard block.</t>
  </si>
  <si>
    <t>Growth Spikes</t>
  </si>
  <si>
    <t>Updates, snapshots consume GBs with no warning.</t>
  </si>
  <si>
    <t>No Reclaim</t>
  </si>
  <si>
    <t>Stretched clusters: TRIM disabled. Volumes only grow.</t>
  </si>
  <si>
    <t>Double-Thin</t>
  </si>
  <si>
    <t>Thin S2D + thin VHDX = two overcommit layers.</t>
  </si>
  <si>
    <t>Rebuild Blocked</t>
  </si>
  <si>
    <t>No pool space = rebuild fails = data at risk.</t>
  </si>
  <si>
    <t>MONITORING</t>
  </si>
  <si>
    <t>WAC Alerts</t>
  </si>
  <si>
    <t>Set threshold to 60% for thin pools.</t>
  </si>
  <si>
    <t>PS: Pool</t>
  </si>
  <si>
    <t>Get-StoragePool S2D* | Select Size, AllocatedSize</t>
  </si>
  <si>
    <t>PS: Volumes</t>
  </si>
  <si>
    <t>Get-VirtualDisk | Select Size, FootprintOnPool</t>
  </si>
  <si>
    <t>Azure Monitor</t>
  </si>
  <si>
    <t>Log Analytics for pool free space trending.</t>
  </si>
  <si>
    <t>Commit Ratio</t>
  </si>
  <si>
    <t>Logical/Physical. Alert 0.8, escalate 1.0.</t>
  </si>
  <si>
    <t>CHECKLIST</t>
  </si>
  <si>
    <t>Never double-thin (S2D + VHDX).</t>
  </si>
  <si>
    <t>WAC alert at 60% for thin.</t>
  </si>
  <si>
    <t>Pool below 70% always.</t>
  </si>
  <si>
    <t>Weekly: Get-StoragePool reports.</t>
  </si>
  <si>
    <t>Azure Monitor for alerting.</t>
  </si>
  <si>
    <t>Capacity response plan documented.</t>
  </si>
  <si>
    <t>Quarterly: simulate drive failure.</t>
  </si>
  <si>
    <t>Production = FIXED. Thin = dev/test only.</t>
  </si>
  <si>
    <t>9.</t>
  </si>
  <si>
    <t>Commit ratio: alert 0.8, escalate 1.0.</t>
  </si>
  <si>
    <t>Resiliency</t>
  </si>
  <si>
    <t>Copies</t>
  </si>
  <si>
    <t>Custom</t>
  </si>
  <si>
    <t>TOTALS</t>
  </si>
  <si>
    <t>FIT CHECK</t>
  </si>
  <si>
    <t>MICROSOFT REFERENCES</t>
  </si>
  <si>
    <t>Topic</t>
  </si>
  <si>
    <t>URL</t>
  </si>
  <si>
    <t>Plan Volumes</t>
  </si>
  <si>
    <t>https://learn.microsoft.com/en-us/windows-server/storage/storage-spaces/plan-volumes</t>
  </si>
  <si>
    <t>https://learn.microsoft.com/en-us/windows-server/storage/storage-spaces/fault-tolerance</t>
  </si>
  <si>
    <t>S2D Overview</t>
  </si>
  <si>
    <t>https://learn.microsoft.com/en-us/windows-server/storage/storage-spaces/storage-spaces-direct-overview</t>
  </si>
  <si>
    <t>Hardware Reqs</t>
  </si>
  <si>
    <t>https://learn.microsoft.com/en-us/windows-server/storage/storage-spaces/storage-spaces-direct-hardware-requirements</t>
  </si>
  <si>
    <t>Cache</t>
  </si>
  <si>
    <t>https://learn.microsoft.com/en-us/windows-server/storage/storage-spaces/cache</t>
  </si>
  <si>
    <t>Nested Resiliency</t>
  </si>
  <si>
    <t>https://learn.microsoft.com/en-us/windows-server/storage/storage-spaces/nested-resiliency</t>
  </si>
  <si>
    <t>Thin Provisioning</t>
  </si>
  <si>
    <t>https://learn.microsoft.com/en-us/azure-stack/hci/manage/thin-provisioning</t>
  </si>
  <si>
    <t>Azure Local Baseline</t>
  </si>
  <si>
    <t>https://learn.microsoft.com/en-us/azure/architecture/hybrid/azure-local-baseline</t>
  </si>
  <si>
    <t>Azure Local Deploy</t>
  </si>
  <si>
    <t>https://learn.microsoft.com/en-us/azure/azure-local/deploy/deploy-via-portal</t>
  </si>
  <si>
    <t>Well-Architected</t>
  </si>
  <si>
    <t>https://learn.microsoft.com/en-us/azure/well-architected/service-guides/azure-local</t>
  </si>
  <si>
    <t>No</t>
  </si>
  <si>
    <t>DRIVE LAYOUT COMPARISON</t>
  </si>
  <si>
    <t>Same total raw capacity — different drive counts. See how reserve and available capacity change.</t>
  </si>
  <si>
    <t>YOUR CURRENT CONFIGURATION</t>
  </si>
  <si>
    <t>nodes</t>
  </si>
  <si>
    <t>Drive Size (Advertised)</t>
  </si>
  <si>
    <t>Total Raw Capacity</t>
  </si>
  <si>
    <t>This stays constant across all alternatives.</t>
  </si>
  <si>
    <t>From Advanced Settings tab.</t>
  </si>
  <si>
    <t>ALTERNATIVE DRIVE LAYOUTS</t>
  </si>
  <si>
    <t>Drives
per Node</t>
  </si>
  <si>
    <t>Drive Size
(TB)</t>
  </si>
  <si>
    <t>Total
Drives</t>
  </si>
  <si>
    <t>Usable per
Drive (TB)</t>
  </si>
  <si>
    <t>Reserve
(TB)</t>
  </si>
  <si>
    <t>Available
Capacity (TB)</t>
  </si>
  <si>
    <t>vs Current</t>
  </si>
  <si>
    <t>← Current</t>
  </si>
  <si>
    <t>KEY INSIGHT</t>
  </si>
  <si>
    <t>More drives per node = smaller drive size = smaller reserve. The reserve is always 1 drive per node (max 4), so smaller drives mean less capacity "locked up" for repair. The trade-off: more drives cost more and use more slots.</t>
  </si>
  <si>
    <t>Note: All alternatives maintain the same total raw capacity. Drive sizes shown are calculated (raw ÷ total drives) — actual drives must be purchased in available sizes (e.g., 1.6, 3.2, 3.84, 7.68 TB).</t>
  </si>
  <si>
    <t>2. Drive Layout Comparison</t>
  </si>
  <si>
    <t>WHAT-IF TOOL. Same total raw capacity, different drive counts per node. Shows how using more, smaller drives reduces reserve and increases available capacity. All formulas linked to Hardware Inputs — updates automatically.</t>
  </si>
  <si>
    <t>3. Workload Planner</t>
  </si>
  <si>
    <t>4. Advanced Settings</t>
  </si>
  <si>
    <t>5. Capacity Report</t>
  </si>
  <si>
    <t>6. Thin Provisioning</t>
  </si>
  <si>
    <t>7. Volume Detail</t>
  </si>
  <si>
    <t>Options: fewer VMs, Two-Way instead of Three-Way where OK, more/smaller drives (see Drive Layout Comparison tab), more nodes, Dual Parity for archives.</t>
  </si>
  <si>
    <t>SCENARIO-BASED WORKLOAD PLANNER</t>
  </si>
  <si>
    <t>Plan storage by workload type — AVD, AKS, Infrastructure, Dev/Test, and more</t>
  </si>
  <si>
    <t>SCENARIO 1: AVD / VDI DEPLOYMENT</t>
  </si>
  <si>
    <t>Enable AVD scenario?</t>
  </si>
  <si>
    <t>Set to No to skip this scenario.</t>
  </si>
  <si>
    <t xml:space="preserve">  Session Hosts</t>
  </si>
  <si>
    <t>Number of AVD session host VMs</t>
  </si>
  <si>
    <t>Total session host VMs across all host pools.</t>
  </si>
  <si>
    <t>OS disk per host (GB)</t>
  </si>
  <si>
    <t>Typical: 127 GB (Windows 11 multi-session).</t>
  </si>
  <si>
    <t>Data/temp disk per host (GB)</t>
  </si>
  <si>
    <t>Additional data disks. Set to 0 if none.</t>
  </si>
  <si>
    <t>Host resiliency type</t>
  </si>
  <si>
    <t>Session host volume (logical)</t>
  </si>
  <si>
    <t>Session host footprint in pool</t>
  </si>
  <si>
    <t xml:space="preserve">  FSLogix Profiles</t>
  </si>
  <si>
    <t>Total AVD users</t>
  </si>
  <si>
    <t>All users who have a profile container.</t>
  </si>
  <si>
    <t>Concurrent (connected) users</t>
  </si>
  <si>
    <t>Peak concurrent sessions. Informational — used for documentation.</t>
  </si>
  <si>
    <t>Profile container size per user (GB)</t>
  </si>
  <si>
    <t>Start at 5 GB if unknown. Measure after 30 days.</t>
  </si>
  <si>
    <t>Growth buffer (%)</t>
  </si>
  <si>
    <t>Profile resiliency type</t>
  </si>
  <si>
    <t>Profile volume (logical)</t>
  </si>
  <si>
    <t>Profile footprint in pool</t>
  </si>
  <si>
    <t>AVD TOTAL FOOTPRINT</t>
  </si>
  <si>
    <t>Session hosts + profiles combined.</t>
  </si>
  <si>
    <t>SCENARIO 2: AKS ON AZURE LOCAL</t>
  </si>
  <si>
    <t>Enable AKS scenario?</t>
  </si>
  <si>
    <t xml:space="preserve">  AKS Cluster VMs</t>
  </si>
  <si>
    <t>Number of AKS clusters</t>
  </si>
  <si>
    <t>clusters</t>
  </si>
  <si>
    <t>AKS Arc clusters on this Azure Local instance.</t>
  </si>
  <si>
    <t>Control plane nodes (total across clusters)</t>
  </si>
  <si>
    <t>Typically 1 or 3 per cluster (HA = 3).</t>
  </si>
  <si>
    <t>Worker nodes (total across clusters)</t>
  </si>
  <si>
    <t>All worker nodes across all node pools.</t>
  </si>
  <si>
    <t>OS disk per node (GB)</t>
  </si>
  <si>
    <t>Default: 200 GB (Azure Local 2509+).</t>
  </si>
  <si>
    <t xml:space="preserve">  Persistent Volumes &amp; Data Services</t>
  </si>
  <si>
    <t>Persistent volume storage estimate (TB)</t>
  </si>
  <si>
    <t>Total PVC storage for apps. Varies by workload.</t>
  </si>
  <si>
    <t>Data services storage estimate (TB)</t>
  </si>
  <si>
    <t>SQL MI, PostgreSQL, etc. via Arc Data Services.</t>
  </si>
  <si>
    <t>AKS resiliency type</t>
  </si>
  <si>
    <t>AKS volume (logical)</t>
  </si>
  <si>
    <t>AKS TOTAL FOOTPRINT</t>
  </si>
  <si>
    <t>Node VMs + PVs + Data Services combined.</t>
  </si>
  <si>
    <t>SCENARIO 3: INFRASTRUCTURE VMs</t>
  </si>
  <si>
    <t>Enable Infrastructure VMs?</t>
  </si>
  <si>
    <t>DCs, SQL, file servers, management VMs, etc.</t>
  </si>
  <si>
    <t>Number of infrastructure VMs</t>
  </si>
  <si>
    <t>Total infra VMs (all roles combined).</t>
  </si>
  <si>
    <t>Average total disk per VM (GB)</t>
  </si>
  <si>
    <t>OS + data disks combined. Typical: 150-300 GB.</t>
  </si>
  <si>
    <t>Infrastructure resiliency type</t>
  </si>
  <si>
    <t>Infra volume (logical)</t>
  </si>
  <si>
    <t>INFRA TOTAL FOOTPRINT</t>
  </si>
  <si>
    <t>SCENARIO 4: DEV/TEST VMs</t>
  </si>
  <si>
    <t>Enable Dev/Test?</t>
  </si>
  <si>
    <t>Number of dev/test VMs</t>
  </si>
  <si>
    <t>Dev/Test resiliency type</t>
  </si>
  <si>
    <t>Dev/Test volume (logical)</t>
  </si>
  <si>
    <t>DEV/TEST TOTAL FOOTPRINT</t>
  </si>
  <si>
    <t>SCENARIO 5: BACKUP / ARCHIVE</t>
  </si>
  <si>
    <t>Enable Backup/Archive?</t>
  </si>
  <si>
    <t>Backup volume size (TB)</t>
  </si>
  <si>
    <t>Backup resiliency type</t>
  </si>
  <si>
    <t>Backup volume (logical)</t>
  </si>
  <si>
    <t>BACKUP TOTAL FOOTPRINT</t>
  </si>
  <si>
    <t>SCENARIO 6: CUSTOM (Optional)</t>
  </si>
  <si>
    <t>Exact volume size (TB)</t>
  </si>
  <si>
    <t>Any other volume not covered above.</t>
  </si>
  <si>
    <t>Custom resiliency type</t>
  </si>
  <si>
    <t>Custom volume (logical)</t>
  </si>
  <si>
    <t>CUSTOM TOTAL FOOTPRINT</t>
  </si>
  <si>
    <t>S1: AVD Session Hosts — Footprint</t>
  </si>
  <si>
    <t>S1: AVD FSLogix Profiles — Footprint</t>
  </si>
  <si>
    <t>S2: AKS on Azure Local — Footprint</t>
  </si>
  <si>
    <t>S3: Infrastructure VMs — Footprint</t>
  </si>
  <si>
    <t>S4: Dev/Test VMs — Footprint</t>
  </si>
  <si>
    <t>S5: Backup/Archive — Footprint</t>
  </si>
  <si>
    <t>S6: Custom — Footprint</t>
  </si>
  <si>
    <t>Go to 'Workload Planner'. Choose your scenarios: AVD (session hosts + profiles), AKS (clusters + PVs + data services), Infrastructure VMs, Dev/Test, Backup, or Custom. Each scenario asks all the right questions. Running counter shows remaining capacity.</t>
  </si>
  <si>
    <t>WHERE YOU PLAN VOLUMES. Scenario-based: AVD (hosts + profiles + concurrent users), AKS (clusters + worker nodes + PVs + data services), Infrastructure VMs, Dev/Test, Backup/Archive, Custom. Enable/disable each scenario. Running capacity counter.</t>
  </si>
  <si>
    <t>Logical (TB)</t>
  </si>
  <si>
    <t>Footprint (TB)</t>
  </si>
  <si>
    <t>Status</t>
  </si>
  <si>
    <t>AVD Session Hosts</t>
  </si>
  <si>
    <t>AVD FSLogix Profiles</t>
  </si>
  <si>
    <t>VOLUME DETAIL — DEPLOYMENT REFERENCE</t>
  </si>
  <si>
    <t>Use this table when creating volumes in Windows Admin Center or PowerShell. Copy volume names and sizes directly.</t>
  </si>
  <si>
    <t>Volume Name</t>
  </si>
  <si>
    <t>Create Size
(TB)</t>
  </si>
  <si>
    <t>Create Size
(TiB)*</t>
  </si>
  <si>
    <t>Pool Footprint
(TB)</t>
  </si>
  <si>
    <t>AVD-SessionHosts</t>
  </si>
  <si>
    <t>AVD-Profiles</t>
  </si>
  <si>
    <t>AKS-Cluster</t>
  </si>
  <si>
    <t>Infra-VMs</t>
  </si>
  <si>
    <t>DevTest-VMs</t>
  </si>
  <si>
    <t>Backup-Archive</t>
  </si>
  <si>
    <t>* TiB column: What Windows/PowerShell will report. This calculator uses TB (decimal) everywhere else. 1 TB = ~0.909 TiB. Both are correct — different units for the same bytes.</t>
  </si>
  <si>
    <t>Enable Custom?</t>
  </si>
  <si>
    <t>S2D CAPACITY CALCULATOR — FINAL REPORT</t>
  </si>
  <si>
    <t>SECTION 1: CLUSTER HARDWARE SUMMARY</t>
  </si>
  <si>
    <t>Drive Configuration</t>
  </si>
  <si>
    <t>Usable Pool (after ~8% NVMe overhead)</t>
  </si>
  <si>
    <t>Infrastructure Volume</t>
  </si>
  <si>
    <t>AVAILABLE CAPACITY FOR VOLUMES</t>
  </si>
  <si>
    <t>per node</t>
  </si>
  <si>
    <t>SECTION 2: CAPACITY ALLOCATION</t>
  </si>
  <si>
    <t>Total Physical Footprint (all scenarios)</t>
  </si>
  <si>
    <t>Total Usable Volume Capacity (logical)</t>
  </si>
  <si>
    <t>Fit Check</t>
  </si>
  <si>
    <t>SECTION 3: SCENARIO BREAKDOWN</t>
  </si>
  <si>
    <t>Scenario</t>
  </si>
  <si>
    <t>S1: AVD Session Hosts</t>
  </si>
  <si>
    <t>S1: AVD FSLogix Profiles</t>
  </si>
  <si>
    <t>S2: AKS on Azure Local</t>
  </si>
  <si>
    <t>S3: Infrastructure VMs</t>
  </si>
  <si>
    <t>S4: Dev/Test VMs</t>
  </si>
  <si>
    <t>S5: Backup / Archive</t>
  </si>
  <si>
    <t>S6: Custom</t>
  </si>
  <si>
    <t>SECTION 4: VOLUME CREATION TABLE — DEPLOYMENT REFERENCE</t>
  </si>
  <si>
    <t>Create Size (TB)</t>
  </si>
  <si>
    <t>Create Size (TiB)*</t>
  </si>
  <si>
    <t>Pool Footprint (TB)</t>
  </si>
  <si>
    <t>* TiB (binary) = what Windows Admin Center and PowerShell report. 1 TB ≈ 0.909 TiB. Use TiB values when creating volumes via WAC or PowerShell.</t>
  </si>
  <si>
    <t>SECTION 5: DRIVE LAYOUT INSIGHT</t>
  </si>
  <si>
    <t>Your Current Configuration</t>
  </si>
  <si>
    <t>Drives per Node</t>
  </si>
  <si>
    <t>Available Capacity</t>
  </si>
  <si>
    <t>Best Alternative (more drives = less reserve)</t>
  </si>
  <si>
    <t>Drives per Node (max shown)</t>
  </si>
  <si>
    <t>Drive Size (calculated)</t>
  </si>
  <si>
    <t>Additional Capacity vs Current</t>
  </si>
  <si>
    <t>TB more</t>
  </si>
  <si>
    <t>Note: More drives per node reduces reserve but costs more and uses more physical slots. Calculated drive sizes are theoretical — actual drives come in standard sizes (1.6, 3.2, 3.84, 7.68 TB).</t>
  </si>
  <si>
    <t>SECTION 6: BEST PRACTICE NOTES &amp; GUIDANCE</t>
  </si>
  <si>
    <t>Rebuild Headroom</t>
  </si>
  <si>
    <t>Provisioning</t>
  </si>
  <si>
    <t>N+1 Compute</t>
  </si>
  <si>
    <t>Volume Size Limit</t>
  </si>
  <si>
    <t>8. Final Report</t>
  </si>
  <si>
    <t>ONE-PAGE SUMMARY. Hardware config, capacity allocation, scenario breakdown, volume creation table (TB + TiB), drive layout insight, best practice checks. All formula-linked — prints or shares as a snapshot.</t>
  </si>
  <si>
    <t>9. References</t>
  </si>
  <si>
    <t>Used</t>
  </si>
  <si>
    <t>Remaining</t>
  </si>
  <si>
    <t>SCENARIO INPUT DETAILS (enabled scenarios only)</t>
  </si>
  <si>
    <t xml:space="preserve">  Session host VMs</t>
  </si>
  <si>
    <t xml:space="preserve">  OS disk per host</t>
  </si>
  <si>
    <t xml:space="preserve">  Data/temp disk per host</t>
  </si>
  <si>
    <t xml:space="preserve">  Resiliency</t>
  </si>
  <si>
    <t xml:space="preserve">  Total AVD users</t>
  </si>
  <si>
    <t xml:space="preserve">  Profile size per user</t>
  </si>
  <si>
    <t xml:space="preserve">  Growth buffer</t>
  </si>
  <si>
    <t>POWERSHELL VOLUME CREATION COMMANDS (copy/paste ready)</t>
  </si>
  <si>
    <t>Run these commands in an elevated PowerShell session on any cluster node. Adjust -StoragePoolFriendlyName if your pool has a custom name. Use -ProvisioningType Thin only if you understand the risks (see Thin Provisioning tab).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</si>
</sst>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&quot; TB available from your cluster&quot;"/>
    <numFmt numFmtId="165" formatCode="0.0%"/>
    <numFmt numFmtId="166" formatCode="\+0.00&quot; TB&quot;;\-0.00&quot; TB&quot;;&quot;—&quot;"/>
  </numFmts>
  <fonts count="5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3"/>
      <color rgb="FFFFFFFF"/>
      <name val="Arial"/>
      <charset val="1"/>
    </font>
    <font>
      <b/>
      <sz val="12"/>
      <color rgb="FF2E7D32"/>
      <name val="Arial"/>
      <charset val="1"/>
    </font>
    <font>
      <b/>
      <sz val="11"/>
      <color rgb="FF0000FF"/>
      <name val="Arial"/>
      <charset val="1"/>
    </font>
    <font>
      <b/>
      <sz val="11"/>
      <color rgb="FF1B3A5C"/>
      <name val="Arial"/>
      <charset val="1"/>
    </font>
    <font>
      <b/>
      <sz val="11"/>
      <color rgb="FFC62828"/>
      <name val="Arial"/>
      <charset val="1"/>
    </font>
    <font>
      <b/>
      <sz val="11"/>
      <color rgb="FFE65100"/>
      <name val="Arial"/>
      <charset val="1"/>
    </font>
    <font>
      <b/>
      <sz val="10"/>
      <name val="Arial"/>
      <charset val="1"/>
    </font>
    <font>
      <i/>
      <sz val="9"/>
      <color rgb="FF888888"/>
      <name val="Arial"/>
      <charset val="1"/>
    </font>
    <font>
      <b/>
      <sz val="10"/>
      <color rgb="FF0000FF"/>
      <name val="Arial"/>
      <charset val="1"/>
    </font>
    <font>
      <b/>
      <sz val="16"/>
      <color rgb="FF2E7D32"/>
      <name val="Arial"/>
      <charset val="1"/>
    </font>
    <font>
      <b/>
      <sz val="10"/>
      <color rgb="FF00695C"/>
      <name val="Arial"/>
      <charset val="1"/>
    </font>
    <font>
      <b/>
      <sz val="11"/>
      <color rgb="FFFFFFFF"/>
      <name val="Arial"/>
      <charset val="1"/>
    </font>
    <font>
      <u/>
      <sz val="9"/>
      <color rgb="FF0563C1"/>
      <name val="Arial"/>
      <charset val="1"/>
    </font>
    <font>
      <b/>
      <sz val="14"/>
      <color rgb="FFFFFFFF"/>
      <name val="Arial"/>
    </font>
    <font>
      <b/>
      <sz val="10"/>
      <color rgb="FFFFFFFF"/>
      <name val="Arial"/>
    </font>
    <font>
      <sz val="10"/>
      <color theme="1"/>
      <name val="Arial"/>
    </font>
    <font>
      <b/>
      <sz val="10"/>
      <color theme="1"/>
      <name val="Arial"/>
    </font>
    <font>
      <b/>
      <sz val="11"/>
      <color rgb="FF1B3A5C"/>
      <name val="Arial"/>
    </font>
    <font>
      <i/>
      <sz val="9"/>
      <color rgb="FF888888"/>
      <name val="Arial"/>
    </font>
    <font>
      <b/>
      <sz val="11"/>
      <color rgb="FF2E7D32"/>
      <name val="Arial"/>
    </font>
    <font>
      <b/>
      <sz val="11"/>
      <color rgb="FFE65100"/>
      <name val="Arial"/>
    </font>
    <font>
      <b/>
      <sz val="14"/>
      <color rgb="FF2E7D32"/>
      <name val="Arial"/>
    </font>
    <font>
      <b/>
      <sz val="10"/>
      <color rgb="FF2E7D32"/>
      <name val="Arial"/>
    </font>
    <font>
      <sz val="10"/>
      <color rgb="FF1B3A5C"/>
      <name val="Arial"/>
    </font>
    <font>
      <b/>
      <sz val="10"/>
      <color rgb="FF1B3A5C"/>
      <name val="Arial"/>
    </font>
    <font>
      <b/>
      <sz val="10"/>
      <color rgb="FF00695C"/>
      <name val="Arial"/>
    </font>
    <font>
      <b/>
      <sz val="10"/>
      <name val="Arial"/>
    </font>
    <font>
      <sz val="10"/>
      <color rgb="FF000000"/>
      <name val="Arial"/>
    </font>
    <font>
      <b/>
      <sz val="9"/>
      <color rgb="FFFFFFFF"/>
      <name val="Arial"/>
    </font>
    <font>
      <b/>
      <sz val="12"/>
      <color rgb="FF2E7D32"/>
      <name val="Arial"/>
    </font>
    <font>
      <b/>
      <sz val="16"/>
      <color rgb="FF2E7D32"/>
      <name val="Arial"/>
    </font>
    <font>
      <b/>
      <sz val="10"/>
      <color rgb="FF0000FF"/>
      <name val="Arial"/>
    </font>
    <font>
      <b/>
      <sz val="11"/>
      <color rgb="FF0000FF"/>
      <name val="Arial"/>
    </font>
    <font>
      <b/>
      <sz val="11"/>
      <color rgb="FFC62828"/>
      <name val="Arial"/>
    </font>
    <font>
      <b/>
      <sz val="12"/>
      <color rgb="FF1B3A5C"/>
      <name val="Arial"/>
    </font>
    <font>
      <b/>
      <sz val="12"/>
      <color rgb="FFC62828"/>
      <name val="Arial"/>
    </font>
    <font>
      <sz val="10"/>
      <name val="Arial"/>
    </font>
    <font>
      <b/>
      <sz val="11"/>
      <color rgb="FFFFFFFF"/>
      <name val="Arial"/>
    </font>
    <font>
      <b/>
      <sz val="11"/>
      <color theme="1"/>
      <name val="Arial"/>
    </font>
    <font>
      <sz val="10"/>
      <color rgb="FFC62828"/>
      <name val="Arial"/>
    </font>
    <font>
      <b/>
      <sz val="10"/>
      <color rgb="FF000000"/>
      <name val="Arial"/>
    </font>
    <font>
      <b/>
      <sz val="14"/>
      <color rgb="FFFFFFFF"/>
      <name val="Calibri"/>
      <family val="2"/>
      <charset val="1"/>
    </font>
    <font>
      <i/>
      <sz val="9"/>
      <color rgb="FF666666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9"/>
      <color rgb="FF888888"/>
      <name val="Calibri"/>
      <family val="2"/>
      <charset val="1"/>
    </font>
    <font>
      <b/>
      <sz val="10"/>
      <color rgb="FF375623"/>
      <name val="Arial"/>
    </font>
    <font>
      <i/>
      <sz val="9"/>
      <color rgb="FF555555"/>
      <name val="Calibri"/>
      <family val="2"/>
      <charset val="1"/>
    </font>
    <font>
      <b/>
      <sz val="9"/>
      <color theme="1"/>
      <name val="Arial"/>
    </font>
    <font>
      <b/>
      <sz val="10"/>
      <color rgb="FF1B3A5C"/>
      <name val="Calibri"/>
      <family val="2"/>
      <charset val="1"/>
    </font>
    <font>
      <b/>
      <sz val="10"/>
      <color rgb="FF2C5F8A"/>
      <name val="Arial"/>
    </font>
    <font>
      <b/>
      <i/>
      <sz val="10"/>
      <color rgb="FF888888"/>
      <name val="Arial"/>
    </font>
    <font>
      <b/>
      <sz val="10"/>
      <color rgb="FFFFFFFF"/>
      <name val="Calibri"/>
      <family val="2"/>
      <charset val="1"/>
    </font>
    <font>
      <i/>
      <sz val="9"/>
      <color rgb="FFD4D4D4"/>
      <name val="Consolas"/>
    </font>
  </fonts>
  <fills count="27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2C5F8A"/>
        <bgColor rgb="FF1565C0"/>
      </patternFill>
    </fill>
    <fill>
      <patternFill patternType="solid">
        <fgColor rgb="FF2E7D32"/>
        <bgColor rgb="FF008000"/>
      </patternFill>
    </fill>
    <fill>
      <patternFill patternType="solid">
        <fgColor rgb="FFE8F5E9"/>
        <bgColor rgb="FFF2F2F2"/>
      </patternFill>
    </fill>
    <fill>
      <patternFill patternType="solid">
        <fgColor rgb="FFD6E4F0"/>
        <bgColor rgb="FFE8F5E9"/>
      </patternFill>
    </fill>
    <fill>
      <patternFill patternType="solid">
        <fgColor rgb="FFFFF2CC"/>
        <bgColor rgb="FFFFF3E0"/>
      </patternFill>
    </fill>
    <fill>
      <patternFill patternType="solid">
        <fgColor rgb="FFFCE4EC"/>
        <bgColor rgb="FFF2F2F2"/>
      </patternFill>
    </fill>
    <fill>
      <patternFill patternType="solid">
        <fgColor rgb="FFFFF3E0"/>
        <bgColor rgb="FFFFF2CC"/>
      </patternFill>
    </fill>
    <fill>
      <patternFill patternType="solid">
        <fgColor rgb="FFF2F2F2"/>
        <bgColor rgb="FFE8F5E9"/>
      </patternFill>
    </fill>
    <fill>
      <patternFill patternType="solid">
        <fgColor rgb="FF00695C"/>
        <bgColor rgb="FF2C5F8A"/>
      </patternFill>
    </fill>
    <fill>
      <patternFill patternType="solid">
        <fgColor rgb="FFB71C1C"/>
        <bgColor rgb="FFC62828"/>
      </patternFill>
    </fill>
    <fill>
      <patternFill patternType="solid">
        <fgColor rgb="FF1B3A5C"/>
        <bgColor indexed="64"/>
      </patternFill>
    </fill>
    <fill>
      <patternFill patternType="solid">
        <fgColor rgb="FF2C5F8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8EEF4"/>
        <bgColor indexed="64"/>
      </patternFill>
    </fill>
    <fill>
      <patternFill patternType="solid">
        <fgColor rgb="FF1E1E1E"/>
        <bgColor indexed="64"/>
      </patternFill>
    </fill>
  </fills>
  <borders count="17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medium">
        <color rgb="FF1B3A5C"/>
      </top>
      <bottom/>
      <diagonal/>
    </border>
    <border>
      <left/>
      <right/>
      <top/>
      <bottom style="thin">
        <color rgb="FFE0E0E0"/>
      </bottom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</borders>
  <cellStyleXfs count="1">
    <xf numFmtId="0" fontId="0" fillId="0" borderId="0"/>
  </cellStyleXfs>
  <cellXfs count="227">
    <xf numFmtId="0" fontId="0" fillId="0" borderId="0" xfId="0"/>
    <xf numFmtId="0" fontId="3" fillId="0" borderId="2" xfId="0" applyFont="1" applyBorder="1"/>
    <xf numFmtId="0" fontId="5" fillId="5" borderId="2" xfId="0" applyFont="1" applyFill="1" applyBorder="1" applyAlignment="1">
      <alignment horizontal="center"/>
    </xf>
    <xf numFmtId="0" fontId="3" fillId="5" borderId="2" xfId="0" applyFont="1" applyFill="1" applyBorder="1" applyAlignment="1">
      <alignment vertical="top" wrapText="1"/>
    </xf>
    <xf numFmtId="0" fontId="5" fillId="6" borderId="2" xfId="0" applyFont="1" applyFill="1" applyBorder="1" applyAlignment="1">
      <alignment horizontal="center"/>
    </xf>
    <xf numFmtId="0" fontId="3" fillId="6" borderId="2" xfId="0" applyFont="1" applyFill="1" applyBorder="1" applyAlignment="1">
      <alignment vertical="top" wrapText="1"/>
    </xf>
    <xf numFmtId="0" fontId="6" fillId="7" borderId="2" xfId="0" applyFont="1" applyFill="1" applyBorder="1"/>
    <xf numFmtId="0" fontId="6" fillId="7" borderId="2" xfId="0" applyFont="1" applyFill="1" applyBorder="1" applyAlignment="1">
      <alignment horizontal="center"/>
    </xf>
    <xf numFmtId="0" fontId="3" fillId="0" borderId="2" xfId="0" applyFont="1" applyBorder="1" applyAlignment="1">
      <alignment vertical="top" wrapText="1"/>
    </xf>
    <xf numFmtId="0" fontId="5" fillId="5" borderId="2" xfId="0" applyFont="1" applyFill="1" applyBorder="1"/>
    <xf numFmtId="0" fontId="7" fillId="6" borderId="2" xfId="0" applyFont="1" applyFill="1" applyBorder="1"/>
    <xf numFmtId="0" fontId="7" fillId="6" borderId="2" xfId="0" applyFont="1" applyFill="1" applyBorder="1" applyAlignment="1">
      <alignment horizontal="center"/>
    </xf>
    <xf numFmtId="0" fontId="8" fillId="8" borderId="2" xfId="0" applyFont="1" applyFill="1" applyBorder="1"/>
    <xf numFmtId="0" fontId="8" fillId="8" borderId="2" xfId="0" applyFont="1" applyFill="1" applyBorder="1" applyAlignment="1">
      <alignment horizontal="center"/>
    </xf>
    <xf numFmtId="0" fontId="9" fillId="9" borderId="2" xfId="0" applyFont="1" applyFill="1" applyBorder="1"/>
    <xf numFmtId="0" fontId="9" fillId="9" borderId="2" xfId="0" applyFont="1" applyFill="1" applyBorder="1" applyAlignment="1">
      <alignment horizontal="center"/>
    </xf>
    <xf numFmtId="0" fontId="10" fillId="10" borderId="2" xfId="0" applyFont="1" applyFill="1" applyBorder="1"/>
    <xf numFmtId="0" fontId="10" fillId="10" borderId="2" xfId="0" applyFont="1" applyFill="1" applyBorder="1" applyAlignment="1">
      <alignment horizontal="center"/>
    </xf>
    <xf numFmtId="0" fontId="10" fillId="6" borderId="2" xfId="0" applyFont="1" applyFill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11" fillId="0" borderId="2" xfId="0" applyFont="1" applyBorder="1"/>
    <xf numFmtId="0" fontId="12" fillId="7" borderId="2" xfId="0" applyFont="1" applyFill="1" applyBorder="1" applyAlignment="1">
      <alignment horizontal="center"/>
    </xf>
    <xf numFmtId="2" fontId="6" fillId="7" borderId="2" xfId="0" applyNumberFormat="1" applyFont="1" applyFill="1" applyBorder="1" applyAlignment="1">
      <alignment horizontal="center"/>
    </xf>
    <xf numFmtId="1" fontId="7" fillId="6" borderId="2" xfId="0" applyNumberFormat="1" applyFont="1" applyFill="1" applyBorder="1" applyAlignment="1">
      <alignment horizontal="center"/>
    </xf>
    <xf numFmtId="2" fontId="7" fillId="6" borderId="2" xfId="0" applyNumberFormat="1" applyFont="1" applyFill="1" applyBorder="1" applyAlignment="1">
      <alignment horizontal="center"/>
    </xf>
    <xf numFmtId="0" fontId="10" fillId="9" borderId="2" xfId="0" applyFont="1" applyFill="1" applyBorder="1"/>
    <xf numFmtId="2" fontId="9" fillId="9" borderId="2" xfId="0" applyNumberFormat="1" applyFont="1" applyFill="1" applyBorder="1" applyAlignment="1">
      <alignment horizontal="center"/>
    </xf>
    <xf numFmtId="0" fontId="13" fillId="5" borderId="2" xfId="0" applyFont="1" applyFill="1" applyBorder="1"/>
    <xf numFmtId="2" fontId="13" fillId="5" borderId="2" xfId="0" applyNumberFormat="1" applyFont="1" applyFill="1" applyBorder="1" applyAlignment="1">
      <alignment horizontal="center"/>
    </xf>
    <xf numFmtId="0" fontId="10" fillId="6" borderId="2" xfId="0" applyFont="1" applyFill="1" applyBorder="1"/>
    <xf numFmtId="0" fontId="2" fillId="3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/>
    </xf>
    <xf numFmtId="9" fontId="6" fillId="7" borderId="2" xfId="0" applyNumberFormat="1" applyFont="1" applyFill="1" applyBorder="1" applyAlignment="1">
      <alignment horizontal="center"/>
    </xf>
    <xf numFmtId="165" fontId="7" fillId="6" borderId="2" xfId="0" applyNumberFormat="1" applyFont="1" applyFill="1" applyBorder="1" applyAlignment="1">
      <alignment horizontal="center"/>
    </xf>
    <xf numFmtId="2" fontId="5" fillId="5" borderId="2" xfId="0" applyNumberFormat="1" applyFont="1" applyFill="1" applyBorder="1" applyAlignment="1">
      <alignment horizontal="center"/>
    </xf>
    <xf numFmtId="0" fontId="10" fillId="9" borderId="2" xfId="0" applyFont="1" applyFill="1" applyBorder="1" applyAlignment="1">
      <alignment vertical="top" wrapText="1"/>
    </xf>
    <xf numFmtId="0" fontId="10" fillId="5" borderId="2" xfId="0" applyFont="1" applyFill="1" applyBorder="1" applyAlignment="1">
      <alignment vertical="top" wrapText="1"/>
    </xf>
    <xf numFmtId="0" fontId="8" fillId="8" borderId="2" xfId="0" applyFont="1" applyFill="1" applyBorder="1" applyAlignment="1">
      <alignment vertical="top" wrapText="1"/>
    </xf>
    <xf numFmtId="0" fontId="16" fillId="0" borderId="2" xfId="0" applyFont="1" applyBorder="1"/>
    <xf numFmtId="0" fontId="14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4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7" fillId="13" borderId="0" xfId="0" applyFont="1" applyFill="1" applyAlignment="1">
      <alignment horizontal="center"/>
    </xf>
    <xf numFmtId="0" fontId="0" fillId="13" borderId="0" xfId="0" applyFill="1"/>
    <xf numFmtId="0" fontId="18" fillId="14" borderId="0" xfId="0" applyFont="1" applyFill="1" applyAlignment="1">
      <alignment horizontal="center"/>
    </xf>
    <xf numFmtId="0" fontId="0" fillId="14" borderId="0" xfId="0" applyFill="1"/>
    <xf numFmtId="0" fontId="19" fillId="0" borderId="0" xfId="0" applyFont="1"/>
    <xf numFmtId="0" fontId="22" fillId="0" borderId="0" xfId="0" applyFont="1"/>
    <xf numFmtId="0" fontId="0" fillId="0" borderId="0" xfId="0" applyAlignment="1">
      <alignment wrapText="1"/>
    </xf>
    <xf numFmtId="0" fontId="18" fillId="19" borderId="0" xfId="0" applyFont="1" applyFill="1" applyAlignment="1">
      <alignment horizontal="center"/>
    </xf>
    <xf numFmtId="0" fontId="0" fillId="19" borderId="0" xfId="0" applyFill="1"/>
    <xf numFmtId="2" fontId="23" fillId="17" borderId="2" xfId="0" applyNumberFormat="1" applyFont="1" applyFill="1" applyBorder="1" applyAlignment="1">
      <alignment horizontal="center"/>
    </xf>
    <xf numFmtId="0" fontId="23" fillId="17" borderId="2" xfId="0" applyFont="1" applyFill="1" applyBorder="1" applyAlignment="1">
      <alignment horizontal="center"/>
    </xf>
    <xf numFmtId="2" fontId="24" fillId="17" borderId="2" xfId="0" applyNumberFormat="1" applyFont="1" applyFill="1" applyBorder="1" applyAlignment="1">
      <alignment horizontal="center"/>
    </xf>
    <xf numFmtId="2" fontId="25" fillId="17" borderId="2" xfId="0" applyNumberFormat="1" applyFont="1" applyFill="1" applyBorder="1" applyAlignment="1">
      <alignment horizontal="center"/>
    </xf>
    <xf numFmtId="2" fontId="21" fillId="18" borderId="2" xfId="0" applyNumberFormat="1" applyFont="1" applyFill="1" applyBorder="1" applyAlignment="1">
      <alignment horizontal="center"/>
    </xf>
    <xf numFmtId="0" fontId="21" fillId="18" borderId="2" xfId="0" applyFont="1" applyFill="1" applyBorder="1" applyAlignment="1">
      <alignment horizontal="center"/>
    </xf>
    <xf numFmtId="2" fontId="24" fillId="18" borderId="2" xfId="0" applyNumberFormat="1" applyFont="1" applyFill="1" applyBorder="1" applyAlignment="1">
      <alignment horizontal="center"/>
    </xf>
    <xf numFmtId="2" fontId="21" fillId="15" borderId="2" xfId="0" applyNumberFormat="1" applyFont="1" applyFill="1" applyBorder="1" applyAlignment="1">
      <alignment horizontal="center"/>
    </xf>
    <xf numFmtId="0" fontId="21" fillId="15" borderId="2" xfId="0" applyFont="1" applyFill="1" applyBorder="1" applyAlignment="1">
      <alignment horizontal="center"/>
    </xf>
    <xf numFmtId="2" fontId="24" fillId="15" borderId="2" xfId="0" applyNumberFormat="1" applyFont="1" applyFill="1" applyBorder="1" applyAlignment="1">
      <alignment horizontal="center"/>
    </xf>
    <xf numFmtId="0" fontId="18" fillId="13" borderId="2" xfId="0" applyFont="1" applyFill="1" applyBorder="1" applyAlignment="1">
      <alignment horizontal="center" wrapText="1"/>
    </xf>
    <xf numFmtId="0" fontId="26" fillId="17" borderId="2" xfId="0" applyFont="1" applyFill="1" applyBorder="1" applyAlignment="1">
      <alignment horizontal="center"/>
    </xf>
    <xf numFmtId="166" fontId="28" fillId="18" borderId="2" xfId="0" applyNumberFormat="1" applyFont="1" applyFill="1" applyBorder="1" applyAlignment="1">
      <alignment horizontal="center"/>
    </xf>
    <xf numFmtId="166" fontId="28" fillId="15" borderId="2" xfId="0" applyNumberFormat="1" applyFont="1" applyFill="1" applyBorder="1" applyAlignment="1">
      <alignment horizontal="center"/>
    </xf>
    <xf numFmtId="0" fontId="19" fillId="0" borderId="3" xfId="0" applyFont="1" applyBorder="1"/>
    <xf numFmtId="0" fontId="19" fillId="0" borderId="4" xfId="0" applyFont="1" applyBorder="1"/>
    <xf numFmtId="0" fontId="21" fillId="16" borderId="2" xfId="0" applyFont="1" applyFill="1" applyBorder="1" applyAlignment="1">
      <alignment horizontal="center"/>
    </xf>
    <xf numFmtId="2" fontId="21" fillId="16" borderId="2" xfId="0" applyNumberFormat="1" applyFont="1" applyFill="1" applyBorder="1" applyAlignment="1">
      <alignment horizontal="center"/>
    </xf>
    <xf numFmtId="9" fontId="21" fillId="16" borderId="2" xfId="0" applyNumberFormat="1" applyFont="1" applyFill="1" applyBorder="1" applyAlignment="1">
      <alignment horizontal="center"/>
    </xf>
    <xf numFmtId="0" fontId="20" fillId="15" borderId="2" xfId="0" applyFont="1" applyFill="1" applyBorder="1"/>
    <xf numFmtId="0" fontId="19" fillId="0" borderId="2" xfId="0" applyFont="1" applyBorder="1"/>
    <xf numFmtId="0" fontId="0" fillId="0" borderId="2" xfId="0" applyBorder="1"/>
    <xf numFmtId="0" fontId="29" fillId="0" borderId="0" xfId="0" applyFont="1" applyBorder="1" applyAlignment="1">
      <alignment wrapText="1"/>
    </xf>
    <xf numFmtId="0" fontId="22" fillId="0" borderId="0" xfId="0" applyFont="1" applyAlignment="1">
      <alignment wrapText="1"/>
    </xf>
    <xf numFmtId="0" fontId="30" fillId="16" borderId="2" xfId="0" applyFont="1" applyFill="1" applyBorder="1" applyAlignment="1">
      <alignment vertical="top" wrapText="1"/>
    </xf>
    <xf numFmtId="0" fontId="22" fillId="0" borderId="2" xfId="0" applyFont="1" applyBorder="1" applyAlignment="1">
      <alignment vertical="top" wrapText="1"/>
    </xf>
    <xf numFmtId="0" fontId="31" fillId="18" borderId="0" xfId="0" applyFont="1" applyFill="1"/>
    <xf numFmtId="0" fontId="22" fillId="0" borderId="2" xfId="0" applyFont="1" applyFill="1" applyBorder="1" applyAlignment="1">
      <alignment vertical="top" wrapText="1"/>
    </xf>
    <xf numFmtId="0" fontId="30" fillId="16" borderId="11" xfId="0" applyFont="1" applyFill="1" applyBorder="1" applyAlignment="1">
      <alignment vertical="top" wrapText="1"/>
    </xf>
    <xf numFmtId="0" fontId="22" fillId="0" borderId="11" xfId="0" applyFont="1" applyBorder="1" applyAlignment="1">
      <alignment vertical="top" wrapText="1"/>
    </xf>
    <xf numFmtId="0" fontId="18" fillId="14" borderId="8" xfId="0" applyFont="1" applyFill="1" applyBorder="1" applyAlignment="1">
      <alignment horizontal="center" vertical="center"/>
    </xf>
    <xf numFmtId="0" fontId="32" fillId="14" borderId="8" xfId="0" applyFont="1" applyFill="1" applyBorder="1" applyAlignment="1">
      <alignment horizontal="center" vertical="center"/>
    </xf>
    <xf numFmtId="0" fontId="33" fillId="17" borderId="0" xfId="0" applyFont="1" applyFill="1"/>
    <xf numFmtId="164" fontId="33" fillId="17" borderId="0" xfId="0" applyNumberFormat="1" applyFont="1" applyFill="1" applyAlignment="1">
      <alignment horizontal="center"/>
    </xf>
    <xf numFmtId="0" fontId="0" fillId="17" borderId="0" xfId="0" applyFill="1"/>
    <xf numFmtId="0" fontId="35" fillId="20" borderId="0" xfId="0" applyFont="1" applyFill="1" applyAlignment="1">
      <alignment horizontal="center"/>
    </xf>
    <xf numFmtId="0" fontId="28" fillId="0" borderId="0" xfId="0" applyFont="1"/>
    <xf numFmtId="0" fontId="0" fillId="16" borderId="0" xfId="0" applyFill="1"/>
    <xf numFmtId="0" fontId="37" fillId="0" borderId="0" xfId="0" applyFont="1"/>
    <xf numFmtId="0" fontId="33" fillId="17" borderId="2" xfId="0" applyFont="1" applyFill="1" applyBorder="1"/>
    <xf numFmtId="2" fontId="34" fillId="17" borderId="2" xfId="0" applyNumberFormat="1" applyFont="1" applyFill="1" applyBorder="1" applyAlignment="1">
      <alignment horizontal="center"/>
    </xf>
    <xf numFmtId="0" fontId="35" fillId="20" borderId="2" xfId="0" applyFont="1" applyFill="1" applyBorder="1" applyAlignment="1">
      <alignment horizontal="center"/>
    </xf>
    <xf numFmtId="0" fontId="20" fillId="15" borderId="11" xfId="0" applyFont="1" applyFill="1" applyBorder="1"/>
    <xf numFmtId="0" fontId="35" fillId="20" borderId="11" xfId="0" applyFont="1" applyFill="1" applyBorder="1" applyAlignment="1">
      <alignment horizontal="center"/>
    </xf>
    <xf numFmtId="0" fontId="0" fillId="0" borderId="11" xfId="0" applyBorder="1"/>
    <xf numFmtId="0" fontId="28" fillId="16" borderId="5" xfId="0" applyFont="1" applyFill="1" applyBorder="1"/>
    <xf numFmtId="0" fontId="28" fillId="16" borderId="2" xfId="0" applyFont="1" applyFill="1" applyBorder="1"/>
    <xf numFmtId="0" fontId="0" fillId="16" borderId="2" xfId="0" applyFill="1" applyBorder="1"/>
    <xf numFmtId="0" fontId="28" fillId="16" borderId="11" xfId="0" applyFont="1" applyFill="1" applyBorder="1"/>
    <xf numFmtId="0" fontId="0" fillId="16" borderId="11" xfId="0" applyFill="1" applyBorder="1"/>
    <xf numFmtId="0" fontId="19" fillId="0" borderId="5" xfId="0" applyFont="1" applyBorder="1"/>
    <xf numFmtId="0" fontId="19" fillId="0" borderId="0" xfId="0" applyFont="1" applyBorder="1"/>
    <xf numFmtId="0" fontId="36" fillId="20" borderId="2" xfId="0" applyFont="1" applyFill="1" applyBorder="1" applyAlignment="1">
      <alignment horizontal="center"/>
    </xf>
    <xf numFmtId="1" fontId="36" fillId="20" borderId="2" xfId="0" applyNumberFormat="1" applyFont="1" applyFill="1" applyBorder="1" applyAlignment="1">
      <alignment horizontal="center"/>
    </xf>
    <xf numFmtId="0" fontId="22" fillId="0" borderId="2" xfId="0" applyFont="1" applyBorder="1"/>
    <xf numFmtId="0" fontId="20" fillId="16" borderId="2" xfId="0" applyFont="1" applyFill="1" applyBorder="1"/>
    <xf numFmtId="0" fontId="19" fillId="16" borderId="2" xfId="0" applyFont="1" applyFill="1" applyBorder="1"/>
    <xf numFmtId="0" fontId="20" fillId="21" borderId="2" xfId="0" applyFont="1" applyFill="1" applyBorder="1"/>
    <xf numFmtId="2" fontId="37" fillId="21" borderId="2" xfId="0" applyNumberFormat="1" applyFont="1" applyFill="1" applyBorder="1" applyAlignment="1">
      <alignment horizontal="center"/>
    </xf>
    <xf numFmtId="0" fontId="19" fillId="21" borderId="2" xfId="0" applyFont="1" applyFill="1" applyBorder="1"/>
    <xf numFmtId="0" fontId="20" fillId="21" borderId="11" xfId="0" applyFont="1" applyFill="1" applyBorder="1"/>
    <xf numFmtId="2" fontId="37" fillId="21" borderId="11" xfId="0" applyNumberFormat="1" applyFont="1" applyFill="1" applyBorder="1" applyAlignment="1">
      <alignment horizontal="center"/>
    </xf>
    <xf numFmtId="0" fontId="19" fillId="21" borderId="11" xfId="0" applyFont="1" applyFill="1" applyBorder="1"/>
    <xf numFmtId="2" fontId="38" fillId="16" borderId="4" xfId="0" applyNumberFormat="1" applyFont="1" applyFill="1" applyBorder="1" applyAlignment="1">
      <alignment horizontal="center"/>
    </xf>
    <xf numFmtId="9" fontId="36" fillId="20" borderId="2" xfId="0" applyNumberFormat="1" applyFont="1" applyFill="1" applyBorder="1" applyAlignment="1">
      <alignment horizontal="center"/>
    </xf>
    <xf numFmtId="0" fontId="21" fillId="16" borderId="2" xfId="0" applyFont="1" applyFill="1" applyBorder="1"/>
    <xf numFmtId="2" fontId="38" fillId="16" borderId="2" xfId="0" applyNumberFormat="1" applyFont="1" applyFill="1" applyBorder="1" applyAlignment="1">
      <alignment horizontal="center"/>
    </xf>
    <xf numFmtId="0" fontId="28" fillId="16" borderId="0" xfId="0" applyFont="1" applyFill="1" applyBorder="1"/>
    <xf numFmtId="2" fontId="36" fillId="20" borderId="2" xfId="0" applyNumberFormat="1" applyFont="1" applyFill="1" applyBorder="1" applyAlignment="1">
      <alignment horizontal="center"/>
    </xf>
    <xf numFmtId="2" fontId="33" fillId="17" borderId="2" xfId="0" applyNumberFormat="1" applyFont="1" applyFill="1" applyBorder="1" applyAlignment="1">
      <alignment horizontal="center"/>
    </xf>
    <xf numFmtId="0" fontId="20" fillId="17" borderId="2" xfId="0" applyFont="1" applyFill="1" applyBorder="1"/>
    <xf numFmtId="0" fontId="37" fillId="21" borderId="2" xfId="0" applyFont="1" applyFill="1" applyBorder="1"/>
    <xf numFmtId="2" fontId="39" fillId="21" borderId="2" xfId="0" applyNumberFormat="1" applyFont="1" applyFill="1" applyBorder="1" applyAlignment="1">
      <alignment horizontal="center"/>
    </xf>
    <xf numFmtId="1" fontId="21" fillId="16" borderId="2" xfId="0" applyNumberFormat="1" applyFont="1" applyFill="1" applyBorder="1" applyAlignment="1">
      <alignment horizontal="center"/>
    </xf>
    <xf numFmtId="0" fontId="34" fillId="17" borderId="2" xfId="0" applyFont="1" applyFill="1" applyBorder="1"/>
    <xf numFmtId="165" fontId="21" fillId="16" borderId="2" xfId="0" applyNumberFormat="1" applyFont="1" applyFill="1" applyBorder="1" applyAlignment="1">
      <alignment horizontal="center"/>
    </xf>
    <xf numFmtId="0" fontId="40" fillId="17" borderId="2" xfId="0" applyFont="1" applyFill="1" applyBorder="1" applyAlignment="1">
      <alignment vertical="top" wrapText="1"/>
    </xf>
    <xf numFmtId="0" fontId="41" fillId="14" borderId="0" xfId="0" applyFont="1" applyFill="1" applyAlignment="1">
      <alignment horizontal="center"/>
    </xf>
    <xf numFmtId="2" fontId="19" fillId="0" borderId="4" xfId="0" applyNumberFormat="1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9" fontId="19" fillId="0" borderId="2" xfId="0" applyNumberFormat="1" applyFont="1" applyBorder="1" applyAlignment="1">
      <alignment horizontal="center"/>
    </xf>
    <xf numFmtId="2" fontId="19" fillId="0" borderId="2" xfId="0" applyNumberFormat="1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18" fillId="13" borderId="2" xfId="0" applyFont="1" applyFill="1" applyBorder="1" applyAlignment="1">
      <alignment horizontal="center"/>
    </xf>
    <xf numFmtId="0" fontId="0" fillId="13" borderId="2" xfId="0" applyFill="1" applyBorder="1"/>
    <xf numFmtId="2" fontId="41" fillId="13" borderId="2" xfId="0" applyNumberFormat="1" applyFont="1" applyFill="1" applyBorder="1" applyAlignment="1">
      <alignment horizontal="center"/>
    </xf>
    <xf numFmtId="0" fontId="41" fillId="13" borderId="2" xfId="0" applyFont="1" applyFill="1" applyBorder="1" applyAlignment="1">
      <alignment horizontal="center"/>
    </xf>
    <xf numFmtId="0" fontId="20" fillId="0" borderId="2" xfId="0" applyFont="1" applyBorder="1" applyAlignment="1">
      <alignment horizontal="center"/>
    </xf>
    <xf numFmtId="2" fontId="42" fillId="0" borderId="2" xfId="0" applyNumberFormat="1" applyFont="1" applyBorder="1" applyAlignment="1">
      <alignment horizontal="center"/>
    </xf>
    <xf numFmtId="2" fontId="27" fillId="0" borderId="2" xfId="0" applyNumberFormat="1" applyFont="1" applyBorder="1" applyAlignment="1">
      <alignment horizontal="center"/>
    </xf>
    <xf numFmtId="2" fontId="43" fillId="0" borderId="2" xfId="0" applyNumberFormat="1" applyFont="1" applyBorder="1" applyAlignment="1">
      <alignment horizontal="center"/>
    </xf>
    <xf numFmtId="0" fontId="35" fillId="15" borderId="2" xfId="0" applyFont="1" applyFill="1" applyBorder="1"/>
    <xf numFmtId="0" fontId="35" fillId="18" borderId="2" xfId="0" applyFont="1" applyFill="1" applyBorder="1"/>
    <xf numFmtId="0" fontId="33" fillId="17" borderId="0" xfId="0" applyFont="1" applyFill="1" applyAlignment="1">
      <alignment horizontal="center"/>
    </xf>
    <xf numFmtId="0" fontId="44" fillId="15" borderId="0" xfId="0" applyFont="1" applyFill="1" applyAlignment="1">
      <alignment horizontal="center"/>
    </xf>
    <xf numFmtId="0" fontId="22" fillId="18" borderId="0" xfId="0" applyFont="1" applyFill="1"/>
    <xf numFmtId="0" fontId="0" fillId="0" borderId="0" xfId="0"/>
    <xf numFmtId="0" fontId="0" fillId="13" borderId="0" xfId="0" applyFill="1"/>
    <xf numFmtId="0" fontId="45" fillId="13" borderId="0" xfId="0" applyFont="1" applyFill="1" applyAlignment="1">
      <alignment horizontal="center"/>
    </xf>
    <xf numFmtId="0" fontId="46" fillId="0" borderId="0" xfId="0" applyFont="1" applyAlignment="1">
      <alignment horizontal="center"/>
    </xf>
    <xf numFmtId="0" fontId="47" fillId="14" borderId="0" xfId="0" applyFont="1" applyFill="1"/>
    <xf numFmtId="0" fontId="0" fillId="14" borderId="0" xfId="0" applyFill="1"/>
    <xf numFmtId="0" fontId="20" fillId="0" borderId="3" xfId="0" applyFont="1" applyBorder="1"/>
    <xf numFmtId="0" fontId="19" fillId="0" borderId="3" xfId="0" applyFont="1" applyBorder="1" applyAlignment="1">
      <alignment horizontal="center"/>
    </xf>
    <xf numFmtId="0" fontId="20" fillId="0" borderId="4" xfId="0" applyFont="1" applyBorder="1"/>
    <xf numFmtId="1" fontId="19" fillId="0" borderId="4" xfId="0" applyNumberFormat="1" applyFont="1" applyBorder="1" applyAlignment="1">
      <alignment horizontal="center"/>
    </xf>
    <xf numFmtId="0" fontId="20" fillId="0" borderId="5" xfId="0" applyFont="1" applyBorder="1"/>
    <xf numFmtId="2" fontId="19" fillId="0" borderId="5" xfId="0" applyNumberFormat="1" applyFont="1" applyBorder="1" applyAlignment="1">
      <alignment horizontal="center"/>
    </xf>
    <xf numFmtId="0" fontId="19" fillId="16" borderId="5" xfId="0" applyFont="1" applyFill="1" applyBorder="1"/>
    <xf numFmtId="2" fontId="38" fillId="16" borderId="5" xfId="0" applyNumberFormat="1" applyFont="1" applyFill="1" applyBorder="1" applyAlignment="1">
      <alignment horizontal="center"/>
    </xf>
    <xf numFmtId="2" fontId="19" fillId="0" borderId="3" xfId="0" applyNumberFormat="1" applyFont="1" applyBorder="1" applyAlignment="1">
      <alignment horizontal="center"/>
    </xf>
    <xf numFmtId="0" fontId="42" fillId="0" borderId="5" xfId="0" applyFont="1" applyBorder="1" applyAlignment="1">
      <alignment horizontal="center"/>
    </xf>
    <xf numFmtId="0" fontId="20" fillId="16" borderId="4" xfId="0" applyFont="1" applyFill="1" applyBorder="1"/>
    <xf numFmtId="0" fontId="19" fillId="16" borderId="4" xfId="0" applyFont="1" applyFill="1" applyBorder="1"/>
    <xf numFmtId="165" fontId="28" fillId="16" borderId="4" xfId="0" applyNumberFormat="1" applyFont="1" applyFill="1" applyBorder="1" applyAlignment="1">
      <alignment horizontal="center"/>
    </xf>
    <xf numFmtId="0" fontId="18" fillId="22" borderId="6" xfId="0" applyFont="1" applyFill="1" applyBorder="1" applyAlignment="1">
      <alignment horizontal="left"/>
    </xf>
    <xf numFmtId="0" fontId="18" fillId="22" borderId="7" xfId="0" applyFont="1" applyFill="1" applyBorder="1" applyAlignment="1">
      <alignment horizontal="center"/>
    </xf>
    <xf numFmtId="0" fontId="18" fillId="22" borderId="8" xfId="0" applyFont="1" applyFill="1" applyBorder="1" applyAlignment="1">
      <alignment horizontal="center"/>
    </xf>
    <xf numFmtId="0" fontId="20" fillId="0" borderId="9" xfId="0" applyFont="1" applyBorder="1"/>
    <xf numFmtId="2" fontId="19" fillId="0" borderId="1" xfId="0" applyNumberFormat="1" applyFont="1" applyBorder="1" applyAlignment="1">
      <alignment horizontal="center"/>
    </xf>
    <xf numFmtId="0" fontId="20" fillId="23" borderId="9" xfId="0" applyFont="1" applyFill="1" applyBorder="1"/>
    <xf numFmtId="0" fontId="19" fillId="23" borderId="2" xfId="0" applyFont="1" applyFill="1" applyBorder="1" applyAlignment="1">
      <alignment horizontal="center"/>
    </xf>
    <xf numFmtId="2" fontId="19" fillId="23" borderId="2" xfId="0" applyNumberFormat="1" applyFont="1" applyFill="1" applyBorder="1" applyAlignment="1">
      <alignment horizontal="center"/>
    </xf>
    <xf numFmtId="2" fontId="19" fillId="23" borderId="1" xfId="0" applyNumberFormat="1" applyFont="1" applyFill="1" applyBorder="1" applyAlignment="1">
      <alignment horizontal="center"/>
    </xf>
    <xf numFmtId="0" fontId="20" fillId="23" borderId="10" xfId="0" applyFont="1" applyFill="1" applyBorder="1"/>
    <xf numFmtId="0" fontId="19" fillId="23" borderId="11" xfId="0" applyFont="1" applyFill="1" applyBorder="1" applyAlignment="1">
      <alignment horizontal="center"/>
    </xf>
    <xf numFmtId="2" fontId="19" fillId="23" borderId="11" xfId="0" applyNumberFormat="1" applyFont="1" applyFill="1" applyBorder="1" applyAlignment="1">
      <alignment horizontal="center"/>
    </xf>
    <xf numFmtId="2" fontId="19" fillId="23" borderId="12" xfId="0" applyNumberFormat="1" applyFont="1" applyFill="1" applyBorder="1" applyAlignment="1">
      <alignment horizontal="center"/>
    </xf>
    <xf numFmtId="0" fontId="28" fillId="16" borderId="13" xfId="0" applyFont="1" applyFill="1" applyBorder="1"/>
    <xf numFmtId="2" fontId="28" fillId="16" borderId="13" xfId="0" applyNumberFormat="1" applyFont="1" applyFill="1" applyBorder="1" applyAlignment="1">
      <alignment horizontal="center"/>
    </xf>
    <xf numFmtId="0" fontId="35" fillId="0" borderId="9" xfId="0" applyFont="1" applyBorder="1"/>
    <xf numFmtId="0" fontId="19" fillId="0" borderId="1" xfId="0" applyFont="1" applyBorder="1" applyAlignment="1">
      <alignment horizontal="center"/>
    </xf>
    <xf numFmtId="0" fontId="35" fillId="23" borderId="9" xfId="0" applyFont="1" applyFill="1" applyBorder="1"/>
    <xf numFmtId="0" fontId="19" fillId="23" borderId="1" xfId="0" applyFont="1" applyFill="1" applyBorder="1" applyAlignment="1">
      <alignment horizontal="center"/>
    </xf>
    <xf numFmtId="0" fontId="35" fillId="23" borderId="10" xfId="0" applyFont="1" applyFill="1" applyBorder="1"/>
    <xf numFmtId="0" fontId="19" fillId="23" borderId="12" xfId="0" applyFont="1" applyFill="1" applyBorder="1" applyAlignment="1">
      <alignment horizontal="center"/>
    </xf>
    <xf numFmtId="0" fontId="28" fillId="16" borderId="13" xfId="0" applyFont="1" applyFill="1" applyBorder="1" applyAlignment="1">
      <alignment horizontal="center"/>
    </xf>
    <xf numFmtId="0" fontId="48" fillId="0" borderId="0" xfId="0" applyFont="1" applyAlignment="1">
      <alignment wrapText="1"/>
    </xf>
    <xf numFmtId="0" fontId="20" fillId="24" borderId="5" xfId="0" applyFont="1" applyFill="1" applyBorder="1"/>
    <xf numFmtId="0" fontId="19" fillId="24" borderId="5" xfId="0" applyFont="1" applyFill="1" applyBorder="1"/>
    <xf numFmtId="2" fontId="49" fillId="24" borderId="5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50" fillId="0" borderId="0" xfId="0" applyFont="1" applyAlignment="1">
      <alignment wrapText="1"/>
    </xf>
    <xf numFmtId="0" fontId="19" fillId="0" borderId="14" xfId="0" applyFont="1" applyBorder="1"/>
    <xf numFmtId="0" fontId="50" fillId="0" borderId="14" xfId="0" applyFont="1" applyBorder="1" applyAlignment="1">
      <alignment wrapText="1"/>
    </xf>
    <xf numFmtId="0" fontId="0" fillId="0" borderId="14" xfId="0" applyBorder="1"/>
    <xf numFmtId="0" fontId="3" fillId="0" borderId="0" xfId="0" applyFont="1" applyBorder="1"/>
    <xf numFmtId="0" fontId="44" fillId="16" borderId="11" xfId="0" applyFont="1" applyFill="1" applyBorder="1" applyAlignment="1">
      <alignment vertical="top" wrapText="1"/>
    </xf>
    <xf numFmtId="0" fontId="22" fillId="18" borderId="11" xfId="0" applyFont="1" applyFill="1" applyBorder="1" applyAlignment="1">
      <alignment vertical="top" wrapText="1"/>
    </xf>
    <xf numFmtId="0" fontId="44" fillId="16" borderId="2" xfId="0" applyFont="1" applyFill="1" applyBorder="1" applyAlignment="1">
      <alignment vertical="top" wrapText="1"/>
    </xf>
    <xf numFmtId="0" fontId="20" fillId="0" borderId="0" xfId="0" applyFont="1" applyBorder="1"/>
    <xf numFmtId="0" fontId="42" fillId="0" borderId="0" xfId="0" applyFont="1" applyBorder="1" applyAlignment="1">
      <alignment horizontal="center"/>
    </xf>
    <xf numFmtId="0" fontId="51" fillId="0" borderId="0" xfId="0" applyFont="1" applyBorder="1" applyAlignment="1">
      <alignment horizontal="center"/>
    </xf>
    <xf numFmtId="0" fontId="51" fillId="0" borderId="0" xfId="0" applyFont="1" applyBorder="1"/>
    <xf numFmtId="2" fontId="42" fillId="0" borderId="0" xfId="0" applyNumberFormat="1" applyFont="1" applyBorder="1" applyAlignment="1">
      <alignment horizontal="center"/>
    </xf>
    <xf numFmtId="2" fontId="19" fillId="0" borderId="0" xfId="0" applyNumberFormat="1" applyFont="1" applyBorder="1"/>
    <xf numFmtId="2" fontId="28" fillId="16" borderId="0" xfId="0" applyNumberFormat="1" applyFont="1" applyFill="1" applyBorder="1" applyAlignment="1">
      <alignment horizontal="center"/>
    </xf>
    <xf numFmtId="0" fontId="52" fillId="25" borderId="0" xfId="0" applyFont="1" applyFill="1"/>
    <xf numFmtId="0" fontId="53" fillId="16" borderId="0" xfId="0" applyFont="1" applyFill="1" applyBorder="1"/>
    <xf numFmtId="2" fontId="54" fillId="16" borderId="0" xfId="0" applyNumberFormat="1" applyFont="1" applyFill="1" applyBorder="1" applyAlignment="1">
      <alignment horizontal="center"/>
    </xf>
    <xf numFmtId="0" fontId="28" fillId="16" borderId="14" xfId="0" applyFont="1" applyFill="1" applyBorder="1"/>
    <xf numFmtId="0" fontId="28" fillId="16" borderId="14" xfId="0" applyFont="1" applyFill="1" applyBorder="1" applyAlignment="1">
      <alignment horizontal="center"/>
    </xf>
    <xf numFmtId="0" fontId="28" fillId="16" borderId="15" xfId="0" applyFont="1" applyFill="1" applyBorder="1"/>
    <xf numFmtId="1" fontId="28" fillId="16" borderId="15" xfId="0" applyNumberFormat="1" applyFont="1" applyFill="1" applyBorder="1" applyAlignment="1">
      <alignment horizontal="center"/>
    </xf>
    <xf numFmtId="0" fontId="28" fillId="16" borderId="16" xfId="0" applyFont="1" applyFill="1" applyBorder="1"/>
    <xf numFmtId="0" fontId="28" fillId="16" borderId="16" xfId="0" applyFont="1" applyFill="1" applyBorder="1" applyAlignment="1">
      <alignment horizontal="center"/>
    </xf>
    <xf numFmtId="9" fontId="28" fillId="16" borderId="15" xfId="0" applyNumberFormat="1" applyFont="1" applyFill="1" applyBorder="1" applyAlignment="1">
      <alignment horizontal="center"/>
    </xf>
    <xf numFmtId="0" fontId="48" fillId="0" borderId="0" xfId="0" applyFont="1" applyAlignment="1">
      <alignment wrapText="1"/>
    </xf>
    <xf numFmtId="0" fontId="55" fillId="14" borderId="0" xfId="0" applyFont="1" applyFill="1"/>
    <xf numFmtId="0" fontId="56" fillId="26" borderId="0" xfId="0" applyFont="1" applyFill="1" applyAlignment="1">
      <alignment wrapText="1"/>
    </xf>
  </cellXfs>
  <cellStyles count="1">
    <cellStyle name="Normal" xfId="0" builtinId="0"/>
  </cellStyles>
  <dxfs count="8">
    <dxf>
      <font>
        <color rgb="FF888888"/>
      </font>
    </dxf>
    <dxf>
      <font>
        <color rgb="FF006100"/>
      </font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888888"/>
      </font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95C"/>
      <rgbColor rgb="FFCCCCCC"/>
      <rgbColor rgb="FF888888"/>
      <rgbColor rgb="FF9999FF"/>
      <rgbColor rgb="FF9C27B0"/>
      <rgbColor rgb="FFFFF2CC"/>
      <rgbColor rgb="FFE8F5E9"/>
      <rgbColor rgb="FF660066"/>
      <rgbColor rgb="FFF44336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1565C0"/>
      <rgbColor rgb="FF0000FF"/>
      <rgbColor rgb="FF00CCFF"/>
      <rgbColor rgb="FFF2F2F2"/>
      <rgbColor rgb="FFCCFFCC"/>
      <rgbColor rgb="FFFFF3E0"/>
      <rgbColor rgb="FF99CCFF"/>
      <rgbColor rgb="FFFF99CC"/>
      <rgbColor rgb="FFCC99FF"/>
      <rgbColor rgb="FFFCE4EC"/>
      <rgbColor rgb="FF4472C4"/>
      <rgbColor rgb="FF33CCCC"/>
      <rgbColor rgb="FF99CC00"/>
      <rgbColor rgb="FFFFCC00"/>
      <rgbColor rgb="FFFF9800"/>
      <rgbColor rgb="FFE65100"/>
      <rgbColor rgb="FF607D8B"/>
      <rgbColor rgb="FF969696"/>
      <rgbColor rgb="FF1B3A5C"/>
      <rgbColor rgb="FF2E7D32"/>
      <rgbColor rgb="FF003300"/>
      <rgbColor rgb="FF333300"/>
      <rgbColor rgb="FFB71C1C"/>
      <rgbColor rgb="FFC62828"/>
      <rgbColor rgb="FF2C5F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B3A5C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Pool Capacity Utilization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B3A5C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'Final Report'!$C$26</c:f>
              <c:strCache>
                <c:ptCount val="1"/>
                <c:pt idx="0">
                  <c:v>Used</c:v>
                </c:pt>
              </c:strCache>
            </c:strRef>
          </c:tx>
          <c:spPr>
            <a:solidFill>
              <a:srgbClr val="C0504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Report'!$B$27</c:f>
              <c:strCache>
                <c:ptCount val="1"/>
                <c:pt idx="0">
                  <c:v>Pool Capacity</c:v>
                </c:pt>
              </c:strCache>
            </c:strRef>
          </c:cat>
          <c:val>
            <c:numRef>
              <c:f>'Final Report'!$C$27</c:f>
              <c:numCache>
                <c:formatCode>0.00</c:formatCode>
                <c:ptCount val="1"/>
                <c:pt idx="0">
                  <c:v>32.07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D1-4F4B-94FE-FE0861B9E71A}"/>
            </c:ext>
          </c:extLst>
        </c:ser>
        <c:ser>
          <c:idx val="1"/>
          <c:order val="1"/>
          <c:tx>
            <c:strRef>
              <c:f>'Final Report'!$D$26</c:f>
              <c:strCache>
                <c:ptCount val="1"/>
                <c:pt idx="0">
                  <c:v>Remaining</c:v>
                </c:pt>
              </c:strCache>
            </c:strRef>
          </c:tx>
          <c:spPr>
            <a:solidFill>
              <a:srgbClr val="9BBB59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Report'!$B$27</c:f>
              <c:strCache>
                <c:ptCount val="1"/>
                <c:pt idx="0">
                  <c:v>Pool Capacity</c:v>
                </c:pt>
              </c:strCache>
            </c:strRef>
          </c:cat>
          <c:val>
            <c:numRef>
              <c:f>'Final Report'!$D$27</c:f>
              <c:numCache>
                <c:formatCode>0.00</c:formatCode>
                <c:ptCount val="1"/>
                <c:pt idx="0">
                  <c:v>9.5736000000000061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D1-4F4B-94FE-FE0861B9E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40404271"/>
        <c:axId val="1340406191"/>
      </c:barChart>
      <c:catAx>
        <c:axId val="13404042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0406191"/>
        <c:crosses val="autoZero"/>
        <c:auto val="1"/>
        <c:lblAlgn val="ctr"/>
        <c:lblOffset val="100"/>
        <c:noMultiLvlLbl val="0"/>
      </c:catAx>
      <c:valAx>
        <c:axId val="1340406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0404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206375</xdr:colOff>
      <xdr:row>27</xdr:row>
      <xdr:rowOff>0</xdr:rowOff>
    </xdr:from>
    <xdr:to>
      <xdr:col>4</xdr:col>
      <xdr:colOff>682625</xdr:colOff>
      <xdr:row>35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43B70B-026B-358A-0F1D-211DEFAC31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8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352-A4A0-4D33-BC08-85BCD6DF4DC0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learn.microsoft.com/en-us/azure/architecture/hybrid/azure-local-baseline" TargetMode="External"/><Relationship Id="rId3" Type="http://schemas.openxmlformats.org/officeDocument/2006/relationships/hyperlink" Target="https://learn.microsoft.com/en-us/windows-server/storage/storage-spaces/storage-spaces-direct-overview" TargetMode="External"/><Relationship Id="rId7" Type="http://schemas.openxmlformats.org/officeDocument/2006/relationships/hyperlink" Target="https://learn.microsoft.com/en-us/azure-stack/hci/manage/thin-provisioning" TargetMode="External"/><Relationship Id="rId2" Type="http://schemas.openxmlformats.org/officeDocument/2006/relationships/hyperlink" Target="https://learn.microsoft.com/en-us/windows-server/storage/storage-spaces/fault-tolerance" TargetMode="External"/><Relationship Id="rId1" Type="http://schemas.openxmlformats.org/officeDocument/2006/relationships/hyperlink" Target="https://learn.microsoft.com/en-us/windows-server/storage/storage-spaces/plan-volumes" TargetMode="External"/><Relationship Id="rId6" Type="http://schemas.openxmlformats.org/officeDocument/2006/relationships/hyperlink" Target="https://learn.microsoft.com/en-us/windows-server/storage/storage-spaces/nested-resiliency" TargetMode="External"/><Relationship Id="rId5" Type="http://schemas.openxmlformats.org/officeDocument/2006/relationships/hyperlink" Target="https://learn.microsoft.com/en-us/windows-server/storage/storage-spaces/cache" TargetMode="External"/><Relationship Id="rId10" Type="http://schemas.openxmlformats.org/officeDocument/2006/relationships/hyperlink" Target="https://learn.microsoft.com/en-us/azure/well-architected/service-guides/azure-local" TargetMode="External"/><Relationship Id="rId4" Type="http://schemas.openxmlformats.org/officeDocument/2006/relationships/hyperlink" Target="https://learn.microsoft.com/en-us/windows-server/storage/storage-spaces/storage-spaces-direct-hardware-requirements" TargetMode="External"/><Relationship Id="rId9" Type="http://schemas.openxmlformats.org/officeDocument/2006/relationships/hyperlink" Target="https://learn.microsoft.com/en-us/azure/azure-local/deploy/deploy-via-por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65C0"/>
  </sheetPr>
  <dimension ref="B2:D48"/>
  <sheetViews>
    <sheetView tabSelected="1" topLeftCell="A9" zoomScaleNormal="100" workbookViewId="0"/>
  </sheetViews>
  <sheetFormatPr defaultColWidth="8.7109375" defaultRowHeight="15" x14ac:dyDescent="0.25"/>
  <cols>
    <col min="1" max="1" width="3" customWidth="1"/>
    <col min="2" max="2" width="6" customWidth="1"/>
    <col min="3" max="3" width="26" customWidth="1"/>
    <col min="4" max="4" width="85" customWidth="1"/>
  </cols>
  <sheetData>
    <row r="2" spans="2:4" ht="18" x14ac:dyDescent="0.25">
      <c r="B2" s="41" t="s">
        <v>0</v>
      </c>
      <c r="C2" s="41"/>
      <c r="D2" s="41"/>
    </row>
    <row r="3" spans="2:4" x14ac:dyDescent="0.25">
      <c r="B3" s="40" t="s">
        <v>1</v>
      </c>
      <c r="C3" s="40"/>
      <c r="D3" s="40"/>
    </row>
    <row r="5" spans="2:4" ht="49.5" customHeight="1" x14ac:dyDescent="0.25">
      <c r="B5" s="44" t="s">
        <v>2</v>
      </c>
      <c r="C5" s="44"/>
      <c r="D5" s="44"/>
    </row>
    <row r="7" spans="2:4" ht="16.5" x14ac:dyDescent="0.25">
      <c r="B7" s="45" t="s">
        <v>3</v>
      </c>
      <c r="C7" s="45"/>
      <c r="D7" s="45"/>
    </row>
    <row r="8" spans="2:4" ht="51.75" customHeight="1" x14ac:dyDescent="0.25">
      <c r="B8" s="1"/>
      <c r="C8" s="2" t="s">
        <v>4</v>
      </c>
      <c r="D8" s="3" t="s">
        <v>5</v>
      </c>
    </row>
    <row r="9" spans="2:4" ht="51.75" customHeight="1" x14ac:dyDescent="0.25">
      <c r="B9" s="1"/>
      <c r="C9" s="4" t="s">
        <v>6</v>
      </c>
      <c r="D9" s="133" t="s">
        <v>419</v>
      </c>
    </row>
    <row r="10" spans="2:4" ht="51.75" customHeight="1" x14ac:dyDescent="0.25">
      <c r="B10" s="1"/>
      <c r="C10" s="4" t="s">
        <v>7</v>
      </c>
      <c r="D10" s="5" t="s">
        <v>8</v>
      </c>
    </row>
    <row r="12" spans="2:4" x14ac:dyDescent="0.25">
      <c r="B12" s="40" t="s">
        <v>9</v>
      </c>
      <c r="C12" s="40"/>
      <c r="D12" s="40"/>
    </row>
    <row r="13" spans="2:4" ht="27.75" customHeight="1" x14ac:dyDescent="0.25">
      <c r="B13" s="6"/>
      <c r="C13" s="7" t="s">
        <v>10</v>
      </c>
      <c r="D13" s="8" t="s">
        <v>11</v>
      </c>
    </row>
    <row r="14" spans="2:4" ht="27.75" customHeight="1" x14ac:dyDescent="0.25">
      <c r="B14" s="9"/>
      <c r="C14" s="2" t="s">
        <v>12</v>
      </c>
      <c r="D14" s="8" t="s">
        <v>13</v>
      </c>
    </row>
    <row r="15" spans="2:4" ht="27.75" customHeight="1" x14ac:dyDescent="0.25">
      <c r="B15" s="10"/>
      <c r="C15" s="11" t="s">
        <v>14</v>
      </c>
      <c r="D15" s="8" t="s">
        <v>15</v>
      </c>
    </row>
    <row r="16" spans="2:4" ht="27.75" customHeight="1" x14ac:dyDescent="0.25">
      <c r="B16" s="12"/>
      <c r="C16" s="13" t="s">
        <v>16</v>
      </c>
      <c r="D16" s="8" t="s">
        <v>17</v>
      </c>
    </row>
    <row r="17" spans="2:4" ht="27.75" customHeight="1" x14ac:dyDescent="0.25">
      <c r="B17" s="14"/>
      <c r="C17" s="15" t="s">
        <v>18</v>
      </c>
      <c r="D17" s="8" t="s">
        <v>19</v>
      </c>
    </row>
    <row r="18" spans="2:4" ht="27.75" customHeight="1" x14ac:dyDescent="0.25">
      <c r="B18" s="16"/>
      <c r="C18" s="17" t="s">
        <v>20</v>
      </c>
      <c r="D18" s="8" t="s">
        <v>21</v>
      </c>
    </row>
    <row r="20" spans="2:4" x14ac:dyDescent="0.25">
      <c r="B20" s="40" t="s">
        <v>22</v>
      </c>
      <c r="C20" s="40"/>
      <c r="D20" s="40"/>
    </row>
    <row r="21" spans="2:4" ht="54.75" customHeight="1" x14ac:dyDescent="0.25">
      <c r="B21" s="1"/>
      <c r="C21" s="81" t="s">
        <v>23</v>
      </c>
      <c r="D21" s="82" t="s">
        <v>24</v>
      </c>
    </row>
    <row r="22" spans="2:4" ht="54.75" customHeight="1" x14ac:dyDescent="0.25">
      <c r="B22" s="1"/>
      <c r="C22" s="81" t="s">
        <v>327</v>
      </c>
      <c r="D22" s="82" t="s">
        <v>328</v>
      </c>
    </row>
    <row r="23" spans="2:4" ht="54.75" customHeight="1" x14ac:dyDescent="0.25">
      <c r="B23" s="1"/>
      <c r="C23" s="81" t="s">
        <v>329</v>
      </c>
      <c r="D23" s="82" t="s">
        <v>420</v>
      </c>
    </row>
    <row r="24" spans="2:4" ht="54.75" customHeight="1" x14ac:dyDescent="0.25">
      <c r="B24" s="1"/>
      <c r="C24" s="81" t="s">
        <v>330</v>
      </c>
      <c r="D24" s="82" t="s">
        <v>25</v>
      </c>
    </row>
    <row r="25" spans="2:4" ht="54.75" customHeight="1" x14ac:dyDescent="0.25">
      <c r="B25" s="1"/>
      <c r="C25" s="81" t="s">
        <v>331</v>
      </c>
      <c r="D25" s="82" t="s">
        <v>26</v>
      </c>
    </row>
    <row r="26" spans="2:4" ht="54.75" customHeight="1" x14ac:dyDescent="0.25">
      <c r="B26" s="1"/>
      <c r="C26" s="81" t="s">
        <v>332</v>
      </c>
      <c r="D26" s="82" t="s">
        <v>27</v>
      </c>
    </row>
    <row r="27" spans="2:4" ht="54.75" customHeight="1" x14ac:dyDescent="0.25">
      <c r="B27" s="1"/>
      <c r="C27" s="85" t="s">
        <v>333</v>
      </c>
      <c r="D27" s="86" t="s">
        <v>28</v>
      </c>
    </row>
    <row r="28" spans="2:4" ht="54.75" customHeight="1" x14ac:dyDescent="0.25">
      <c r="B28" s="203"/>
      <c r="C28" s="204" t="s">
        <v>480</v>
      </c>
      <c r="D28" s="205" t="s">
        <v>481</v>
      </c>
    </row>
    <row r="29" spans="2:4" x14ac:dyDescent="0.25">
      <c r="B29" s="83"/>
      <c r="C29" s="206" t="s">
        <v>482</v>
      </c>
      <c r="D29" s="84" t="s">
        <v>29</v>
      </c>
    </row>
    <row r="30" spans="2:4" x14ac:dyDescent="0.25">
      <c r="B30" s="40" t="s">
        <v>30</v>
      </c>
      <c r="C30" s="87"/>
      <c r="D30" s="88"/>
    </row>
    <row r="31" spans="2:4" ht="49.5" customHeight="1" x14ac:dyDescent="0.25">
      <c r="B31" s="1"/>
      <c r="C31" s="18" t="s">
        <v>31</v>
      </c>
      <c r="D31" s="19" t="s">
        <v>32</v>
      </c>
    </row>
    <row r="32" spans="2:4" ht="49.5" customHeight="1" x14ac:dyDescent="0.25">
      <c r="B32" s="1"/>
      <c r="C32" s="18" t="s">
        <v>33</v>
      </c>
      <c r="D32" s="19" t="s">
        <v>34</v>
      </c>
    </row>
    <row r="33" spans="2:4" ht="49.5" customHeight="1" x14ac:dyDescent="0.25">
      <c r="B33" s="1"/>
      <c r="C33" s="18" t="s">
        <v>35</v>
      </c>
      <c r="D33" s="19" t="s">
        <v>36</v>
      </c>
    </row>
    <row r="34" spans="2:4" ht="49.5" customHeight="1" x14ac:dyDescent="0.25">
      <c r="B34" s="1"/>
      <c r="C34" s="18" t="s">
        <v>37</v>
      </c>
      <c r="D34" s="82" t="s">
        <v>334</v>
      </c>
    </row>
    <row r="35" spans="2:4" ht="49.5" customHeight="1" x14ac:dyDescent="0.25">
      <c r="B35" s="1"/>
      <c r="C35" s="18" t="s">
        <v>38</v>
      </c>
      <c r="D35" s="19" t="s">
        <v>39</v>
      </c>
    </row>
    <row r="36" spans="2:4" ht="49.5" customHeight="1" x14ac:dyDescent="0.25">
      <c r="B36" s="1"/>
      <c r="C36" s="18" t="s">
        <v>40</v>
      </c>
      <c r="D36" s="19" t="s">
        <v>41</v>
      </c>
    </row>
    <row r="37" spans="2:4" ht="49.5" customHeight="1" x14ac:dyDescent="0.25">
      <c r="B37" s="1"/>
      <c r="C37" s="18" t="s">
        <v>42</v>
      </c>
      <c r="D37" s="19" t="s">
        <v>43</v>
      </c>
    </row>
    <row r="38" spans="2:4" ht="49.5" customHeight="1" x14ac:dyDescent="0.25">
      <c r="B38" s="1"/>
      <c r="C38" s="18" t="s">
        <v>44</v>
      </c>
      <c r="D38" s="19" t="s">
        <v>45</v>
      </c>
    </row>
    <row r="40" spans="2:4" x14ac:dyDescent="0.25">
      <c r="B40" s="40" t="s">
        <v>46</v>
      </c>
      <c r="C40" s="40"/>
      <c r="D40" s="40"/>
    </row>
    <row r="41" spans="2:4" ht="31.5" customHeight="1" x14ac:dyDescent="0.25">
      <c r="B41" s="17" t="s">
        <v>47</v>
      </c>
      <c r="C41" s="43" t="s">
        <v>48</v>
      </c>
      <c r="D41" s="43"/>
    </row>
    <row r="42" spans="2:4" ht="31.5" customHeight="1" x14ac:dyDescent="0.25">
      <c r="B42" s="17" t="s">
        <v>49</v>
      </c>
      <c r="C42" s="43" t="s">
        <v>50</v>
      </c>
      <c r="D42" s="43"/>
    </row>
    <row r="43" spans="2:4" ht="31.5" customHeight="1" x14ac:dyDescent="0.25">
      <c r="B43" s="17" t="s">
        <v>51</v>
      </c>
      <c r="C43" s="43" t="s">
        <v>52</v>
      </c>
      <c r="D43" s="43"/>
    </row>
    <row r="44" spans="2:4" ht="31.5" customHeight="1" x14ac:dyDescent="0.25">
      <c r="B44" s="17" t="s">
        <v>53</v>
      </c>
      <c r="C44" s="43" t="s">
        <v>54</v>
      </c>
      <c r="D44" s="43"/>
    </row>
    <row r="45" spans="2:4" ht="31.5" customHeight="1" x14ac:dyDescent="0.25">
      <c r="B45" s="17" t="s">
        <v>55</v>
      </c>
      <c r="C45" s="43" t="s">
        <v>56</v>
      </c>
      <c r="D45" s="43"/>
    </row>
    <row r="46" spans="2:4" ht="31.5" customHeight="1" x14ac:dyDescent="0.25">
      <c r="B46" s="17" t="s">
        <v>57</v>
      </c>
      <c r="C46" s="43" t="s">
        <v>58</v>
      </c>
      <c r="D46" s="43"/>
    </row>
    <row r="47" spans="2:4" ht="31.5" customHeight="1" x14ac:dyDescent="0.25">
      <c r="B47" s="17" t="s">
        <v>59</v>
      </c>
      <c r="C47" s="43" t="s">
        <v>60</v>
      </c>
      <c r="D47" s="43"/>
    </row>
    <row r="48" spans="2:4" ht="31.5" customHeight="1" x14ac:dyDescent="0.25">
      <c r="B48" s="17" t="s">
        <v>61</v>
      </c>
      <c r="C48" s="43" t="s">
        <v>62</v>
      </c>
      <c r="D48" s="43"/>
    </row>
  </sheetData>
  <mergeCells count="16">
    <mergeCell ref="B2:D2"/>
    <mergeCell ref="B3:D3"/>
    <mergeCell ref="B5:D5"/>
    <mergeCell ref="B7:D7"/>
    <mergeCell ref="B12:D12"/>
    <mergeCell ref="B20:D20"/>
    <mergeCell ref="B30:D30"/>
    <mergeCell ref="B40:D40"/>
    <mergeCell ref="C41:D41"/>
    <mergeCell ref="C42:D42"/>
    <mergeCell ref="C48:D48"/>
    <mergeCell ref="C43:D43"/>
    <mergeCell ref="C44:D44"/>
    <mergeCell ref="C45:D45"/>
    <mergeCell ref="C46:D46"/>
    <mergeCell ref="C47:D4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B2:E39"/>
  <sheetViews>
    <sheetView zoomScaleNormal="100" workbookViewId="0">
      <selection activeCell="E26" sqref="B24:E26"/>
    </sheetView>
  </sheetViews>
  <sheetFormatPr defaultColWidth="8.7109375" defaultRowHeight="15" x14ac:dyDescent="0.25"/>
  <cols>
    <col min="1" max="1" width="3" customWidth="1"/>
    <col min="2" max="2" width="81.5703125" bestFit="1" customWidth="1"/>
    <col min="3" max="3" width="22" customWidth="1"/>
    <col min="4" max="4" width="20" customWidth="1"/>
    <col min="5" max="5" width="58.7109375" bestFit="1" customWidth="1"/>
  </cols>
  <sheetData>
    <row r="2" spans="2:5" ht="18" x14ac:dyDescent="0.25">
      <c r="B2" s="41" t="s">
        <v>63</v>
      </c>
      <c r="C2" s="41"/>
      <c r="D2" s="41"/>
      <c r="E2" s="41"/>
    </row>
    <row r="3" spans="2:5" x14ac:dyDescent="0.25">
      <c r="B3" s="40" t="s">
        <v>64</v>
      </c>
      <c r="C3" s="40"/>
      <c r="D3" s="40"/>
      <c r="E3" s="40"/>
    </row>
    <row r="5" spans="2:5" x14ac:dyDescent="0.25">
      <c r="B5" s="20" t="s">
        <v>65</v>
      </c>
    </row>
    <row r="7" spans="2:5" x14ac:dyDescent="0.25">
      <c r="B7" s="40" t="s">
        <v>66</v>
      </c>
      <c r="C7" s="40"/>
      <c r="D7" s="40"/>
      <c r="E7" s="40"/>
    </row>
    <row r="8" spans="2:5" x14ac:dyDescent="0.25">
      <c r="B8" s="16" t="s">
        <v>67</v>
      </c>
      <c r="C8" s="7">
        <v>3</v>
      </c>
      <c r="D8" s="20" t="s">
        <v>68</v>
      </c>
      <c r="E8" s="20" t="s">
        <v>69</v>
      </c>
    </row>
    <row r="9" spans="2:5" x14ac:dyDescent="0.25">
      <c r="B9" s="16" t="s">
        <v>70</v>
      </c>
      <c r="C9" s="21" t="s">
        <v>71</v>
      </c>
      <c r="D9" s="20" t="s">
        <v>72</v>
      </c>
      <c r="E9" s="20" t="s">
        <v>73</v>
      </c>
    </row>
    <row r="10" spans="2:5" x14ac:dyDescent="0.25">
      <c r="B10" s="16" t="s">
        <v>74</v>
      </c>
      <c r="C10" s="7">
        <v>3</v>
      </c>
      <c r="D10" s="20" t="s">
        <v>75</v>
      </c>
      <c r="E10" s="20" t="s">
        <v>76</v>
      </c>
    </row>
    <row r="11" spans="2:5" x14ac:dyDescent="0.25">
      <c r="B11" s="16" t="s">
        <v>77</v>
      </c>
      <c r="C11" s="22">
        <v>7.68</v>
      </c>
      <c r="D11" s="20" t="s">
        <v>78</v>
      </c>
      <c r="E11" s="20" t="s">
        <v>79</v>
      </c>
    </row>
    <row r="12" spans="2:5" x14ac:dyDescent="0.25">
      <c r="B12" s="16" t="s">
        <v>80</v>
      </c>
      <c r="C12" s="21">
        <v>0</v>
      </c>
      <c r="D12" s="20" t="s">
        <v>81</v>
      </c>
      <c r="E12" s="20" t="s">
        <v>82</v>
      </c>
    </row>
    <row r="13" spans="2:5" x14ac:dyDescent="0.25">
      <c r="B13" s="16" t="s">
        <v>83</v>
      </c>
      <c r="C13" s="21" t="s">
        <v>84</v>
      </c>
      <c r="D13" s="20" t="s">
        <v>72</v>
      </c>
      <c r="E13" s="20" t="s">
        <v>85</v>
      </c>
    </row>
    <row r="15" spans="2:5" x14ac:dyDescent="0.25">
      <c r="B15" s="40" t="s">
        <v>86</v>
      </c>
      <c r="C15" s="40"/>
      <c r="D15" s="40"/>
      <c r="E15" s="40"/>
    </row>
    <row r="16" spans="2:5" x14ac:dyDescent="0.25">
      <c r="B16" s="16" t="s">
        <v>87</v>
      </c>
      <c r="C16" s="23">
        <f>C8*C10</f>
        <v>9</v>
      </c>
      <c r="D16" s="1" t="s">
        <v>88</v>
      </c>
      <c r="E16" s="20" t="s">
        <v>89</v>
      </c>
    </row>
    <row r="17" spans="2:5" x14ac:dyDescent="0.25">
      <c r="B17" s="16" t="s">
        <v>90</v>
      </c>
      <c r="C17" s="23">
        <f>IF(C9="NVMe + SSD (NVMe is Cache)",C8*C12,0)</f>
        <v>0</v>
      </c>
      <c r="D17" s="1" t="s">
        <v>88</v>
      </c>
      <c r="E17" s="20" t="s">
        <v>91</v>
      </c>
    </row>
    <row r="18" spans="2:5" x14ac:dyDescent="0.25">
      <c r="B18" s="16" t="s">
        <v>92</v>
      </c>
      <c r="C18" s="24">
        <f>C16*C11</f>
        <v>69.12</v>
      </c>
      <c r="D18" s="1" t="s">
        <v>93</v>
      </c>
      <c r="E18" s="20" t="s">
        <v>94</v>
      </c>
    </row>
    <row r="19" spans="2:5" x14ac:dyDescent="0.25">
      <c r="B19" s="16" t="s">
        <v>95</v>
      </c>
      <c r="C19" s="24">
        <f>C11*'Advanced Settings'!C8</f>
        <v>7.0655999999999999</v>
      </c>
      <c r="D19" s="1" t="s">
        <v>93</v>
      </c>
      <c r="E19" s="20" t="s">
        <v>96</v>
      </c>
    </row>
    <row r="20" spans="2:5" x14ac:dyDescent="0.25">
      <c r="B20" s="16" t="s">
        <v>97</v>
      </c>
      <c r="C20" s="24">
        <f>C16*C19</f>
        <v>63.590400000000002</v>
      </c>
      <c r="D20" s="1" t="s">
        <v>93</v>
      </c>
      <c r="E20" s="20" t="s">
        <v>98</v>
      </c>
    </row>
    <row r="21" spans="2:5" x14ac:dyDescent="0.25">
      <c r="B21" s="25" t="s">
        <v>99</v>
      </c>
      <c r="C21" s="26">
        <f>MIN(C8,4)*C19</f>
        <v>21.1968</v>
      </c>
      <c r="D21" s="1" t="s">
        <v>93</v>
      </c>
      <c r="E21" s="20" t="s">
        <v>100</v>
      </c>
    </row>
    <row r="22" spans="2:5" x14ac:dyDescent="0.25">
      <c r="B22" s="25" t="s">
        <v>101</v>
      </c>
      <c r="C22" s="26">
        <f>'Advanced Settings'!C14</f>
        <v>0.75</v>
      </c>
      <c r="D22" s="1" t="s">
        <v>102</v>
      </c>
      <c r="E22" s="20" t="s">
        <v>103</v>
      </c>
    </row>
    <row r="24" spans="2:5" ht="36" customHeight="1" x14ac:dyDescent="0.3">
      <c r="B24" s="27" t="s">
        <v>104</v>
      </c>
      <c r="C24" s="28">
        <f>C20-C21-C22</f>
        <v>41.643600000000006</v>
      </c>
      <c r="D24" s="27" t="s">
        <v>93</v>
      </c>
      <c r="E24" s="9" t="s">
        <v>105</v>
      </c>
    </row>
    <row r="26" spans="2:5" x14ac:dyDescent="0.25">
      <c r="B26" s="29" t="s">
        <v>106</v>
      </c>
      <c r="C26" s="24">
        <f>ROUND(C24*1000/1024,2)</f>
        <v>40.67</v>
      </c>
      <c r="D26" s="1" t="s">
        <v>107</v>
      </c>
      <c r="E26" s="20" t="s">
        <v>108</v>
      </c>
    </row>
    <row r="28" spans="2:5" x14ac:dyDescent="0.25">
      <c r="B28" s="42" t="s">
        <v>109</v>
      </c>
      <c r="C28" s="42"/>
      <c r="D28" s="42"/>
      <c r="E28" s="42"/>
    </row>
    <row r="29" spans="2:5" ht="36" customHeight="1" x14ac:dyDescent="0.25">
      <c r="B29" s="39" t="str">
        <f>CONCATENATE("Your ",C8,"-node cluster: size VM workloads to fit on ",C8-1," nodes. If 1 node goes down, VMs must failover. This is CPU/RAM, separate from storage.")</f>
        <v>Your 3-node cluster: size VM workloads to fit on 2 nodes. If 1 node goes down, VMs must failover. This is CPU/RAM, separate from storage.</v>
      </c>
      <c r="C29" s="39"/>
      <c r="D29" s="39"/>
      <c r="E29" s="39"/>
    </row>
    <row r="31" spans="2:5" x14ac:dyDescent="0.25">
      <c r="B31" s="40" t="s">
        <v>110</v>
      </c>
      <c r="C31" s="40"/>
      <c r="D31" s="40"/>
      <c r="E31" s="40"/>
    </row>
    <row r="32" spans="2:5" x14ac:dyDescent="0.25">
      <c r="B32" s="30" t="s">
        <v>111</v>
      </c>
      <c r="C32" s="30" t="s">
        <v>112</v>
      </c>
      <c r="D32" s="30" t="s">
        <v>113</v>
      </c>
      <c r="E32" s="30" t="s">
        <v>114</v>
      </c>
    </row>
    <row r="33" spans="2:5" x14ac:dyDescent="0.25">
      <c r="B33" s="1" t="s">
        <v>115</v>
      </c>
      <c r="C33" s="31" t="s">
        <v>116</v>
      </c>
      <c r="D33" s="31">
        <v>2</v>
      </c>
      <c r="E33" s="1" t="s">
        <v>117</v>
      </c>
    </row>
    <row r="34" spans="2:5" x14ac:dyDescent="0.25">
      <c r="B34" s="1" t="s">
        <v>118</v>
      </c>
      <c r="C34" s="31" t="s">
        <v>119</v>
      </c>
      <c r="D34" s="31">
        <v>3</v>
      </c>
      <c r="E34" s="1" t="s">
        <v>120</v>
      </c>
    </row>
    <row r="35" spans="2:5" x14ac:dyDescent="0.25">
      <c r="B35" s="1" t="s">
        <v>121</v>
      </c>
      <c r="C35" s="31" t="s">
        <v>116</v>
      </c>
      <c r="D35" s="31">
        <v>4</v>
      </c>
      <c r="E35" s="1" t="s">
        <v>120</v>
      </c>
    </row>
    <row r="36" spans="2:5" x14ac:dyDescent="0.25">
      <c r="B36" s="1" t="s">
        <v>122</v>
      </c>
      <c r="C36" s="31" t="s">
        <v>123</v>
      </c>
      <c r="D36" s="31">
        <v>7</v>
      </c>
      <c r="E36" s="1" t="s">
        <v>120</v>
      </c>
    </row>
    <row r="37" spans="2:5" x14ac:dyDescent="0.25">
      <c r="B37" s="1" t="s">
        <v>124</v>
      </c>
      <c r="C37" s="31" t="s">
        <v>125</v>
      </c>
      <c r="D37" s="31">
        <v>9</v>
      </c>
      <c r="E37" s="1" t="s">
        <v>120</v>
      </c>
    </row>
    <row r="38" spans="2:5" x14ac:dyDescent="0.25">
      <c r="B38" s="1" t="s">
        <v>126</v>
      </c>
      <c r="C38" s="31" t="s">
        <v>127</v>
      </c>
      <c r="D38" s="31">
        <v>16</v>
      </c>
      <c r="E38" s="1" t="s">
        <v>120</v>
      </c>
    </row>
    <row r="39" spans="2:5" x14ac:dyDescent="0.25">
      <c r="B39" s="1" t="s">
        <v>128</v>
      </c>
      <c r="C39" s="31" t="s">
        <v>129</v>
      </c>
      <c r="D39" s="31">
        <v>2</v>
      </c>
      <c r="E39" s="1" t="s">
        <v>130</v>
      </c>
    </row>
  </sheetData>
  <mergeCells count="7">
    <mergeCell ref="B29:E29"/>
    <mergeCell ref="B31:E31"/>
    <mergeCell ref="B2:E2"/>
    <mergeCell ref="B3:E3"/>
    <mergeCell ref="B7:E7"/>
    <mergeCell ref="B15:E15"/>
    <mergeCell ref="B28:E28"/>
  </mergeCells>
  <dataValidations count="3">
    <dataValidation type="list" allowBlank="1" errorTitle="Invalid" error="Select from list" sqref="C8" xr:uid="{00000000-0002-0000-0100-000000000000}">
      <formula1>"1,2,3,4,5,6,7,8,9,10,11,12,13,14,15,16"</formula1>
      <formula2>0</formula2>
    </dataValidation>
    <dataValidation type="list" allowBlank="1" errorTitle="Invalid" error="Select from list" sqref="C9" xr:uid="{00000000-0002-0000-0100-000001000000}">
      <formula1>"All-NVMe (No Cache),All-SSD (No Cache),NVMe + SSD (NVMe is Cache)"</formula1>
      <formula2>0</formula2>
    </dataValidation>
    <dataValidation type="list" allowBlank="1" errorTitle="Invalid" error="Select from list" sqref="C13" xr:uid="{00000000-0002-0000-0100-000002000000}">
      <formula1>"Fixed (Thick),Thin"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01B40-0812-4FA7-9BB7-05E11A660B35}">
  <dimension ref="B2:H25"/>
  <sheetViews>
    <sheetView workbookViewId="0"/>
  </sheetViews>
  <sheetFormatPr defaultRowHeight="15" x14ac:dyDescent="0.25"/>
  <cols>
    <col min="1" max="1" width="2.85546875" customWidth="1"/>
    <col min="2" max="2" width="93.42578125" bestFit="1" customWidth="1"/>
    <col min="3" max="3" width="17.140625" customWidth="1"/>
    <col min="4" max="4" width="13.28515625" customWidth="1"/>
    <col min="5" max="5" width="19" customWidth="1"/>
    <col min="6" max="6" width="17.140625" customWidth="1"/>
    <col min="7" max="7" width="22.85546875" customWidth="1"/>
    <col min="8" max="8" width="17.140625" customWidth="1"/>
  </cols>
  <sheetData>
    <row r="2" spans="2:8" ht="18" x14ac:dyDescent="0.25">
      <c r="B2" s="48" t="s">
        <v>307</v>
      </c>
      <c r="C2" s="49"/>
      <c r="D2" s="49"/>
      <c r="E2" s="49"/>
      <c r="F2" s="49"/>
      <c r="G2" s="49"/>
      <c r="H2" s="49"/>
    </row>
    <row r="3" spans="2:8" x14ac:dyDescent="0.25">
      <c r="B3" s="50" t="s">
        <v>308</v>
      </c>
      <c r="C3" s="51"/>
      <c r="D3" s="51"/>
      <c r="E3" s="51"/>
      <c r="F3" s="51"/>
      <c r="G3" s="51"/>
      <c r="H3" s="51"/>
    </row>
    <row r="5" spans="2:8" x14ac:dyDescent="0.25">
      <c r="B5" s="50" t="s">
        <v>309</v>
      </c>
      <c r="C5" s="51"/>
      <c r="D5" s="51"/>
      <c r="E5" s="51"/>
      <c r="F5" s="51"/>
      <c r="G5" s="51"/>
      <c r="H5" s="51"/>
    </row>
    <row r="6" spans="2:8" x14ac:dyDescent="0.25">
      <c r="B6" s="76" t="s">
        <v>180</v>
      </c>
      <c r="C6" s="73">
        <f>'Hardware Inputs'!C8</f>
        <v>3</v>
      </c>
      <c r="D6" s="77" t="s">
        <v>310</v>
      </c>
    </row>
    <row r="7" spans="2:8" x14ac:dyDescent="0.25">
      <c r="B7" s="76" t="s">
        <v>74</v>
      </c>
      <c r="C7" s="73">
        <f>'Hardware Inputs'!C10</f>
        <v>3</v>
      </c>
      <c r="D7" s="77" t="s">
        <v>88</v>
      </c>
    </row>
    <row r="8" spans="2:8" x14ac:dyDescent="0.25">
      <c r="B8" s="76" t="s">
        <v>311</v>
      </c>
      <c r="C8" s="74">
        <f>'Hardware Inputs'!C11</f>
        <v>7.68</v>
      </c>
      <c r="D8" s="77" t="s">
        <v>93</v>
      </c>
    </row>
    <row r="9" spans="2:8" x14ac:dyDescent="0.25">
      <c r="B9" s="76" t="s">
        <v>312</v>
      </c>
      <c r="C9" s="74">
        <f>'Hardware Inputs'!C18</f>
        <v>69.12</v>
      </c>
      <c r="D9" s="77" t="s">
        <v>93</v>
      </c>
      <c r="E9" s="53" t="s">
        <v>313</v>
      </c>
    </row>
    <row r="10" spans="2:8" x14ac:dyDescent="0.25">
      <c r="B10" s="76" t="s">
        <v>157</v>
      </c>
      <c r="C10" s="75">
        <f>'Advanced Settings'!C8</f>
        <v>0.92</v>
      </c>
      <c r="D10" s="78"/>
      <c r="E10" s="53" t="s">
        <v>314</v>
      </c>
    </row>
    <row r="12" spans="2:8" x14ac:dyDescent="0.25">
      <c r="B12" s="50" t="s">
        <v>315</v>
      </c>
      <c r="C12" s="51"/>
      <c r="D12" s="51"/>
      <c r="E12" s="51"/>
      <c r="F12" s="51"/>
      <c r="G12" s="51"/>
      <c r="H12" s="51"/>
    </row>
    <row r="13" spans="2:8" s="54" customFormat="1" ht="35.1" customHeight="1" x14ac:dyDescent="0.25">
      <c r="B13" s="67" t="s">
        <v>316</v>
      </c>
      <c r="C13" s="67" t="s">
        <v>317</v>
      </c>
      <c r="D13" s="67" t="s">
        <v>318</v>
      </c>
      <c r="E13" s="67" t="s">
        <v>319</v>
      </c>
      <c r="F13" s="67" t="s">
        <v>320</v>
      </c>
      <c r="G13" s="67" t="s">
        <v>321</v>
      </c>
      <c r="H13" s="67" t="s">
        <v>322</v>
      </c>
    </row>
    <row r="14" spans="2:8" ht="18" x14ac:dyDescent="0.25">
      <c r="B14" s="58">
        <f>C7</f>
        <v>3</v>
      </c>
      <c r="C14" s="57">
        <f>C8</f>
        <v>7.68</v>
      </c>
      <c r="D14" s="58">
        <f>B14*C6</f>
        <v>9</v>
      </c>
      <c r="E14" s="57">
        <f>C14*C10</f>
        <v>7.0655999999999999</v>
      </c>
      <c r="F14" s="59">
        <f>MIN(C6,4)*E14</f>
        <v>21.1968</v>
      </c>
      <c r="G14" s="60">
        <f>(D14*E14)-(F14)-'Advanced Settings'!C14</f>
        <v>41.643600000000006</v>
      </c>
      <c r="H14" s="68" t="s">
        <v>323</v>
      </c>
    </row>
    <row r="15" spans="2:8" x14ac:dyDescent="0.25">
      <c r="B15" s="62">
        <v>4</v>
      </c>
      <c r="C15" s="61">
        <f>ROUND($C$9/(B15*$C$6),2)</f>
        <v>5.76</v>
      </c>
      <c r="D15" s="62">
        <f>B15*$C$6</f>
        <v>12</v>
      </c>
      <c r="E15" s="61">
        <f>C15*$C$10</f>
        <v>5.2991999999999999</v>
      </c>
      <c r="F15" s="63">
        <f>MIN($C$6,4)*E15</f>
        <v>15.897600000000001</v>
      </c>
      <c r="G15" s="61">
        <f>(D15*E15)-(F15)-'Advanced Settings'!$C$14</f>
        <v>46.942800000000005</v>
      </c>
      <c r="H15" s="69">
        <f>G15-$G$14</f>
        <v>5.299199999999999</v>
      </c>
    </row>
    <row r="16" spans="2:8" x14ac:dyDescent="0.25">
      <c r="B16" s="65">
        <v>5</v>
      </c>
      <c r="C16" s="64">
        <f>ROUND($C$9/(B16*$C$6),2)</f>
        <v>4.6100000000000003</v>
      </c>
      <c r="D16" s="65">
        <f>B16*$C$6</f>
        <v>15</v>
      </c>
      <c r="E16" s="64">
        <f>C16*$C$10</f>
        <v>4.2412000000000001</v>
      </c>
      <c r="F16" s="66">
        <f>MIN($C$6,4)*E16</f>
        <v>12.723600000000001</v>
      </c>
      <c r="G16" s="64">
        <f>(D16*E16)-(F16)-'Advanced Settings'!$C$14</f>
        <v>50.144400000000005</v>
      </c>
      <c r="H16" s="70">
        <f>G16-$G$14</f>
        <v>8.5007999999999981</v>
      </c>
    </row>
    <row r="17" spans="2:8" x14ac:dyDescent="0.25">
      <c r="B17" s="62">
        <v>6</v>
      </c>
      <c r="C17" s="61">
        <f>ROUND($C$9/(B17*$C$6),2)</f>
        <v>3.84</v>
      </c>
      <c r="D17" s="62">
        <f>B17*$C$6</f>
        <v>18</v>
      </c>
      <c r="E17" s="61">
        <f>C17*$C$10</f>
        <v>3.5327999999999999</v>
      </c>
      <c r="F17" s="63">
        <f>MIN($C$6,4)*E17</f>
        <v>10.5984</v>
      </c>
      <c r="G17" s="61">
        <f>(D17*E17)-(F17)-'Advanced Settings'!$C$14</f>
        <v>52.242000000000004</v>
      </c>
      <c r="H17" s="69">
        <f>G17-$G$14</f>
        <v>10.598399999999998</v>
      </c>
    </row>
    <row r="18" spans="2:8" x14ac:dyDescent="0.25">
      <c r="B18" s="65">
        <v>7</v>
      </c>
      <c r="C18" s="64">
        <f>ROUND($C$9/(B18*$C$6),2)</f>
        <v>3.29</v>
      </c>
      <c r="D18" s="65">
        <f>B18*$C$6</f>
        <v>21</v>
      </c>
      <c r="E18" s="64">
        <f>C18*$C$10</f>
        <v>3.0268000000000002</v>
      </c>
      <c r="F18" s="66">
        <f>MIN($C$6,4)*E18</f>
        <v>9.0804000000000009</v>
      </c>
      <c r="G18" s="64">
        <f>(D18*E18)-(F18)-'Advanced Settings'!$C$14</f>
        <v>53.732399999999998</v>
      </c>
      <c r="H18" s="70">
        <f>G18-$G$14</f>
        <v>12.088799999999992</v>
      </c>
    </row>
    <row r="19" spans="2:8" x14ac:dyDescent="0.25">
      <c r="B19" s="62">
        <v>8</v>
      </c>
      <c r="C19" s="61">
        <f>ROUND($C$9/(B19*$C$6),2)</f>
        <v>2.88</v>
      </c>
      <c r="D19" s="62">
        <f>B19*$C$6</f>
        <v>24</v>
      </c>
      <c r="E19" s="61">
        <f>C19*$C$10</f>
        <v>2.6496</v>
      </c>
      <c r="F19" s="63">
        <f>MIN($C$6,4)*E19</f>
        <v>7.9488000000000003</v>
      </c>
      <c r="G19" s="61">
        <f>(D19*E19)-(F19)-'Advanced Settings'!$C$14</f>
        <v>54.891600000000004</v>
      </c>
      <c r="H19" s="69">
        <f>G19-$G$14</f>
        <v>13.247999999999998</v>
      </c>
    </row>
    <row r="20" spans="2:8" x14ac:dyDescent="0.25">
      <c r="B20" s="65">
        <v>9</v>
      </c>
      <c r="C20" s="64">
        <f>ROUND($C$9/(B20*$C$6),2)</f>
        <v>2.56</v>
      </c>
      <c r="D20" s="65">
        <f>B20*$C$6</f>
        <v>27</v>
      </c>
      <c r="E20" s="64">
        <f>C20*$C$10</f>
        <v>2.3552</v>
      </c>
      <c r="F20" s="66">
        <f>MIN($C$6,4)*E20</f>
        <v>7.0655999999999999</v>
      </c>
      <c r="G20" s="64">
        <f>(D20*E20)-(F20)-'Advanced Settings'!$C$14</f>
        <v>55.774799999999999</v>
      </c>
      <c r="H20" s="70">
        <f>G20-$G$14</f>
        <v>14.131199999999993</v>
      </c>
    </row>
    <row r="21" spans="2:8" x14ac:dyDescent="0.25">
      <c r="B21" s="62">
        <v>10</v>
      </c>
      <c r="C21" s="61">
        <f>ROUND($C$9/(B21*$C$6),2)</f>
        <v>2.2999999999999998</v>
      </c>
      <c r="D21" s="62">
        <f>B21*$C$6</f>
        <v>30</v>
      </c>
      <c r="E21" s="61">
        <f>C21*$C$10</f>
        <v>2.1160000000000001</v>
      </c>
      <c r="F21" s="63">
        <f>MIN($C$6,4)*E21</f>
        <v>6.3480000000000008</v>
      </c>
      <c r="G21" s="61">
        <f>(D21*E21)-(F21)-'Advanced Settings'!$C$14</f>
        <v>56.382000000000005</v>
      </c>
      <c r="H21" s="69">
        <f>G21-$G$14</f>
        <v>14.738399999999999</v>
      </c>
    </row>
    <row r="23" spans="2:8" x14ac:dyDescent="0.25">
      <c r="B23" s="55" t="s">
        <v>324</v>
      </c>
      <c r="C23" s="56"/>
      <c r="D23" s="56"/>
      <c r="E23" s="56"/>
      <c r="F23" s="56"/>
      <c r="G23" s="56"/>
      <c r="H23" s="56"/>
    </row>
    <row r="24" spans="2:8" x14ac:dyDescent="0.25">
      <c r="B24" s="79" t="s">
        <v>325</v>
      </c>
      <c r="C24" s="79"/>
      <c r="D24" s="79"/>
      <c r="E24" s="79"/>
      <c r="F24" s="79"/>
      <c r="G24" s="79"/>
      <c r="H24" s="79"/>
    </row>
    <row r="25" spans="2:8" x14ac:dyDescent="0.25">
      <c r="B25" s="80" t="s">
        <v>326</v>
      </c>
      <c r="C25" s="80"/>
      <c r="D25" s="80"/>
      <c r="E25" s="80"/>
      <c r="F25" s="80"/>
      <c r="G25" s="80"/>
      <c r="H25" s="80"/>
    </row>
  </sheetData>
  <mergeCells count="2">
    <mergeCell ref="B24:H24"/>
    <mergeCell ref="B25:H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C27B0"/>
  </sheetPr>
  <dimension ref="B2:F88"/>
  <sheetViews>
    <sheetView zoomScaleNormal="100" workbookViewId="0">
      <selection activeCell="C8" sqref="C8"/>
    </sheetView>
  </sheetViews>
  <sheetFormatPr defaultColWidth="8.7109375" defaultRowHeight="15" x14ac:dyDescent="0.25"/>
  <cols>
    <col min="1" max="1" width="2.85546875" customWidth="1"/>
    <col min="2" max="2" width="74.42578125" bestFit="1" customWidth="1"/>
    <col min="3" max="3" width="19" customWidth="1"/>
    <col min="4" max="4" width="13.28515625" customWidth="1"/>
    <col min="5" max="5" width="2.85546875" customWidth="1"/>
    <col min="6" max="6" width="53.28515625" customWidth="1"/>
    <col min="7" max="7" width="50" customWidth="1"/>
  </cols>
  <sheetData>
    <row r="2" spans="2:6" ht="18" x14ac:dyDescent="0.25">
      <c r="B2" s="48" t="s">
        <v>335</v>
      </c>
      <c r="C2" s="49"/>
      <c r="D2" s="49"/>
      <c r="E2" s="49"/>
      <c r="F2" s="49"/>
    </row>
    <row r="3" spans="2:6" x14ac:dyDescent="0.25">
      <c r="B3" s="50" t="s">
        <v>336</v>
      </c>
      <c r="C3" s="51"/>
      <c r="D3" s="51"/>
      <c r="E3" s="51"/>
      <c r="F3" s="51"/>
    </row>
    <row r="5" spans="2:6" ht="30" customHeight="1" x14ac:dyDescent="0.3">
      <c r="B5" s="96" t="s">
        <v>131</v>
      </c>
      <c r="C5" s="97">
        <f>'Hardware Inputs'!C24</f>
        <v>41.643600000000006</v>
      </c>
      <c r="D5" s="96" t="s">
        <v>93</v>
      </c>
      <c r="E5" s="90">
        <f>'Hardware Inputs'!C24</f>
        <v>41.643600000000006</v>
      </c>
      <c r="F5" s="91"/>
    </row>
    <row r="7" spans="2:6" x14ac:dyDescent="0.25">
      <c r="B7" s="50" t="s">
        <v>337</v>
      </c>
      <c r="C7" s="51"/>
      <c r="D7" s="51"/>
      <c r="E7" s="51"/>
      <c r="F7" s="51"/>
    </row>
    <row r="8" spans="2:6" x14ac:dyDescent="0.25">
      <c r="B8" s="99" t="s">
        <v>338</v>
      </c>
      <c r="C8" s="100" t="s">
        <v>138</v>
      </c>
      <c r="D8" s="101"/>
      <c r="F8" s="53" t="s">
        <v>339</v>
      </c>
    </row>
    <row r="9" spans="2:6" x14ac:dyDescent="0.25">
      <c r="B9" s="105" t="s">
        <v>340</v>
      </c>
      <c r="C9" s="106"/>
      <c r="D9" s="106"/>
      <c r="E9" s="94"/>
      <c r="F9" s="94"/>
    </row>
    <row r="10" spans="2:6" x14ac:dyDescent="0.25">
      <c r="B10" s="76" t="s">
        <v>341</v>
      </c>
      <c r="C10" s="109">
        <v>30</v>
      </c>
      <c r="D10" s="77" t="s">
        <v>132</v>
      </c>
      <c r="F10" s="53" t="s">
        <v>342</v>
      </c>
    </row>
    <row r="11" spans="2:6" x14ac:dyDescent="0.25">
      <c r="B11" s="76" t="s">
        <v>343</v>
      </c>
      <c r="C11" s="110">
        <v>127</v>
      </c>
      <c r="D11" s="77" t="s">
        <v>133</v>
      </c>
      <c r="F11" s="53" t="s">
        <v>344</v>
      </c>
    </row>
    <row r="12" spans="2:6" x14ac:dyDescent="0.25">
      <c r="B12" s="76" t="s">
        <v>345</v>
      </c>
      <c r="C12" s="110">
        <v>50</v>
      </c>
      <c r="D12" s="77" t="s">
        <v>133</v>
      </c>
      <c r="F12" s="53" t="s">
        <v>346</v>
      </c>
    </row>
    <row r="13" spans="2:6" x14ac:dyDescent="0.25">
      <c r="B13" s="76" t="s">
        <v>347</v>
      </c>
      <c r="C13" s="98" t="s">
        <v>118</v>
      </c>
      <c r="D13" s="111" t="str">
        <f>CONCATENATE(TEXT(IF(C13="Three-Way Mirror",1/3,IF(C13="Two-Way Mirror",0.5,IF(C13="Dual Parity",IF('Hardware Inputs'!C8&gt;=16,0.8,IF('Hardware Inputs'!C8&gt;=9,0.75,IF('Hardware Inputs'!C8&gt;=7,2/3,0.5))),IF(C13="Nested Two-Way Mirror",0.25,1/3)))),"0%")," eff.")</f>
        <v>33% eff.</v>
      </c>
    </row>
    <row r="14" spans="2:6" x14ac:dyDescent="0.25">
      <c r="B14" s="112" t="s">
        <v>348</v>
      </c>
      <c r="C14" s="74">
        <f>IF($C$8="No",0,IF(C10=0,0,ROUND(C10*(C11+C12)/1024,2)))</f>
        <v>5.19</v>
      </c>
      <c r="D14" s="113" t="s">
        <v>93</v>
      </c>
      <c r="F14" s="95" t="str">
        <f>IF(C14&gt;64,"WARNING: Exceeds 64 TB max volume size!","")</f>
        <v/>
      </c>
    </row>
    <row r="15" spans="2:6" x14ac:dyDescent="0.25">
      <c r="B15" s="117" t="s">
        <v>349</v>
      </c>
      <c r="C15" s="118">
        <f>IF(C14=0,0,ROUND(C14/IF(C13="Three-Way Mirror",1/3,IF(C13="Two-Way Mirror",0.5,IF(C13="Dual Parity",IF('Hardware Inputs'!C8&gt;=16,0.8,IF('Hardware Inputs'!C8&gt;=9,0.75,IF('Hardware Inputs'!C8&gt;=7,2/3,0.5))),IF(C13="Nested Two-Way Mirror",0.25,1/3)))),2))</f>
        <v>15.57</v>
      </c>
      <c r="D15" s="119" t="s">
        <v>93</v>
      </c>
      <c r="F15" s="53" t="s">
        <v>134</v>
      </c>
    </row>
    <row r="16" spans="2:6" x14ac:dyDescent="0.25">
      <c r="B16" s="105" t="s">
        <v>350</v>
      </c>
      <c r="C16" s="106"/>
      <c r="D16" s="106"/>
      <c r="E16" s="94"/>
      <c r="F16" s="94"/>
    </row>
    <row r="17" spans="2:6" x14ac:dyDescent="0.25">
      <c r="B17" s="76" t="s">
        <v>351</v>
      </c>
      <c r="C17" s="109">
        <v>1300</v>
      </c>
      <c r="D17" s="77" t="s">
        <v>135</v>
      </c>
      <c r="F17" s="53" t="s">
        <v>352</v>
      </c>
    </row>
    <row r="18" spans="2:6" x14ac:dyDescent="0.25">
      <c r="B18" s="76" t="s">
        <v>353</v>
      </c>
      <c r="C18" s="109">
        <v>330</v>
      </c>
      <c r="D18" s="77" t="s">
        <v>135</v>
      </c>
      <c r="F18" s="53" t="s">
        <v>354</v>
      </c>
    </row>
    <row r="19" spans="2:6" x14ac:dyDescent="0.25">
      <c r="B19" s="76" t="s">
        <v>355</v>
      </c>
      <c r="C19" s="110">
        <v>5</v>
      </c>
      <c r="D19" s="77" t="s">
        <v>133</v>
      </c>
      <c r="F19" s="53" t="s">
        <v>356</v>
      </c>
    </row>
    <row r="20" spans="2:6" x14ac:dyDescent="0.25">
      <c r="B20" s="76" t="s">
        <v>357</v>
      </c>
      <c r="C20" s="121">
        <v>0.3</v>
      </c>
      <c r="D20" s="77" t="s">
        <v>136</v>
      </c>
      <c r="F20" s="53" t="s">
        <v>137</v>
      </c>
    </row>
    <row r="21" spans="2:6" x14ac:dyDescent="0.25">
      <c r="B21" s="76" t="s">
        <v>358</v>
      </c>
      <c r="C21" s="98" t="s">
        <v>115</v>
      </c>
      <c r="D21" s="111" t="str">
        <f>CONCATENATE(TEXT(IF(C21="Three-Way Mirror",1/3,IF(C21="Two-Way Mirror",0.5,IF(C21="Dual Parity",IF('Hardware Inputs'!C8&gt;=16,0.8,IF('Hardware Inputs'!C8&gt;=9,0.75,IF('Hardware Inputs'!C8&gt;=7,2/3,0.5))),IF(C21="Nested Two-Way Mirror",0.25,1/3)))),"0%")," eff.")</f>
        <v>50% eff.</v>
      </c>
    </row>
    <row r="22" spans="2:6" x14ac:dyDescent="0.25">
      <c r="B22" s="112" t="s">
        <v>359</v>
      </c>
      <c r="C22" s="74">
        <f>IF($C$8="No",0,IF(C17=0,0,ROUND((C17*C19*(1+C20))/1024,2)))</f>
        <v>8.25</v>
      </c>
      <c r="D22" s="113" t="s">
        <v>93</v>
      </c>
      <c r="F22" s="95" t="str">
        <f>IF(C22&gt;64,"WARNING: Exceeds 64 TB max volume size!","")</f>
        <v/>
      </c>
    </row>
    <row r="23" spans="2:6" x14ac:dyDescent="0.25">
      <c r="B23" s="114" t="s">
        <v>360</v>
      </c>
      <c r="C23" s="115">
        <f>IF(C22=0,0,ROUND(C22/IF(C21="Three-Way Mirror",1/3,IF(C21="Two-Way Mirror",0.5,IF(C21="Dual Parity",IF('Hardware Inputs'!C8&gt;=16,0.8,IF('Hardware Inputs'!C8&gt;=9,0.75,IF('Hardware Inputs'!C8&gt;=7,2/3,0.5))),IF(C21="Nested Two-Way Mirror",0.25,1/3)))),2))</f>
        <v>16.5</v>
      </c>
      <c r="D23" s="116" t="s">
        <v>93</v>
      </c>
      <c r="F23" s="53" t="s">
        <v>134</v>
      </c>
    </row>
    <row r="24" spans="2:6" ht="15.75" x14ac:dyDescent="0.25">
      <c r="B24" s="122" t="s">
        <v>361</v>
      </c>
      <c r="C24" s="123">
        <f>C15+C23</f>
        <v>32.07</v>
      </c>
      <c r="D24" s="112" t="s">
        <v>93</v>
      </c>
      <c r="F24" s="53" t="s">
        <v>362</v>
      </c>
    </row>
    <row r="26" spans="2:6" x14ac:dyDescent="0.25">
      <c r="B26" s="50" t="s">
        <v>363</v>
      </c>
      <c r="C26" s="51"/>
      <c r="D26" s="51"/>
      <c r="E26" s="51"/>
      <c r="F26" s="51"/>
    </row>
    <row r="27" spans="2:6" x14ac:dyDescent="0.25">
      <c r="B27" s="99" t="s">
        <v>364</v>
      </c>
      <c r="C27" s="100" t="s">
        <v>306</v>
      </c>
      <c r="D27" s="101"/>
      <c r="F27" s="53" t="s">
        <v>339</v>
      </c>
    </row>
    <row r="28" spans="2:6" x14ac:dyDescent="0.25">
      <c r="B28" s="105" t="s">
        <v>365</v>
      </c>
      <c r="C28" s="106"/>
      <c r="D28" s="106"/>
      <c r="E28" s="94"/>
      <c r="F28" s="94"/>
    </row>
    <row r="29" spans="2:6" x14ac:dyDescent="0.25">
      <c r="B29" s="76" t="s">
        <v>366</v>
      </c>
      <c r="C29" s="109">
        <v>1</v>
      </c>
      <c r="D29" s="77" t="s">
        <v>367</v>
      </c>
      <c r="F29" s="53" t="s">
        <v>368</v>
      </c>
    </row>
    <row r="30" spans="2:6" x14ac:dyDescent="0.25">
      <c r="B30" s="76" t="s">
        <v>369</v>
      </c>
      <c r="C30" s="109">
        <v>1</v>
      </c>
      <c r="D30" s="77" t="s">
        <v>310</v>
      </c>
      <c r="F30" s="53" t="s">
        <v>370</v>
      </c>
    </row>
    <row r="31" spans="2:6" x14ac:dyDescent="0.25">
      <c r="B31" s="76" t="s">
        <v>371</v>
      </c>
      <c r="C31" s="109">
        <v>3</v>
      </c>
      <c r="D31" s="77" t="s">
        <v>310</v>
      </c>
      <c r="F31" s="53" t="s">
        <v>372</v>
      </c>
    </row>
    <row r="32" spans="2:6" x14ac:dyDescent="0.25">
      <c r="B32" s="76" t="s">
        <v>373</v>
      </c>
      <c r="C32" s="110">
        <v>200</v>
      </c>
      <c r="D32" s="77" t="s">
        <v>133</v>
      </c>
      <c r="F32" s="53" t="s">
        <v>374</v>
      </c>
    </row>
    <row r="33" spans="2:6" x14ac:dyDescent="0.25">
      <c r="B33" s="103" t="s">
        <v>375</v>
      </c>
      <c r="C33" s="104"/>
      <c r="D33" s="104"/>
      <c r="E33" s="94"/>
      <c r="F33" s="94"/>
    </row>
    <row r="34" spans="2:6" x14ac:dyDescent="0.25">
      <c r="B34" s="76" t="s">
        <v>376</v>
      </c>
      <c r="C34" s="125">
        <v>0</v>
      </c>
      <c r="D34" s="77" t="s">
        <v>93</v>
      </c>
      <c r="F34" s="53" t="s">
        <v>377</v>
      </c>
    </row>
    <row r="35" spans="2:6" x14ac:dyDescent="0.25">
      <c r="B35" s="76" t="s">
        <v>378</v>
      </c>
      <c r="C35" s="125">
        <v>0</v>
      </c>
      <c r="D35" s="77" t="s">
        <v>93</v>
      </c>
      <c r="F35" s="53" t="s">
        <v>379</v>
      </c>
    </row>
    <row r="36" spans="2:6" x14ac:dyDescent="0.25">
      <c r="B36" s="76" t="s">
        <v>380</v>
      </c>
      <c r="C36" s="98" t="s">
        <v>118</v>
      </c>
      <c r="D36" s="111" t="str">
        <f>CONCATENATE(TEXT(IF(C36="Three-Way Mirror",1/3,IF(C36="Two-Way Mirror",0.5,IF(C36="Dual Parity",IF('Hardware Inputs'!C8&gt;=16,0.8,IF('Hardware Inputs'!C8&gt;=9,0.75,IF('Hardware Inputs'!C8&gt;=7,2/3,0.5))),IF(C36="Nested Two-Way Mirror",0.25,1/3)))),"0%")," eff.")</f>
        <v>33% eff.</v>
      </c>
    </row>
    <row r="37" spans="2:6" x14ac:dyDescent="0.25">
      <c r="B37" s="112" t="s">
        <v>381</v>
      </c>
      <c r="C37" s="74">
        <f>IF($C$27="No",0,ROUND(((C30+C31)*C32/1024)+C34+C35,2))</f>
        <v>0</v>
      </c>
      <c r="D37" s="113" t="s">
        <v>93</v>
      </c>
      <c r="F37" s="95" t="str">
        <f>IF(C37&gt;64,"WARNING: Exceeds 64 TB max volume size!","")</f>
        <v/>
      </c>
    </row>
    <row r="38" spans="2:6" ht="15.75" x14ac:dyDescent="0.25">
      <c r="B38" s="122" t="s">
        <v>382</v>
      </c>
      <c r="C38" s="123">
        <f>IF(C37=0,0,ROUND(C37/IF(C36="Three-Way Mirror",1/3,IF(C36="Two-Way Mirror",0.5,IF(C36="Dual Parity",IF('Hardware Inputs'!C8&gt;=16,0.8,IF('Hardware Inputs'!C8&gt;=9,0.75,IF('Hardware Inputs'!C8&gt;=7,2/3,0.5))),IF(C36="Nested Two-Way Mirror",0.25,1/3)))),2))</f>
        <v>0</v>
      </c>
      <c r="D38" s="112" t="s">
        <v>93</v>
      </c>
      <c r="F38" s="53" t="s">
        <v>383</v>
      </c>
    </row>
    <row r="40" spans="2:6" x14ac:dyDescent="0.25">
      <c r="B40" s="50" t="s">
        <v>384</v>
      </c>
      <c r="C40" s="51"/>
      <c r="D40" s="51"/>
      <c r="E40" s="51"/>
      <c r="F40" s="51"/>
    </row>
    <row r="41" spans="2:6" x14ac:dyDescent="0.25">
      <c r="B41" s="99" t="s">
        <v>385</v>
      </c>
      <c r="C41" s="100" t="s">
        <v>306</v>
      </c>
      <c r="D41" s="101"/>
      <c r="F41" s="53" t="s">
        <v>386</v>
      </c>
    </row>
    <row r="42" spans="2:6" x14ac:dyDescent="0.25">
      <c r="B42" s="76" t="s">
        <v>387</v>
      </c>
      <c r="C42" s="109">
        <v>0</v>
      </c>
      <c r="D42" s="77" t="s">
        <v>132</v>
      </c>
      <c r="F42" s="53" t="s">
        <v>388</v>
      </c>
    </row>
    <row r="43" spans="2:6" x14ac:dyDescent="0.25">
      <c r="B43" s="76" t="s">
        <v>389</v>
      </c>
      <c r="C43" s="110">
        <v>200</v>
      </c>
      <c r="D43" s="77" t="s">
        <v>133</v>
      </c>
      <c r="F43" s="53" t="s">
        <v>390</v>
      </c>
    </row>
    <row r="44" spans="2:6" x14ac:dyDescent="0.25">
      <c r="B44" s="76" t="s">
        <v>391</v>
      </c>
      <c r="C44" s="98" t="s">
        <v>118</v>
      </c>
      <c r="D44" s="111" t="str">
        <f>CONCATENATE(TEXT(IF(C44="Three-Way Mirror",1/3,IF(C44="Two-Way Mirror",0.5,IF(C44="Dual Parity",IF('Hardware Inputs'!C8&gt;=16,0.8,IF('Hardware Inputs'!C8&gt;=9,0.75,IF('Hardware Inputs'!C8&gt;=7,2/3,0.5))),IF(C44="Nested Two-Way Mirror",0.25,1/3)))),"0%")," eff.")</f>
        <v>33% eff.</v>
      </c>
    </row>
    <row r="45" spans="2:6" x14ac:dyDescent="0.25">
      <c r="B45" s="112" t="s">
        <v>392</v>
      </c>
      <c r="C45" s="74">
        <f>IF($C$41="No",0,IF(C42=0,0,ROUND(C42*C43/1024,2)))</f>
        <v>0</v>
      </c>
      <c r="D45" s="113" t="s">
        <v>93</v>
      </c>
      <c r="F45" s="95" t="str">
        <f>IF(C45&gt;64,"WARNING: Exceeds 64 TB max volume size!","")</f>
        <v/>
      </c>
    </row>
    <row r="46" spans="2:6" ht="15.75" x14ac:dyDescent="0.25">
      <c r="B46" s="122" t="s">
        <v>393</v>
      </c>
      <c r="C46" s="123">
        <f>IF(C45=0,0,ROUND(C45/IF(C44="Three-Way Mirror",1/3,IF(C44="Two-Way Mirror",0.5,IF(C44="Dual Parity",IF('Hardware Inputs'!C8&gt;=16,0.8,IF('Hardware Inputs'!C8&gt;=9,0.75,IF('Hardware Inputs'!C8&gt;=7,2/3,0.5))),IF(C44="Nested Two-Way Mirror",0.25,1/3)))),2))</f>
        <v>0</v>
      </c>
      <c r="D46" s="112" t="s">
        <v>93</v>
      </c>
      <c r="F46" s="53" t="s">
        <v>134</v>
      </c>
    </row>
    <row r="49" spans="2:6" x14ac:dyDescent="0.25">
      <c r="B49" s="50" t="s">
        <v>394</v>
      </c>
      <c r="C49" s="51"/>
      <c r="D49" s="51"/>
      <c r="E49" s="51"/>
      <c r="F49" s="51"/>
    </row>
    <row r="50" spans="2:6" x14ac:dyDescent="0.25">
      <c r="B50" s="99" t="s">
        <v>395</v>
      </c>
      <c r="C50" s="100" t="s">
        <v>306</v>
      </c>
      <c r="D50" s="101"/>
      <c r="F50" s="53" t="s">
        <v>339</v>
      </c>
    </row>
    <row r="51" spans="2:6" x14ac:dyDescent="0.25">
      <c r="B51" s="76" t="s">
        <v>396</v>
      </c>
      <c r="C51" s="109">
        <v>0</v>
      </c>
      <c r="D51" s="77" t="s">
        <v>132</v>
      </c>
    </row>
    <row r="52" spans="2:6" x14ac:dyDescent="0.25">
      <c r="B52" s="76" t="s">
        <v>389</v>
      </c>
      <c r="C52" s="110">
        <v>120</v>
      </c>
      <c r="D52" s="77" t="s">
        <v>133</v>
      </c>
    </row>
    <row r="53" spans="2:6" x14ac:dyDescent="0.25">
      <c r="B53" s="76" t="s">
        <v>397</v>
      </c>
      <c r="C53" s="98" t="s">
        <v>115</v>
      </c>
      <c r="D53" s="111" t="str">
        <f>CONCATENATE(TEXT(IF(C53="Three-Way Mirror",1/3,IF(C53="Two-Way Mirror",0.5,IF(C53="Dual Parity",IF('Hardware Inputs'!C8&gt;=16,0.8,IF('Hardware Inputs'!C8&gt;=9,0.75,IF('Hardware Inputs'!C8&gt;=7,2/3,0.5))),IF(C53="Nested Two-Way Mirror",0.25,1/3)))),"0%")," eff.")</f>
        <v>50% eff.</v>
      </c>
    </row>
    <row r="54" spans="2:6" x14ac:dyDescent="0.25">
      <c r="B54" s="112" t="s">
        <v>398</v>
      </c>
      <c r="C54" s="74">
        <f>IF($C$50="No",0,IF(C51=0,0,ROUND(C51*C52/1024,2)))</f>
        <v>0</v>
      </c>
      <c r="D54" s="113" t="s">
        <v>93</v>
      </c>
      <c r="F54" s="95" t="str">
        <f>IF(C54&gt;64,"WARNING: Exceeds 64 TB max volume size!","")</f>
        <v/>
      </c>
    </row>
    <row r="55" spans="2:6" ht="36" customHeight="1" x14ac:dyDescent="0.25">
      <c r="B55" s="122" t="s">
        <v>399</v>
      </c>
      <c r="C55" s="123">
        <f>IF(C54=0,0,ROUND(C54/IF(C53="Three-Way Mirror",1/3,IF(C53="Two-Way Mirror",0.5,IF(C53="Dual Parity",IF('Hardware Inputs'!C8&gt;=16,0.8,IF('Hardware Inputs'!C8&gt;=9,0.75,IF('Hardware Inputs'!C8&gt;=7,2/3,0.5))),IF(C53="Nested Two-Way Mirror",0.25,1/3)))),2))</f>
        <v>0</v>
      </c>
      <c r="D55" s="112" t="s">
        <v>93</v>
      </c>
    </row>
    <row r="57" spans="2:6" x14ac:dyDescent="0.25">
      <c r="B57" s="50" t="s">
        <v>400</v>
      </c>
      <c r="C57" s="51"/>
      <c r="D57" s="51"/>
      <c r="E57" s="51"/>
      <c r="F57" s="51"/>
    </row>
    <row r="58" spans="2:6" x14ac:dyDescent="0.25">
      <c r="B58" s="99" t="s">
        <v>401</v>
      </c>
      <c r="C58" s="100" t="s">
        <v>306</v>
      </c>
      <c r="D58" s="101"/>
      <c r="F58" s="53" t="s">
        <v>339</v>
      </c>
    </row>
    <row r="59" spans="2:6" x14ac:dyDescent="0.25">
      <c r="B59" s="76" t="s">
        <v>402</v>
      </c>
      <c r="C59" s="125">
        <v>3</v>
      </c>
      <c r="D59" s="77" t="s">
        <v>93</v>
      </c>
    </row>
    <row r="60" spans="2:6" x14ac:dyDescent="0.25">
      <c r="B60" s="76" t="s">
        <v>403</v>
      </c>
      <c r="C60" s="98" t="s">
        <v>139</v>
      </c>
      <c r="D60" s="111" t="str">
        <f>CONCATENATE(TEXT(IF(C60="Three-Way Mirror",1/3,IF(C60="Two-Way Mirror",0.5,IF(C60="Dual Parity",IF('Hardware Inputs'!C8&gt;=16,0.8,IF('Hardware Inputs'!C8&gt;=9,0.75,IF('Hardware Inputs'!C8&gt;=7,2/3,0.5))),IF(C60="Nested Two-Way Mirror",0.25,1/3)))),"0%")," eff.")</f>
        <v>50% eff.</v>
      </c>
    </row>
    <row r="61" spans="2:6" x14ac:dyDescent="0.25">
      <c r="B61" s="112" t="s">
        <v>404</v>
      </c>
      <c r="C61" s="74">
        <f>IF($C$58="No",0,C59)</f>
        <v>0</v>
      </c>
      <c r="D61" s="113" t="s">
        <v>93</v>
      </c>
    </row>
    <row r="62" spans="2:6" ht="15.75" x14ac:dyDescent="0.25">
      <c r="B62" s="122" t="s">
        <v>405</v>
      </c>
      <c r="C62" s="123">
        <f>IF(C61=0,0,ROUND(C61/IF(C60="Three-Way Mirror",1/3,IF(C60="Two-Way Mirror",0.5,IF(C60="Dual Parity",IF('Hardware Inputs'!C8&gt;=16,0.8,IF('Hardware Inputs'!C8&gt;=9,0.75,IF('Hardware Inputs'!C8&gt;=7,2/3,0.5))),IF(C60="Nested Two-Way Mirror",0.25,1/3)))),2))</f>
        <v>0</v>
      </c>
      <c r="D62" s="112" t="s">
        <v>93</v>
      </c>
    </row>
    <row r="64" spans="2:6" x14ac:dyDescent="0.25">
      <c r="B64" s="50" t="s">
        <v>406</v>
      </c>
      <c r="C64" s="51"/>
      <c r="D64" s="51"/>
      <c r="E64" s="51"/>
      <c r="F64" s="51"/>
    </row>
    <row r="65" spans="2:6" x14ac:dyDescent="0.25">
      <c r="B65" s="151" t="s">
        <v>439</v>
      </c>
      <c r="C65" s="92" t="s">
        <v>306</v>
      </c>
      <c r="D65" s="51"/>
      <c r="E65" s="51"/>
      <c r="F65" s="152" t="s">
        <v>339</v>
      </c>
    </row>
    <row r="66" spans="2:6" x14ac:dyDescent="0.25">
      <c r="B66" s="76" t="s">
        <v>407</v>
      </c>
      <c r="C66" s="125">
        <v>0</v>
      </c>
      <c r="D66" s="77" t="s">
        <v>93</v>
      </c>
      <c r="F66" s="53" t="s">
        <v>408</v>
      </c>
    </row>
    <row r="67" spans="2:6" x14ac:dyDescent="0.25">
      <c r="B67" s="76" t="s">
        <v>409</v>
      </c>
      <c r="C67" s="98" t="s">
        <v>118</v>
      </c>
      <c r="D67" s="111" t="str">
        <f>CONCATENATE(TEXT(IF(C67="Three-Way Mirror",1/3,IF(C67="Two-Way Mirror",0.5,IF(C67="Dual Parity",IF('Hardware Inputs'!C8&gt;=16,0.8,IF('Hardware Inputs'!C8&gt;=9,0.75,IF('Hardware Inputs'!C8&gt;=7,2/3,0.5))),IF(C67="Nested Two-Way Mirror",0.25,1/3)))),"0%")," eff.")</f>
        <v>33% eff.</v>
      </c>
    </row>
    <row r="68" spans="2:6" x14ac:dyDescent="0.25">
      <c r="B68" s="112" t="s">
        <v>410</v>
      </c>
      <c r="C68" s="74">
        <f>IF($C$65="No",0,C66)</f>
        <v>0</v>
      </c>
      <c r="D68" s="113" t="s">
        <v>93</v>
      </c>
    </row>
    <row r="69" spans="2:6" ht="15.75" x14ac:dyDescent="0.25">
      <c r="B69" s="122" t="s">
        <v>411</v>
      </c>
      <c r="C69" s="123">
        <f>IF(C68=0,0,ROUND(C68/IF(C67="Three-Way Mirror",1/3,IF(C67="Two-Way Mirror",0.5,IF(C67="Dual Parity",IF('Hardware Inputs'!C8&gt;=16,0.8,IF('Hardware Inputs'!C8&gt;=9,0.75,IF('Hardware Inputs'!C8&gt;=7,2/3,0.5))),IF(C67="Nested Two-Way Mirror",0.25,1/3)))),2))</f>
        <v>0</v>
      </c>
      <c r="D69" s="112" t="s">
        <v>93</v>
      </c>
    </row>
    <row r="72" spans="2:6" ht="18" x14ac:dyDescent="0.25">
      <c r="B72" s="48" t="s">
        <v>140</v>
      </c>
      <c r="C72" s="49"/>
      <c r="D72" s="49"/>
      <c r="E72" s="49"/>
      <c r="F72" s="49"/>
    </row>
    <row r="73" spans="2:6" ht="15.75" x14ac:dyDescent="0.25">
      <c r="B73" s="96" t="s">
        <v>141</v>
      </c>
      <c r="C73" s="126">
        <f>'Hardware Inputs'!C24</f>
        <v>41.643600000000006</v>
      </c>
      <c r="D73" s="127" t="s">
        <v>93</v>
      </c>
      <c r="F73" s="53" t="s">
        <v>142</v>
      </c>
    </row>
    <row r="75" spans="2:6" x14ac:dyDescent="0.25">
      <c r="B75" s="76" t="s">
        <v>412</v>
      </c>
      <c r="C75" s="74">
        <f>C15</f>
        <v>15.57</v>
      </c>
      <c r="D75" s="77" t="s">
        <v>93</v>
      </c>
    </row>
    <row r="76" spans="2:6" x14ac:dyDescent="0.25">
      <c r="B76" s="76" t="s">
        <v>413</v>
      </c>
      <c r="C76" s="74">
        <f>C23</f>
        <v>16.5</v>
      </c>
      <c r="D76" s="77" t="s">
        <v>93</v>
      </c>
    </row>
    <row r="77" spans="2:6" x14ac:dyDescent="0.25">
      <c r="B77" s="76" t="s">
        <v>414</v>
      </c>
      <c r="C77" s="74">
        <f>C38</f>
        <v>0</v>
      </c>
      <c r="D77" s="77" t="s">
        <v>93</v>
      </c>
    </row>
    <row r="78" spans="2:6" x14ac:dyDescent="0.25">
      <c r="B78" s="76" t="s">
        <v>415</v>
      </c>
      <c r="C78" s="74">
        <f>C46</f>
        <v>0</v>
      </c>
      <c r="D78" s="77" t="s">
        <v>93</v>
      </c>
    </row>
    <row r="79" spans="2:6" x14ac:dyDescent="0.25">
      <c r="B79" s="76" t="s">
        <v>416</v>
      </c>
      <c r="C79" s="74">
        <f>C55</f>
        <v>0</v>
      </c>
      <c r="D79" s="77" t="s">
        <v>93</v>
      </c>
    </row>
    <row r="80" spans="2:6" x14ac:dyDescent="0.25">
      <c r="B80" s="76" t="s">
        <v>417</v>
      </c>
      <c r="C80" s="74">
        <f>C62</f>
        <v>0</v>
      </c>
      <c r="D80" s="77" t="s">
        <v>93</v>
      </c>
    </row>
    <row r="81" spans="2:6" x14ac:dyDescent="0.25">
      <c r="B81" s="76" t="s">
        <v>418</v>
      </c>
      <c r="C81" s="74">
        <f>C69</f>
        <v>0</v>
      </c>
      <c r="D81" s="77" t="s">
        <v>93</v>
      </c>
    </row>
    <row r="83" spans="2:6" ht="15.75" x14ac:dyDescent="0.25">
      <c r="B83" s="128" t="s">
        <v>143</v>
      </c>
      <c r="C83" s="129">
        <f>SUM(C75:C81)</f>
        <v>32.07</v>
      </c>
      <c r="D83" s="114" t="s">
        <v>93</v>
      </c>
      <c r="F83" s="53" t="s">
        <v>144</v>
      </c>
    </row>
    <row r="84" spans="2:6" x14ac:dyDescent="0.25">
      <c r="B84" s="112" t="s">
        <v>145</v>
      </c>
      <c r="C84" s="74">
        <f>C14+C22+C37+C45+C54+C61+C68</f>
        <v>13.440000000000001</v>
      </c>
      <c r="D84" s="113" t="s">
        <v>93</v>
      </c>
      <c r="F84" s="53" t="s">
        <v>146</v>
      </c>
    </row>
    <row r="85" spans="2:6" x14ac:dyDescent="0.25">
      <c r="B85" s="112" t="s">
        <v>147</v>
      </c>
      <c r="C85" s="130">
        <f>(C14&gt;0)+(C22&gt;0)+(C37&gt;0)+(C45&gt;0)+(C54&gt;0)+(C61&gt;0)+(C68&gt;0)</f>
        <v>2</v>
      </c>
      <c r="D85" s="113" t="s">
        <v>148</v>
      </c>
      <c r="F85" s="53" t="str">
        <f>IF(MOD(C85,'Hardware Inputs'!C8)=0,"Volume count is multiple of node count.","Tip: Microsoft recommends multiple of node count ("&amp;'Hardware Inputs'!C8&amp;").")</f>
        <v>Tip: Microsoft recommends multiple of node count (3).</v>
      </c>
    </row>
    <row r="87" spans="2:6" ht="20.25" x14ac:dyDescent="0.3">
      <c r="B87" s="131" t="s">
        <v>149</v>
      </c>
      <c r="C87" s="97">
        <f>C73-C83</f>
        <v>9.5736000000000061</v>
      </c>
      <c r="D87" s="131" t="s">
        <v>93</v>
      </c>
      <c r="F87" s="89" t="str">
        <f>IF(C87&lt;0,"OVER CAPACITY!",IF(C83/C73&gt;0.7,"Caution: Above 70%.","Healthy."))</f>
        <v>Caution: Above 70%.</v>
      </c>
    </row>
    <row r="88" spans="2:6" x14ac:dyDescent="0.25">
      <c r="B88" s="112" t="s">
        <v>150</v>
      </c>
      <c r="C88" s="132">
        <f>IF(C73=0,0,C83/C73)</f>
        <v>0.77010633086476665</v>
      </c>
      <c r="D88" s="7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07D8B"/>
  </sheetPr>
  <dimension ref="B2:E23"/>
  <sheetViews>
    <sheetView zoomScaleNormal="100" workbookViewId="0"/>
  </sheetViews>
  <sheetFormatPr defaultColWidth="8.7109375" defaultRowHeight="15" x14ac:dyDescent="0.25"/>
  <cols>
    <col min="1" max="1" width="3" customWidth="1"/>
    <col min="2" max="2" width="46" customWidth="1"/>
    <col min="3" max="3" width="20" customWidth="1"/>
    <col min="4" max="4" width="18" customWidth="1"/>
    <col min="5" max="5" width="60" customWidth="1"/>
  </cols>
  <sheetData>
    <row r="2" spans="2:5" ht="18" x14ac:dyDescent="0.25">
      <c r="B2" s="41" t="s">
        <v>151</v>
      </c>
      <c r="C2" s="41"/>
      <c r="D2" s="41"/>
      <c r="E2" s="41"/>
    </row>
    <row r="4" spans="2:5" x14ac:dyDescent="0.25">
      <c r="B4" s="40" t="s">
        <v>152</v>
      </c>
      <c r="C4" s="40"/>
      <c r="D4" s="40"/>
      <c r="E4" s="40"/>
    </row>
    <row r="5" spans="2:5" ht="45" customHeight="1" x14ac:dyDescent="0.25">
      <c r="B5" s="43" t="s">
        <v>153</v>
      </c>
      <c r="C5" s="43"/>
      <c r="D5" s="43"/>
      <c r="E5" s="43"/>
    </row>
    <row r="7" spans="2:5" x14ac:dyDescent="0.25">
      <c r="B7" s="16" t="s">
        <v>154</v>
      </c>
      <c r="C7" s="24">
        <f>7.68*C8</f>
        <v>7.0655999999999999</v>
      </c>
      <c r="D7" s="1" t="s">
        <v>155</v>
      </c>
      <c r="E7" s="20" t="s">
        <v>156</v>
      </c>
    </row>
    <row r="8" spans="2:5" x14ac:dyDescent="0.25">
      <c r="B8" s="16" t="s">
        <v>157</v>
      </c>
      <c r="C8" s="32">
        <v>0.92</v>
      </c>
      <c r="D8" s="20" t="s">
        <v>158</v>
      </c>
      <c r="E8" s="20" t="s">
        <v>159</v>
      </c>
    </row>
    <row r="10" spans="2:5" x14ac:dyDescent="0.25">
      <c r="B10" s="40" t="s">
        <v>160</v>
      </c>
      <c r="C10" s="40"/>
      <c r="D10" s="40"/>
      <c r="E10" s="40"/>
    </row>
    <row r="11" spans="2:5" ht="34.5" customHeight="1" x14ac:dyDescent="0.25">
      <c r="B11" s="43" t="s">
        <v>161</v>
      </c>
      <c r="C11" s="43"/>
      <c r="D11" s="43"/>
      <c r="E11" s="43"/>
    </row>
    <row r="13" spans="2:5" x14ac:dyDescent="0.25">
      <c r="B13" s="16" t="s">
        <v>162</v>
      </c>
      <c r="C13" s="22">
        <v>0.25</v>
      </c>
      <c r="D13" s="20" t="s">
        <v>163</v>
      </c>
      <c r="E13" s="20" t="s">
        <v>164</v>
      </c>
    </row>
    <row r="14" spans="2:5" x14ac:dyDescent="0.25">
      <c r="B14" s="25" t="s">
        <v>165</v>
      </c>
      <c r="C14" s="26">
        <f>ROUND(C13/IF('Hardware Inputs'!C8&gt;=3,1/3,IF('Hardware Inputs'!C8=2,0.5,1)),2)</f>
        <v>0.75</v>
      </c>
      <c r="D14" s="1" t="s">
        <v>166</v>
      </c>
      <c r="E14" s="20" t="s">
        <v>167</v>
      </c>
    </row>
    <row r="16" spans="2:5" x14ac:dyDescent="0.25">
      <c r="B16" s="40" t="s">
        <v>168</v>
      </c>
      <c r="C16" s="40"/>
      <c r="D16" s="40"/>
      <c r="E16" s="40"/>
    </row>
    <row r="17" spans="2:5" ht="30" customHeight="1" x14ac:dyDescent="0.25">
      <c r="B17" s="43" t="s">
        <v>169</v>
      </c>
      <c r="C17" s="43"/>
      <c r="D17" s="43"/>
      <c r="E17" s="43"/>
    </row>
    <row r="18" spans="2:5" x14ac:dyDescent="0.25">
      <c r="B18" s="16" t="s">
        <v>170</v>
      </c>
      <c r="C18" s="24">
        <f>ROUND(1*(1000/1024)^3,2)</f>
        <v>0.93</v>
      </c>
      <c r="D18" s="1" t="s">
        <v>171</v>
      </c>
      <c r="E18" s="20" t="s">
        <v>172</v>
      </c>
    </row>
    <row r="19" spans="2:5" x14ac:dyDescent="0.25">
      <c r="B19" s="16" t="s">
        <v>173</v>
      </c>
      <c r="C19" s="24">
        <f>ROUND(5*(1000/1024)^3,2)</f>
        <v>4.66</v>
      </c>
      <c r="D19" s="1" t="s">
        <v>171</v>
      </c>
      <c r="E19" s="20" t="s">
        <v>172</v>
      </c>
    </row>
    <row r="20" spans="2:5" x14ac:dyDescent="0.25">
      <c r="B20" s="16" t="s">
        <v>174</v>
      </c>
      <c r="C20" s="24">
        <f>ROUND(10*(1000/1024)^3,2)</f>
        <v>9.31</v>
      </c>
      <c r="D20" s="1" t="s">
        <v>171</v>
      </c>
      <c r="E20" s="20" t="s">
        <v>172</v>
      </c>
    </row>
    <row r="21" spans="2:5" x14ac:dyDescent="0.25">
      <c r="B21" s="16" t="s">
        <v>175</v>
      </c>
      <c r="C21" s="24">
        <f>ROUND(25*(1000/1024)^3,2)</f>
        <v>23.28</v>
      </c>
      <c r="D21" s="1" t="s">
        <v>171</v>
      </c>
      <c r="E21" s="20" t="s">
        <v>172</v>
      </c>
    </row>
    <row r="22" spans="2:5" x14ac:dyDescent="0.25">
      <c r="B22" s="16" t="s">
        <v>176</v>
      </c>
      <c r="C22" s="24">
        <f>ROUND(50*(1000/1024)^3,2)</f>
        <v>46.57</v>
      </c>
      <c r="D22" s="1" t="s">
        <v>171</v>
      </c>
      <c r="E22" s="20" t="s">
        <v>172</v>
      </c>
    </row>
    <row r="23" spans="2:5" x14ac:dyDescent="0.25">
      <c r="B23" s="16" t="s">
        <v>177</v>
      </c>
      <c r="C23" s="24">
        <f>ROUND(100*(1000/1024)^3,2)</f>
        <v>93.13</v>
      </c>
      <c r="D23" s="1" t="s">
        <v>171</v>
      </c>
      <c r="E23" s="20" t="s">
        <v>172</v>
      </c>
    </row>
  </sheetData>
  <mergeCells count="7">
    <mergeCell ref="B16:E16"/>
    <mergeCell ref="B17:E17"/>
    <mergeCell ref="B2:E2"/>
    <mergeCell ref="B4:E4"/>
    <mergeCell ref="B5:E5"/>
    <mergeCell ref="B10:E10"/>
    <mergeCell ref="B11:E1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9800"/>
  </sheetPr>
  <dimension ref="B2:E42"/>
  <sheetViews>
    <sheetView zoomScaleNormal="100" workbookViewId="0"/>
  </sheetViews>
  <sheetFormatPr defaultColWidth="8.7109375" defaultRowHeight="15" x14ac:dyDescent="0.25"/>
  <cols>
    <col min="1" max="1" width="3" customWidth="1"/>
    <col min="2" max="2" width="48" customWidth="1"/>
    <col min="3" max="3" width="22.42578125" bestFit="1" customWidth="1"/>
    <col min="4" max="4" width="14" customWidth="1"/>
    <col min="5" max="5" width="60" customWidth="1"/>
  </cols>
  <sheetData>
    <row r="2" spans="2:5" ht="18" x14ac:dyDescent="0.25">
      <c r="B2" s="41" t="s">
        <v>178</v>
      </c>
      <c r="C2" s="41"/>
      <c r="D2" s="41"/>
      <c r="E2" s="41"/>
    </row>
    <row r="4" spans="2:5" x14ac:dyDescent="0.25">
      <c r="B4" s="40" t="s">
        <v>179</v>
      </c>
      <c r="C4" s="40"/>
      <c r="D4" s="40"/>
      <c r="E4" s="40"/>
    </row>
    <row r="5" spans="2:5" x14ac:dyDescent="0.25">
      <c r="B5" s="16" t="s">
        <v>180</v>
      </c>
      <c r="C5" s="23">
        <f>'Hardware Inputs'!C8</f>
        <v>3</v>
      </c>
      <c r="D5" s="1" t="s">
        <v>181</v>
      </c>
      <c r="E5" s="20"/>
    </row>
    <row r="6" spans="2:5" x14ac:dyDescent="0.25">
      <c r="B6" s="16" t="s">
        <v>182</v>
      </c>
      <c r="C6" s="11" t="str">
        <f>'Hardware Inputs'!C9</f>
        <v>All-NVMe (No Cache)</v>
      </c>
      <c r="D6" s="1"/>
      <c r="E6" s="20"/>
    </row>
    <row r="7" spans="2:5" x14ac:dyDescent="0.25">
      <c r="B7" s="16" t="s">
        <v>183</v>
      </c>
      <c r="C7" s="23">
        <f>'Hardware Inputs'!C16</f>
        <v>9</v>
      </c>
      <c r="D7" s="1" t="s">
        <v>88</v>
      </c>
      <c r="E7" s="20"/>
    </row>
    <row r="8" spans="2:5" x14ac:dyDescent="0.25">
      <c r="B8" s="16" t="s">
        <v>184</v>
      </c>
      <c r="C8" s="24">
        <f>'Hardware Inputs'!C11</f>
        <v>7.68</v>
      </c>
      <c r="D8" s="1" t="s">
        <v>185</v>
      </c>
      <c r="E8" s="20"/>
    </row>
    <row r="9" spans="2:5" x14ac:dyDescent="0.25">
      <c r="B9" s="16" t="s">
        <v>186</v>
      </c>
      <c r="C9" s="24">
        <f>'Hardware Inputs'!C18</f>
        <v>69.12</v>
      </c>
      <c r="D9" s="1" t="s">
        <v>93</v>
      </c>
      <c r="E9" s="20"/>
    </row>
    <row r="10" spans="2:5" x14ac:dyDescent="0.25">
      <c r="B10" s="16" t="s">
        <v>187</v>
      </c>
      <c r="C10" s="24">
        <f>'Hardware Inputs'!C20</f>
        <v>63.590400000000002</v>
      </c>
      <c r="D10" s="1" t="s">
        <v>93</v>
      </c>
      <c r="E10" s="20"/>
    </row>
    <row r="11" spans="2:5" x14ac:dyDescent="0.25">
      <c r="B11" s="16" t="s">
        <v>188</v>
      </c>
      <c r="C11" s="24">
        <f>'Hardware Inputs'!C21</f>
        <v>21.1968</v>
      </c>
      <c r="D11" s="1" t="s">
        <v>93</v>
      </c>
      <c r="E11" s="20"/>
    </row>
    <row r="12" spans="2:5" x14ac:dyDescent="0.25">
      <c r="B12" s="16" t="s">
        <v>189</v>
      </c>
      <c r="C12" s="24">
        <f>'Hardware Inputs'!C22</f>
        <v>0.75</v>
      </c>
      <c r="D12" s="1" t="s">
        <v>93</v>
      </c>
      <c r="E12" s="20"/>
    </row>
    <row r="13" spans="2:5" ht="15.75" x14ac:dyDescent="0.25">
      <c r="B13" s="9" t="s">
        <v>190</v>
      </c>
      <c r="C13" s="34">
        <f>'Hardware Inputs'!C24</f>
        <v>41.643600000000006</v>
      </c>
      <c r="D13" s="1" t="s">
        <v>93</v>
      </c>
      <c r="E13" s="20"/>
    </row>
    <row r="14" spans="2:5" x14ac:dyDescent="0.25">
      <c r="B14" s="16" t="s">
        <v>191</v>
      </c>
      <c r="C14" s="24">
        <f>'Hardware Inputs'!C26</f>
        <v>40.67</v>
      </c>
      <c r="D14" s="1" t="s">
        <v>192</v>
      </c>
      <c r="E14" s="20"/>
    </row>
    <row r="15" spans="2:5" x14ac:dyDescent="0.25">
      <c r="B15" s="16" t="s">
        <v>193</v>
      </c>
      <c r="C15" s="24">
        <f>'Workload Planner'!C83</f>
        <v>32.07</v>
      </c>
      <c r="D15" s="1" t="s">
        <v>93</v>
      </c>
      <c r="E15" s="20"/>
    </row>
    <row r="16" spans="2:5" x14ac:dyDescent="0.25">
      <c r="B16" s="16" t="s">
        <v>194</v>
      </c>
      <c r="C16" s="24">
        <f>'Workload Planner'!C84</f>
        <v>13.440000000000001</v>
      </c>
      <c r="D16" s="1" t="s">
        <v>93</v>
      </c>
      <c r="E16" s="20"/>
    </row>
    <row r="17" spans="2:5" ht="15.75" x14ac:dyDescent="0.25">
      <c r="B17" s="9" t="s">
        <v>195</v>
      </c>
      <c r="C17" s="34">
        <f>'Workload Planner'!C87</f>
        <v>9.5736000000000061</v>
      </c>
      <c r="D17" s="1" t="s">
        <v>93</v>
      </c>
      <c r="E17" s="20"/>
    </row>
    <row r="18" spans="2:5" x14ac:dyDescent="0.25">
      <c r="B18" s="16" t="s">
        <v>150</v>
      </c>
      <c r="C18" s="33">
        <f>'Workload Planner'!C88</f>
        <v>0.77010633086476665</v>
      </c>
      <c r="D18" s="1"/>
      <c r="E18" s="20"/>
    </row>
    <row r="20" spans="2:5" x14ac:dyDescent="0.25">
      <c r="B20" s="40" t="s">
        <v>196</v>
      </c>
      <c r="C20" s="40"/>
      <c r="D20" s="40"/>
      <c r="E20" s="40"/>
    </row>
    <row r="21" spans="2:5" ht="27.75" customHeight="1" x14ac:dyDescent="0.25">
      <c r="B21" s="18" t="s">
        <v>186</v>
      </c>
      <c r="C21" s="43" t="s">
        <v>197</v>
      </c>
      <c r="D21" s="43"/>
      <c r="E21" s="43"/>
    </row>
    <row r="22" spans="2:5" ht="27.75" customHeight="1" x14ac:dyDescent="0.25">
      <c r="B22" s="18" t="s">
        <v>198</v>
      </c>
      <c r="C22" s="43" t="s">
        <v>199</v>
      </c>
      <c r="D22" s="43"/>
      <c r="E22" s="43"/>
    </row>
    <row r="23" spans="2:5" ht="27.75" customHeight="1" x14ac:dyDescent="0.25">
      <c r="B23" s="18" t="s">
        <v>200</v>
      </c>
      <c r="C23" s="43" t="s">
        <v>201</v>
      </c>
      <c r="D23" s="43"/>
      <c r="E23" s="43"/>
    </row>
    <row r="24" spans="2:5" ht="27.75" customHeight="1" x14ac:dyDescent="0.25">
      <c r="B24" s="18" t="s">
        <v>202</v>
      </c>
      <c r="C24" s="43" t="s">
        <v>203</v>
      </c>
      <c r="D24" s="43"/>
      <c r="E24" s="43"/>
    </row>
    <row r="25" spans="2:5" ht="27.75" customHeight="1" x14ac:dyDescent="0.25">
      <c r="B25" s="18" t="s">
        <v>189</v>
      </c>
      <c r="C25" s="43" t="s">
        <v>204</v>
      </c>
      <c r="D25" s="43"/>
      <c r="E25" s="43"/>
    </row>
    <row r="26" spans="2:5" ht="27.75" customHeight="1" x14ac:dyDescent="0.25">
      <c r="B26" s="18" t="s">
        <v>205</v>
      </c>
      <c r="C26" s="43" t="s">
        <v>206</v>
      </c>
      <c r="D26" s="43"/>
      <c r="E26" s="43"/>
    </row>
    <row r="27" spans="2:5" ht="27.75" customHeight="1" x14ac:dyDescent="0.25">
      <c r="B27" s="18" t="s">
        <v>207</v>
      </c>
      <c r="C27" s="43" t="s">
        <v>208</v>
      </c>
      <c r="D27" s="43"/>
      <c r="E27" s="43"/>
    </row>
    <row r="28" spans="2:5" ht="27.75" customHeight="1" x14ac:dyDescent="0.25">
      <c r="B28" s="18" t="s">
        <v>209</v>
      </c>
      <c r="C28" s="43" t="s">
        <v>210</v>
      </c>
      <c r="D28" s="43"/>
      <c r="E28" s="43"/>
    </row>
    <row r="29" spans="2:5" ht="27.75" customHeight="1" x14ac:dyDescent="0.25">
      <c r="B29" s="18" t="s">
        <v>112</v>
      </c>
      <c r="C29" s="43" t="s">
        <v>211</v>
      </c>
      <c r="D29" s="43"/>
      <c r="E29" s="43"/>
    </row>
    <row r="30" spans="2:5" ht="27.75" customHeight="1" x14ac:dyDescent="0.25">
      <c r="B30" s="18" t="s">
        <v>212</v>
      </c>
      <c r="C30" s="43" t="s">
        <v>213</v>
      </c>
      <c r="D30" s="43"/>
      <c r="E30" s="43"/>
    </row>
    <row r="32" spans="2:5" x14ac:dyDescent="0.25">
      <c r="B32" s="40" t="s">
        <v>214</v>
      </c>
      <c r="C32" s="40"/>
      <c r="D32" s="40"/>
      <c r="E32" s="40"/>
    </row>
    <row r="33" spans="2:5" ht="27.75" customHeight="1" x14ac:dyDescent="0.25">
      <c r="B33" s="35" t="s">
        <v>215</v>
      </c>
      <c r="C33" s="43" t="s">
        <v>216</v>
      </c>
      <c r="D33" s="43"/>
      <c r="E33" s="43"/>
    </row>
    <row r="34" spans="2:5" ht="27.75" customHeight="1" x14ac:dyDescent="0.25">
      <c r="B34" s="35" t="s">
        <v>217</v>
      </c>
      <c r="C34" s="43" t="s">
        <v>218</v>
      </c>
      <c r="D34" s="43"/>
      <c r="E34" s="43"/>
    </row>
    <row r="35" spans="2:5" ht="27.75" customHeight="1" x14ac:dyDescent="0.25">
      <c r="B35" s="35" t="s">
        <v>219</v>
      </c>
      <c r="C35" s="43" t="s">
        <v>220</v>
      </c>
      <c r="D35" s="43"/>
      <c r="E35" s="43"/>
    </row>
    <row r="37" spans="2:5" x14ac:dyDescent="0.25">
      <c r="B37" s="40" t="s">
        <v>221</v>
      </c>
      <c r="C37" s="40"/>
      <c r="D37" s="40"/>
      <c r="E37" s="40"/>
    </row>
    <row r="38" spans="2:5" ht="24.75" customHeight="1" x14ac:dyDescent="0.25">
      <c r="B38" s="18" t="s">
        <v>222</v>
      </c>
      <c r="C38" s="43" t="s">
        <v>223</v>
      </c>
      <c r="D38" s="43"/>
      <c r="E38" s="43"/>
    </row>
    <row r="39" spans="2:5" ht="24.75" customHeight="1" x14ac:dyDescent="0.25">
      <c r="B39" s="18" t="s">
        <v>224</v>
      </c>
      <c r="C39" s="43" t="s">
        <v>225</v>
      </c>
      <c r="D39" s="43"/>
      <c r="E39" s="43"/>
    </row>
    <row r="40" spans="2:5" ht="24.75" customHeight="1" x14ac:dyDescent="0.25">
      <c r="B40" s="18" t="s">
        <v>226</v>
      </c>
      <c r="C40" s="43" t="s">
        <v>227</v>
      </c>
      <c r="D40" s="43"/>
      <c r="E40" s="43"/>
    </row>
    <row r="41" spans="2:5" ht="24.75" customHeight="1" x14ac:dyDescent="0.25">
      <c r="B41" s="18" t="s">
        <v>228</v>
      </c>
      <c r="C41" s="43" t="s">
        <v>229</v>
      </c>
      <c r="D41" s="43"/>
      <c r="E41" s="43"/>
    </row>
    <row r="42" spans="2:5" ht="24.75" customHeight="1" x14ac:dyDescent="0.25">
      <c r="B42" s="18" t="s">
        <v>230</v>
      </c>
      <c r="C42" s="43" t="s">
        <v>231</v>
      </c>
      <c r="D42" s="43"/>
      <c r="E42" s="43"/>
    </row>
  </sheetData>
  <mergeCells count="23">
    <mergeCell ref="B2:E2"/>
    <mergeCell ref="B4:E4"/>
    <mergeCell ref="B20:E20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B32:E32"/>
    <mergeCell ref="C33:E33"/>
    <mergeCell ref="C40:E40"/>
    <mergeCell ref="C41:E41"/>
    <mergeCell ref="C42:E42"/>
    <mergeCell ref="C34:E34"/>
    <mergeCell ref="C35:E35"/>
    <mergeCell ref="B37:E37"/>
    <mergeCell ref="C38:E38"/>
    <mergeCell ref="C39:E3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44336"/>
  </sheetPr>
  <dimension ref="B2:E37"/>
  <sheetViews>
    <sheetView topLeftCell="A11" zoomScaleNormal="100" workbookViewId="0"/>
  </sheetViews>
  <sheetFormatPr defaultColWidth="8.7109375" defaultRowHeight="15" x14ac:dyDescent="0.25"/>
  <cols>
    <col min="1" max="1" width="3" customWidth="1"/>
    <col min="2" max="2" width="46" customWidth="1"/>
    <col min="3" max="3" width="20" customWidth="1"/>
    <col min="4" max="4" width="16" customWidth="1"/>
    <col min="5" max="5" width="60" customWidth="1"/>
  </cols>
  <sheetData>
    <row r="2" spans="2:5" ht="18" x14ac:dyDescent="0.25">
      <c r="B2" s="47" t="s">
        <v>232</v>
      </c>
      <c r="C2" s="47"/>
      <c r="D2" s="47"/>
      <c r="E2" s="47"/>
    </row>
    <row r="4" spans="2:5" x14ac:dyDescent="0.25">
      <c r="B4" s="40" t="s">
        <v>233</v>
      </c>
      <c r="C4" s="40"/>
      <c r="D4" s="40"/>
      <c r="E4" s="40"/>
    </row>
    <row r="5" spans="2:5" ht="30" customHeight="1" x14ac:dyDescent="0.25">
      <c r="B5" s="44" t="s">
        <v>234</v>
      </c>
      <c r="C5" s="44"/>
      <c r="D5" s="44"/>
      <c r="E5" s="44"/>
    </row>
    <row r="7" spans="2:5" x14ac:dyDescent="0.25">
      <c r="B7" s="40" t="s">
        <v>235</v>
      </c>
      <c r="C7" s="40"/>
      <c r="D7" s="40"/>
      <c r="E7" s="40"/>
    </row>
    <row r="8" spans="2:5" ht="15" customHeight="1" x14ac:dyDescent="0.25">
      <c r="B8" s="36" t="s">
        <v>236</v>
      </c>
      <c r="C8" s="43" t="s">
        <v>237</v>
      </c>
      <c r="D8" s="43"/>
      <c r="E8" s="43"/>
    </row>
    <row r="9" spans="2:5" ht="15" customHeight="1" x14ac:dyDescent="0.25">
      <c r="B9" s="36" t="s">
        <v>238</v>
      </c>
      <c r="C9" s="43" t="s">
        <v>239</v>
      </c>
      <c r="D9" s="43"/>
      <c r="E9" s="43"/>
    </row>
    <row r="10" spans="2:5" ht="15" customHeight="1" x14ac:dyDescent="0.25">
      <c r="B10" s="36" t="s">
        <v>240</v>
      </c>
      <c r="C10" s="43" t="s">
        <v>241</v>
      </c>
      <c r="D10" s="43"/>
      <c r="E10" s="43"/>
    </row>
    <row r="11" spans="2:5" ht="15" customHeight="1" x14ac:dyDescent="0.25">
      <c r="B11" s="36" t="s">
        <v>242</v>
      </c>
      <c r="C11" s="43" t="s">
        <v>243</v>
      </c>
      <c r="D11" s="43"/>
      <c r="E11" s="43"/>
    </row>
    <row r="13" spans="2:5" x14ac:dyDescent="0.25">
      <c r="B13" s="46" t="s">
        <v>244</v>
      </c>
      <c r="C13" s="46"/>
      <c r="D13" s="46"/>
      <c r="E13" s="46"/>
    </row>
    <row r="14" spans="2:5" ht="30" customHeight="1" x14ac:dyDescent="0.25">
      <c r="B14" s="37" t="s">
        <v>245</v>
      </c>
      <c r="C14" s="43" t="s">
        <v>246</v>
      </c>
      <c r="D14" s="43"/>
      <c r="E14" s="43"/>
    </row>
    <row r="15" spans="2:5" ht="30" customHeight="1" x14ac:dyDescent="0.25">
      <c r="B15" s="37" t="s">
        <v>247</v>
      </c>
      <c r="C15" s="43" t="s">
        <v>248</v>
      </c>
      <c r="D15" s="43"/>
      <c r="E15" s="43"/>
    </row>
    <row r="16" spans="2:5" ht="30" customHeight="1" x14ac:dyDescent="0.25">
      <c r="B16" s="37" t="s">
        <v>249</v>
      </c>
      <c r="C16" s="43" t="s">
        <v>250</v>
      </c>
      <c r="D16" s="43"/>
      <c r="E16" s="43"/>
    </row>
    <row r="17" spans="2:5" ht="30" customHeight="1" x14ac:dyDescent="0.25">
      <c r="B17" s="37" t="s">
        <v>251</v>
      </c>
      <c r="C17" s="43" t="s">
        <v>252</v>
      </c>
      <c r="D17" s="43"/>
      <c r="E17" s="43"/>
    </row>
    <row r="18" spans="2:5" ht="30" customHeight="1" x14ac:dyDescent="0.25">
      <c r="B18" s="37" t="s">
        <v>253</v>
      </c>
      <c r="C18" s="43" t="s">
        <v>254</v>
      </c>
      <c r="D18" s="43"/>
      <c r="E18" s="43"/>
    </row>
    <row r="19" spans="2:5" ht="30" customHeight="1" x14ac:dyDescent="0.25">
      <c r="B19" s="37" t="s">
        <v>255</v>
      </c>
      <c r="C19" s="43" t="s">
        <v>256</v>
      </c>
      <c r="D19" s="43"/>
      <c r="E19" s="43"/>
    </row>
    <row r="21" spans="2:5" x14ac:dyDescent="0.25">
      <c r="B21" s="40" t="s">
        <v>257</v>
      </c>
      <c r="C21" s="40"/>
      <c r="D21" s="40"/>
      <c r="E21" s="40"/>
    </row>
    <row r="22" spans="2:5" ht="30" customHeight="1" x14ac:dyDescent="0.25">
      <c r="B22" s="35" t="s">
        <v>258</v>
      </c>
      <c r="C22" s="43" t="s">
        <v>259</v>
      </c>
      <c r="D22" s="43"/>
      <c r="E22" s="43"/>
    </row>
    <row r="23" spans="2:5" ht="30" customHeight="1" x14ac:dyDescent="0.25">
      <c r="B23" s="35" t="s">
        <v>260</v>
      </c>
      <c r="C23" s="43" t="s">
        <v>261</v>
      </c>
      <c r="D23" s="43"/>
      <c r="E23" s="43"/>
    </row>
    <row r="24" spans="2:5" ht="30" customHeight="1" x14ac:dyDescent="0.25">
      <c r="B24" s="35" t="s">
        <v>262</v>
      </c>
      <c r="C24" s="43" t="s">
        <v>263</v>
      </c>
      <c r="D24" s="43"/>
      <c r="E24" s="43"/>
    </row>
    <row r="25" spans="2:5" ht="30" customHeight="1" x14ac:dyDescent="0.25">
      <c r="B25" s="35" t="s">
        <v>264</v>
      </c>
      <c r="C25" s="43" t="s">
        <v>265</v>
      </c>
      <c r="D25" s="43"/>
      <c r="E25" s="43"/>
    </row>
    <row r="26" spans="2:5" ht="30" customHeight="1" x14ac:dyDescent="0.25">
      <c r="B26" s="35" t="s">
        <v>266</v>
      </c>
      <c r="C26" s="43" t="s">
        <v>267</v>
      </c>
      <c r="D26" s="43"/>
      <c r="E26" s="43"/>
    </row>
    <row r="28" spans="2:5" x14ac:dyDescent="0.25">
      <c r="B28" s="40" t="s">
        <v>268</v>
      </c>
      <c r="C28" s="40"/>
      <c r="D28" s="40"/>
      <c r="E28" s="40"/>
    </row>
    <row r="29" spans="2:5" ht="15" customHeight="1" x14ac:dyDescent="0.25">
      <c r="B29" s="17" t="s">
        <v>47</v>
      </c>
      <c r="C29" s="43" t="s">
        <v>269</v>
      </c>
      <c r="D29" s="43"/>
      <c r="E29" s="43"/>
    </row>
    <row r="30" spans="2:5" ht="15" customHeight="1" x14ac:dyDescent="0.25">
      <c r="B30" s="17" t="s">
        <v>49</v>
      </c>
      <c r="C30" s="43" t="s">
        <v>270</v>
      </c>
      <c r="D30" s="43"/>
      <c r="E30" s="43"/>
    </row>
    <row r="31" spans="2:5" ht="15" customHeight="1" x14ac:dyDescent="0.25">
      <c r="B31" s="17" t="s">
        <v>51</v>
      </c>
      <c r="C31" s="43" t="s">
        <v>271</v>
      </c>
      <c r="D31" s="43"/>
      <c r="E31" s="43"/>
    </row>
    <row r="32" spans="2:5" ht="15" customHeight="1" x14ac:dyDescent="0.25">
      <c r="B32" s="17" t="s">
        <v>53</v>
      </c>
      <c r="C32" s="43" t="s">
        <v>272</v>
      </c>
      <c r="D32" s="43"/>
      <c r="E32" s="43"/>
    </row>
    <row r="33" spans="2:5" ht="15" customHeight="1" x14ac:dyDescent="0.25">
      <c r="B33" s="17" t="s">
        <v>55</v>
      </c>
      <c r="C33" s="43" t="s">
        <v>273</v>
      </c>
      <c r="D33" s="43"/>
      <c r="E33" s="43"/>
    </row>
    <row r="34" spans="2:5" ht="15" customHeight="1" x14ac:dyDescent="0.25">
      <c r="B34" s="17" t="s">
        <v>57</v>
      </c>
      <c r="C34" s="43" t="s">
        <v>274</v>
      </c>
      <c r="D34" s="43"/>
      <c r="E34" s="43"/>
    </row>
    <row r="35" spans="2:5" ht="15" customHeight="1" x14ac:dyDescent="0.25">
      <c r="B35" s="17" t="s">
        <v>59</v>
      </c>
      <c r="C35" s="43" t="s">
        <v>275</v>
      </c>
      <c r="D35" s="43"/>
      <c r="E35" s="43"/>
    </row>
    <row r="36" spans="2:5" ht="15" customHeight="1" x14ac:dyDescent="0.25">
      <c r="B36" s="17" t="s">
        <v>61</v>
      </c>
      <c r="C36" s="43" t="s">
        <v>276</v>
      </c>
      <c r="D36" s="43"/>
      <c r="E36" s="43"/>
    </row>
    <row r="37" spans="2:5" ht="15" customHeight="1" x14ac:dyDescent="0.25">
      <c r="B37" s="17" t="s">
        <v>277</v>
      </c>
      <c r="C37" s="43" t="s">
        <v>278</v>
      </c>
      <c r="D37" s="43"/>
      <c r="E37" s="43"/>
    </row>
  </sheetData>
  <mergeCells count="31">
    <mergeCell ref="B2:E2"/>
    <mergeCell ref="B4:E4"/>
    <mergeCell ref="B5:E5"/>
    <mergeCell ref="B7:E7"/>
    <mergeCell ref="C8:E8"/>
    <mergeCell ref="C9:E9"/>
    <mergeCell ref="C10:E10"/>
    <mergeCell ref="C11:E11"/>
    <mergeCell ref="B13:E13"/>
    <mergeCell ref="C14:E14"/>
    <mergeCell ref="C15:E15"/>
    <mergeCell ref="C16:E16"/>
    <mergeCell ref="C17:E17"/>
    <mergeCell ref="C18:E18"/>
    <mergeCell ref="C19:E19"/>
    <mergeCell ref="B21:E21"/>
    <mergeCell ref="C22:E22"/>
    <mergeCell ref="C23:E23"/>
    <mergeCell ref="C24:E24"/>
    <mergeCell ref="C25:E25"/>
    <mergeCell ref="C26:E26"/>
    <mergeCell ref="B28:E28"/>
    <mergeCell ref="C29:E29"/>
    <mergeCell ref="C30:E30"/>
    <mergeCell ref="C31:E31"/>
    <mergeCell ref="C37:E37"/>
    <mergeCell ref="C32:E32"/>
    <mergeCell ref="C33:E33"/>
    <mergeCell ref="C34:E34"/>
    <mergeCell ref="C35:E35"/>
    <mergeCell ref="C36:E3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C27B0"/>
  </sheetPr>
  <dimension ref="B2:I20"/>
  <sheetViews>
    <sheetView zoomScaleNormal="100" workbookViewId="0">
      <selection activeCell="B14" sqref="B14:H14"/>
    </sheetView>
  </sheetViews>
  <sheetFormatPr defaultColWidth="8.7109375" defaultRowHeight="15" x14ac:dyDescent="0.25"/>
  <cols>
    <col min="1" max="1" width="2.85546875" customWidth="1"/>
    <col min="2" max="2" width="26.7109375" customWidth="1"/>
    <col min="3" max="3" width="22.85546875" customWidth="1"/>
    <col min="4" max="5" width="17.140625" customWidth="1"/>
    <col min="6" max="6" width="19" customWidth="1"/>
    <col min="7" max="7" width="11.42578125" customWidth="1"/>
    <col min="8" max="8" width="13.28515625" customWidth="1"/>
    <col min="9" max="9" width="19" customWidth="1"/>
  </cols>
  <sheetData>
    <row r="2" spans="2:9" ht="18" x14ac:dyDescent="0.25">
      <c r="B2" s="48" t="s">
        <v>426</v>
      </c>
      <c r="C2" s="49"/>
      <c r="D2" s="49"/>
      <c r="E2" s="49"/>
      <c r="F2" s="49"/>
      <c r="G2" s="49"/>
      <c r="H2" s="49"/>
      <c r="I2" s="49"/>
    </row>
    <row r="3" spans="2:9" x14ac:dyDescent="0.25">
      <c r="B3" s="50" t="s">
        <v>427</v>
      </c>
      <c r="C3" s="51"/>
      <c r="D3" s="51"/>
      <c r="E3" s="51"/>
      <c r="F3" s="51"/>
      <c r="G3" s="51"/>
      <c r="H3" s="51"/>
      <c r="I3" s="51"/>
    </row>
    <row r="5" spans="2:9" s="54" customFormat="1" ht="35.1" customHeight="1" x14ac:dyDescent="0.25">
      <c r="B5" s="67" t="s">
        <v>428</v>
      </c>
      <c r="C5" s="67" t="s">
        <v>279</v>
      </c>
      <c r="D5" s="67" t="s">
        <v>429</v>
      </c>
      <c r="E5" s="67" t="s">
        <v>430</v>
      </c>
      <c r="F5" s="67" t="s">
        <v>431</v>
      </c>
      <c r="G5" s="67" t="s">
        <v>280</v>
      </c>
      <c r="H5" s="67" t="s">
        <v>112</v>
      </c>
      <c r="I5" s="67" t="s">
        <v>423</v>
      </c>
    </row>
    <row r="6" spans="2:9" x14ac:dyDescent="0.25">
      <c r="B6" s="148" t="s">
        <v>432</v>
      </c>
      <c r="C6" s="139" t="str">
        <f>'Workload Planner'!C13</f>
        <v>Three-Way Mirror</v>
      </c>
      <c r="D6" s="145">
        <f>'Workload Planner'!C14</f>
        <v>5.19</v>
      </c>
      <c r="E6" s="146">
        <f>IF(D6=0,0,ROUND(D6*(1000/1024)^3,2))</f>
        <v>4.83</v>
      </c>
      <c r="F6" s="147">
        <f>'Workload Planner'!C15</f>
        <v>15.57</v>
      </c>
      <c r="G6" s="139" t="str">
        <f>IF(C6="Two-Way Mirror","2x",IF(C6="Three-Way Mirror","3x","parity"))</f>
        <v>3x</v>
      </c>
      <c r="H6" s="137">
        <f>IF(C6="Three-Way Mirror",1/3,IF(C6="Two-Way Mirror",0.5,IF(C6="Dual Parity",IF('Hardware Inputs'!C8&gt;=16,0.8,IF('Hardware Inputs'!C8&gt;=9,0.75,IF('Hardware Inputs'!C8&gt;=7,2/3,0.5))),IF(C6="Nested Two-Way Mirror",0.25,1/3))))</f>
        <v>0.33333333333333331</v>
      </c>
      <c r="I6" s="144" t="str">
        <f>IF(D6=0,"— Disabled",IF(D6&gt;64,"FAIL: &gt;64 TB","PASS"))</f>
        <v>PASS</v>
      </c>
    </row>
    <row r="7" spans="2:9" x14ac:dyDescent="0.25">
      <c r="B7" s="149" t="s">
        <v>433</v>
      </c>
      <c r="C7" s="139" t="str">
        <f>'Workload Planner'!C21</f>
        <v>Two-Way Mirror</v>
      </c>
      <c r="D7" s="145">
        <f>'Workload Planner'!C22</f>
        <v>8.25</v>
      </c>
      <c r="E7" s="146">
        <f>IF(D7=0,0,ROUND(D7*(1000/1024)^3,2))</f>
        <v>7.68</v>
      </c>
      <c r="F7" s="147">
        <f>'Workload Planner'!C23</f>
        <v>16.5</v>
      </c>
      <c r="G7" s="139" t="str">
        <f>IF(C7="Two-Way Mirror","2x",IF(C7="Three-Way Mirror","3x","parity"))</f>
        <v>2x</v>
      </c>
      <c r="H7" s="137">
        <f>IF(C7="Three-Way Mirror",1/3,IF(C7="Two-Way Mirror",0.5,IF(C7="Dual Parity",IF('Hardware Inputs'!C8&gt;=16,0.8,IF('Hardware Inputs'!C8&gt;=9,0.75,IF('Hardware Inputs'!C8&gt;=7,2/3,0.5))),IF(C7="Nested Two-Way Mirror",0.25,1/3))))</f>
        <v>0.5</v>
      </c>
      <c r="I7" s="144" t="str">
        <f>IF(D7=0,"— Disabled",IF(D7&gt;64,"FAIL: &gt;64 TB","PASS"))</f>
        <v>PASS</v>
      </c>
    </row>
    <row r="8" spans="2:9" x14ac:dyDescent="0.25">
      <c r="B8" s="148" t="s">
        <v>434</v>
      </c>
      <c r="C8" s="139" t="str">
        <f>'Workload Planner'!C36</f>
        <v>Three-Way Mirror</v>
      </c>
      <c r="D8" s="145">
        <f>'Workload Planner'!C37</f>
        <v>0</v>
      </c>
      <c r="E8" s="146">
        <f>IF(D8=0,0,ROUND(D8*(1000/1024)^3,2))</f>
        <v>0</v>
      </c>
      <c r="F8" s="147">
        <f>'Workload Planner'!C38</f>
        <v>0</v>
      </c>
      <c r="G8" s="139" t="str">
        <f>IF(C8="Two-Way Mirror","2x",IF(C8="Three-Way Mirror","3x","parity"))</f>
        <v>3x</v>
      </c>
      <c r="H8" s="137">
        <f>IF(C8="Three-Way Mirror",1/3,IF(C8="Two-Way Mirror",0.5,IF(C8="Dual Parity",IF('Hardware Inputs'!C8&gt;=16,0.8,IF('Hardware Inputs'!C8&gt;=9,0.75,IF('Hardware Inputs'!C8&gt;=7,2/3,0.5))),IF(C8="Nested Two-Way Mirror",0.25,1/3))))</f>
        <v>0.33333333333333331</v>
      </c>
      <c r="I8" s="144" t="str">
        <f>IF(D8=0,"— Disabled",IF(D8&gt;64,"FAIL: &gt;64 TB","PASS"))</f>
        <v>— Disabled</v>
      </c>
    </row>
    <row r="9" spans="2:9" x14ac:dyDescent="0.25">
      <c r="B9" s="149" t="s">
        <v>435</v>
      </c>
      <c r="C9" s="139" t="str">
        <f>'Workload Planner'!C44</f>
        <v>Three-Way Mirror</v>
      </c>
      <c r="D9" s="145">
        <f>'Workload Planner'!C45</f>
        <v>0</v>
      </c>
      <c r="E9" s="146">
        <f>IF(D9=0,0,ROUND(D9*(1000/1024)^3,2))</f>
        <v>0</v>
      </c>
      <c r="F9" s="147">
        <f>'Workload Planner'!C46</f>
        <v>0</v>
      </c>
      <c r="G9" s="139" t="str">
        <f>IF(C9="Two-Way Mirror","2x",IF(C9="Three-Way Mirror","3x","parity"))</f>
        <v>3x</v>
      </c>
      <c r="H9" s="137">
        <f>IF(C9="Three-Way Mirror",1/3,IF(C9="Two-Way Mirror",0.5,IF(C9="Dual Parity",IF('Hardware Inputs'!C8&gt;=16,0.8,IF('Hardware Inputs'!C8&gt;=9,0.75,IF('Hardware Inputs'!C8&gt;=7,2/3,0.5))),IF(C9="Nested Two-Way Mirror",0.25,1/3))))</f>
        <v>0.33333333333333331</v>
      </c>
      <c r="I9" s="144" t="str">
        <f>IF(D9=0,"— Disabled",IF(D9&gt;64,"FAIL: &gt;64 TB","PASS"))</f>
        <v>— Disabled</v>
      </c>
    </row>
    <row r="10" spans="2:9" x14ac:dyDescent="0.25">
      <c r="B10" s="148" t="s">
        <v>436</v>
      </c>
      <c r="C10" s="139" t="str">
        <f>'Workload Planner'!C53</f>
        <v>Two-Way Mirror</v>
      </c>
      <c r="D10" s="145">
        <f>'Workload Planner'!C54</f>
        <v>0</v>
      </c>
      <c r="E10" s="146">
        <f>IF(D10=0,0,ROUND(D10*(1000/1024)^3,2))</f>
        <v>0</v>
      </c>
      <c r="F10" s="147">
        <f>'Workload Planner'!C55</f>
        <v>0</v>
      </c>
      <c r="G10" s="139" t="str">
        <f>IF(C10="Two-Way Mirror","2x",IF(C10="Three-Way Mirror","3x","parity"))</f>
        <v>2x</v>
      </c>
      <c r="H10" s="137">
        <f>IF(C10="Three-Way Mirror",1/3,IF(C10="Two-Way Mirror",0.5,IF(C10="Dual Parity",IF('Hardware Inputs'!C8&gt;=16,0.8,IF('Hardware Inputs'!C8&gt;=9,0.75,IF('Hardware Inputs'!C8&gt;=7,2/3,0.5))),IF(C10="Nested Two-Way Mirror",0.25,1/3))))</f>
        <v>0.5</v>
      </c>
      <c r="I10" s="144" t="str">
        <f>IF(D10=0,"— Disabled",IF(D10&gt;64,"FAIL: &gt;64 TB","PASS"))</f>
        <v>— Disabled</v>
      </c>
    </row>
    <row r="11" spans="2:9" x14ac:dyDescent="0.25">
      <c r="B11" s="149" t="s">
        <v>437</v>
      </c>
      <c r="C11" s="139" t="str">
        <f>'Workload Planner'!C60</f>
        <v>Dual Parity</v>
      </c>
      <c r="D11" s="145">
        <f>'Workload Planner'!C61</f>
        <v>0</v>
      </c>
      <c r="E11" s="146">
        <f>IF(D11=0,0,ROUND(D11*(1000/1024)^3,2))</f>
        <v>0</v>
      </c>
      <c r="F11" s="147">
        <f>'Workload Planner'!C62</f>
        <v>0</v>
      </c>
      <c r="G11" s="139" t="str">
        <f>IF(C11="Two-Way Mirror","2x",IF(C11="Three-Way Mirror","3x","parity"))</f>
        <v>parity</v>
      </c>
      <c r="H11" s="137">
        <f>IF(C11="Three-Way Mirror",1/3,IF(C11="Two-Way Mirror",0.5,IF(C11="Dual Parity",IF('Hardware Inputs'!C8&gt;=16,0.8,IF('Hardware Inputs'!C8&gt;=9,0.75,IF('Hardware Inputs'!C8&gt;=7,2/3,0.5))),IF(C11="Nested Two-Way Mirror",0.25,1/3))))</f>
        <v>0.5</v>
      </c>
      <c r="I11" s="144" t="str">
        <f>IF(D11=0,"— Disabled",IF(D11&gt;64,"FAIL: &gt;64 TB","PASS"))</f>
        <v>— Disabled</v>
      </c>
    </row>
    <row r="12" spans="2:9" x14ac:dyDescent="0.25">
      <c r="B12" s="148" t="s">
        <v>281</v>
      </c>
      <c r="C12" s="139" t="str">
        <f>'Workload Planner'!C67</f>
        <v>Three-Way Mirror</v>
      </c>
      <c r="D12" s="145">
        <f>'Workload Planner'!C68</f>
        <v>0</v>
      </c>
      <c r="E12" s="146">
        <f>IF(D12=0,0,ROUND(D12*(1000/1024)^3,2))</f>
        <v>0</v>
      </c>
      <c r="F12" s="147">
        <f>'Workload Planner'!C69</f>
        <v>0</v>
      </c>
      <c r="G12" s="139" t="str">
        <f>IF(C12="Two-Way Mirror","2x",IF(C12="Three-Way Mirror","3x","parity"))</f>
        <v>3x</v>
      </c>
      <c r="H12" s="137">
        <f>IF(C12="Three-Way Mirror",1/3,IF(C12="Two-Way Mirror",0.5,IF(C12="Dual Parity",IF('Hardware Inputs'!C8&gt;=16,0.8,IF('Hardware Inputs'!C8&gt;=9,0.75,IF('Hardware Inputs'!C8&gt;=7,2/3,0.5))),IF(C12="Nested Two-Way Mirror",0.25,1/3))))</f>
        <v>0.33333333333333331</v>
      </c>
      <c r="I12" s="144" t="str">
        <f>IF(D12=0,"— Disabled",IF(D12&gt;64,"FAIL: &gt;64 TB","PASS"))</f>
        <v>— Disabled</v>
      </c>
    </row>
    <row r="13" spans="2:9" x14ac:dyDescent="0.25">
      <c r="B13" s="78"/>
      <c r="C13" s="78"/>
      <c r="D13" s="78"/>
      <c r="E13" s="78"/>
      <c r="F13" s="78"/>
      <c r="G13" s="78"/>
      <c r="H13" s="78"/>
      <c r="I13" s="78"/>
    </row>
    <row r="14" spans="2:9" ht="30" customHeight="1" x14ac:dyDescent="0.25">
      <c r="B14" s="143" t="s">
        <v>282</v>
      </c>
      <c r="C14" s="141"/>
      <c r="D14" s="142">
        <f>SUM(D6:D12)</f>
        <v>13.440000000000001</v>
      </c>
      <c r="E14" s="142">
        <f>SUM(E6:E12)</f>
        <v>12.51</v>
      </c>
      <c r="F14" s="142">
        <f>SUM(F6:F12)</f>
        <v>32.07</v>
      </c>
      <c r="G14" s="141"/>
      <c r="H14" s="141"/>
      <c r="I14" s="140" t="str">
        <f>COUNTIF(I6:I12,"PASS")&amp;" of "&amp;COUNTIF(I6:I12,"&lt;&gt;"&amp;"— Disabled")&amp;" PASS"</f>
        <v>2 of 2 PASS</v>
      </c>
    </row>
    <row r="16" spans="2:9" x14ac:dyDescent="0.25">
      <c r="B16" s="134" t="s">
        <v>283</v>
      </c>
      <c r="C16" s="51"/>
      <c r="D16" s="51"/>
      <c r="E16" s="51"/>
      <c r="F16" s="51"/>
      <c r="G16" s="51"/>
      <c r="H16" s="51"/>
      <c r="I16" s="51"/>
    </row>
    <row r="17" spans="2:9" ht="15.75" x14ac:dyDescent="0.25">
      <c r="B17" s="150" t="str">
        <f>IF('Workload Planner'!C87&lt;0,"FAIL: Exceeds pool by "&amp;TEXT(ABS('Workload Planner'!C87),"0.00")&amp;" TB. Remove workloads or add drives.",IF('Workload Planner'!C88&gt;0.7,"WARNING: "&amp;TEXT('Workload Planner'!C88,"0.0%")&amp;" utilized. Above 70% = limited rebuild headroom.","PASS: "&amp;TEXT('Workload Planner'!C88,"0.0%")&amp;" utilized. Healthy headroom for drive failure repair."))</f>
        <v>WARNING: 77.0% utilized. Above 70% = limited rebuild headroom.</v>
      </c>
      <c r="C17" s="150"/>
      <c r="D17" s="150"/>
      <c r="E17" s="150"/>
      <c r="F17" s="150"/>
      <c r="G17" s="150"/>
      <c r="H17" s="150"/>
      <c r="I17" s="150"/>
    </row>
    <row r="19" spans="2:9" x14ac:dyDescent="0.25">
      <c r="B19" s="80" t="s">
        <v>438</v>
      </c>
      <c r="C19" s="80"/>
      <c r="D19" s="80"/>
      <c r="E19" s="80"/>
      <c r="F19" s="80"/>
      <c r="G19" s="80"/>
      <c r="H19" s="80"/>
      <c r="I19" s="80"/>
    </row>
    <row r="20" spans="2:9" x14ac:dyDescent="0.25">
      <c r="B20" s="80" t="str">
        <f>"Microsoft recommends volume count as a multiple of your node count ("&amp;'Hardware Inputs'!C8&amp;") for balanced data distribution. Consider splitting large Infrastructure or Dev/Test volumes across "&amp;'Hardware Inputs'!C8&amp;" equal volumes where practical. AVD profiles and AKS PVs typically require a single volume."</f>
        <v>Microsoft recommends volume count as a multiple of your node count (3) for balanced data distribution. Consider splitting large Infrastructure or Dev/Test volumes across 3 equal volumes where practical. AVD profiles and AKS PVs typically require a single volume.</v>
      </c>
      <c r="C20" s="80"/>
      <c r="D20" s="80"/>
      <c r="E20" s="80"/>
      <c r="F20" s="80"/>
      <c r="G20" s="80"/>
      <c r="H20" s="80"/>
      <c r="I20" s="80"/>
    </row>
  </sheetData>
  <mergeCells count="3">
    <mergeCell ref="B20:I20"/>
    <mergeCell ref="B17:I17"/>
    <mergeCell ref="B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07E92-0288-455E-B2D1-00281C127365}">
  <dimension ref="A1:H118"/>
  <sheetViews>
    <sheetView workbookViewId="0">
      <pane ySplit="3" topLeftCell="A10" activePane="bottomLeft" state="frozen"/>
      <selection pane="bottomLeft" activeCell="B2" sqref="B2:H2"/>
    </sheetView>
  </sheetViews>
  <sheetFormatPr defaultRowHeight="15" x14ac:dyDescent="0.25"/>
  <cols>
    <col min="1" max="1" width="0.7109375" customWidth="1"/>
    <col min="2" max="2" width="41.7109375" bestFit="1" customWidth="1"/>
    <col min="3" max="3" width="36.85546875" bestFit="1" customWidth="1"/>
    <col min="4" max="4" width="15.85546875" bestFit="1" customWidth="1"/>
    <col min="5" max="5" width="20.5703125" bestFit="1" customWidth="1"/>
    <col min="6" max="6" width="18.28515625" bestFit="1" customWidth="1"/>
    <col min="7" max="7" width="13.42578125" bestFit="1" customWidth="1"/>
    <col min="8" max="8" width="12" customWidth="1"/>
  </cols>
  <sheetData>
    <row r="1" spans="1:8" x14ac:dyDescent="0.25">
      <c r="A1" s="52"/>
      <c r="B1" s="52"/>
      <c r="C1" s="52"/>
      <c r="D1" s="52"/>
      <c r="E1" s="52"/>
      <c r="F1" s="52"/>
      <c r="G1" s="52"/>
      <c r="H1" s="52"/>
    </row>
    <row r="2" spans="1:8" ht="30" customHeight="1" x14ac:dyDescent="0.3">
      <c r="A2" s="52"/>
      <c r="B2" s="155" t="s">
        <v>440</v>
      </c>
      <c r="C2" s="154"/>
      <c r="D2" s="154"/>
      <c r="E2" s="154"/>
      <c r="F2" s="154"/>
      <c r="G2" s="154"/>
      <c r="H2" s="154"/>
    </row>
    <row r="3" spans="1:8" x14ac:dyDescent="0.25">
      <c r="A3" s="52"/>
      <c r="B3" s="156" t="str">
        <f ca="1">"Generated from calculator inputs. All values linked to source tabs. Last updated: "&amp;TEXT(NOW(),"mm/dd/yyyy hh:mm AM/PM")</f>
        <v>Generated from calculator inputs. All values linked to source tabs. Last updated: 03/16/2026 11:40 PM</v>
      </c>
      <c r="C3" s="153"/>
      <c r="D3" s="153"/>
      <c r="E3" s="153"/>
      <c r="F3" s="153"/>
      <c r="G3" s="153"/>
      <c r="H3" s="153"/>
    </row>
    <row r="4" spans="1:8" x14ac:dyDescent="0.25">
      <c r="A4" s="52"/>
      <c r="B4" s="52"/>
      <c r="C4" s="52"/>
      <c r="D4" s="52"/>
      <c r="E4" s="52"/>
      <c r="F4" s="52"/>
      <c r="G4" s="52"/>
      <c r="H4" s="52"/>
    </row>
    <row r="5" spans="1:8" x14ac:dyDescent="0.25">
      <c r="A5" s="52"/>
      <c r="B5" s="157" t="s">
        <v>441</v>
      </c>
      <c r="C5" s="158"/>
      <c r="D5" s="158"/>
      <c r="E5" s="158"/>
      <c r="F5" s="158"/>
      <c r="G5" s="158"/>
      <c r="H5" s="158"/>
    </row>
    <row r="6" spans="1:8" x14ac:dyDescent="0.25">
      <c r="A6" s="52"/>
      <c r="B6" s="159" t="s">
        <v>180</v>
      </c>
      <c r="C6" s="160">
        <f>'Hardware Inputs'!C8</f>
        <v>3</v>
      </c>
      <c r="D6" s="71" t="s">
        <v>310</v>
      </c>
      <c r="E6" s="52"/>
      <c r="F6" s="52"/>
      <c r="G6" s="52"/>
      <c r="H6" s="52"/>
    </row>
    <row r="7" spans="1:8" x14ac:dyDescent="0.25">
      <c r="A7" s="52"/>
      <c r="B7" s="161" t="s">
        <v>442</v>
      </c>
      <c r="C7" s="136" t="str">
        <f>'Hardware Inputs'!C9</f>
        <v>All-NVMe (No Cache)</v>
      </c>
      <c r="D7" s="72"/>
      <c r="E7" s="52"/>
      <c r="F7" s="52"/>
      <c r="G7" s="52"/>
      <c r="H7" s="52"/>
    </row>
    <row r="8" spans="1:8" x14ac:dyDescent="0.25">
      <c r="A8" s="52"/>
      <c r="B8" s="161" t="s">
        <v>74</v>
      </c>
      <c r="C8" s="136">
        <f>'Hardware Inputs'!C10</f>
        <v>3</v>
      </c>
      <c r="D8" s="72" t="s">
        <v>446</v>
      </c>
      <c r="E8" s="52"/>
      <c r="F8" s="52"/>
      <c r="G8" s="52"/>
      <c r="H8" s="52"/>
    </row>
    <row r="9" spans="1:8" x14ac:dyDescent="0.25">
      <c r="A9" s="52"/>
      <c r="B9" s="161" t="s">
        <v>311</v>
      </c>
      <c r="C9" s="135">
        <f>'Hardware Inputs'!C11</f>
        <v>7.68</v>
      </c>
      <c r="D9" s="72" t="s">
        <v>93</v>
      </c>
      <c r="E9" s="52"/>
      <c r="F9" s="52"/>
      <c r="G9" s="52"/>
      <c r="H9" s="52"/>
    </row>
    <row r="10" spans="1:8" x14ac:dyDescent="0.25">
      <c r="A10" s="52"/>
      <c r="B10" s="161" t="s">
        <v>87</v>
      </c>
      <c r="C10" s="162">
        <f>'Hardware Inputs'!C16</f>
        <v>9</v>
      </c>
      <c r="D10" s="72" t="s">
        <v>88</v>
      </c>
      <c r="E10" s="52"/>
      <c r="F10" s="52"/>
      <c r="G10" s="52"/>
      <c r="H10" s="52"/>
    </row>
    <row r="11" spans="1:8" x14ac:dyDescent="0.25">
      <c r="A11" s="52"/>
      <c r="B11" s="161" t="s">
        <v>312</v>
      </c>
      <c r="C11" s="135">
        <f>'Hardware Inputs'!C18</f>
        <v>69.12</v>
      </c>
      <c r="D11" s="72" t="s">
        <v>93</v>
      </c>
      <c r="E11" s="52"/>
      <c r="F11" s="52"/>
      <c r="G11" s="52"/>
      <c r="H11" s="52"/>
    </row>
    <row r="12" spans="1:8" x14ac:dyDescent="0.25">
      <c r="A12" s="52"/>
      <c r="B12" s="161" t="s">
        <v>443</v>
      </c>
      <c r="C12" s="135">
        <f>'Hardware Inputs'!C20</f>
        <v>63.590400000000002</v>
      </c>
      <c r="D12" s="72" t="s">
        <v>93</v>
      </c>
      <c r="E12" s="52"/>
      <c r="F12" s="52"/>
      <c r="G12" s="52"/>
      <c r="H12" s="52"/>
    </row>
    <row r="13" spans="1:8" x14ac:dyDescent="0.25">
      <c r="A13" s="52"/>
      <c r="B13" s="161" t="s">
        <v>99</v>
      </c>
      <c r="C13" s="135">
        <f>'Hardware Inputs'!C21</f>
        <v>21.1968</v>
      </c>
      <c r="D13" s="72" t="s">
        <v>93</v>
      </c>
      <c r="E13" s="52"/>
      <c r="F13" s="52"/>
      <c r="G13" s="52"/>
      <c r="H13" s="52"/>
    </row>
    <row r="14" spans="1:8" x14ac:dyDescent="0.25">
      <c r="A14" s="52"/>
      <c r="B14" s="161" t="s">
        <v>444</v>
      </c>
      <c r="C14" s="135">
        <f>'Hardware Inputs'!C22</f>
        <v>0.75</v>
      </c>
      <c r="D14" s="72" t="s">
        <v>93</v>
      </c>
      <c r="E14" s="52"/>
      <c r="F14" s="52"/>
      <c r="G14" s="52"/>
      <c r="H14" s="52"/>
    </row>
    <row r="15" spans="1:8" ht="15.75" x14ac:dyDescent="0.25">
      <c r="A15" s="52"/>
      <c r="B15" s="102" t="s">
        <v>445</v>
      </c>
      <c r="C15" s="166">
        <f>'Hardware Inputs'!C24</f>
        <v>41.643600000000006</v>
      </c>
      <c r="D15" s="165" t="s">
        <v>93</v>
      </c>
      <c r="E15" s="53" t="str">
        <f>"(WAC shows: "&amp;ROUND('Hardware Inputs'!C24*(1000/1024)^3,2)&amp;" TiB)"</f>
        <v>(WAC shows: 38.78 TiB)</v>
      </c>
      <c r="F15" s="52"/>
      <c r="G15" s="52"/>
      <c r="H15" s="52"/>
    </row>
    <row r="16" spans="1:8" x14ac:dyDescent="0.25">
      <c r="A16" s="52"/>
      <c r="B16" s="52"/>
      <c r="C16" s="52"/>
      <c r="D16" s="52"/>
      <c r="E16" s="52"/>
      <c r="F16" s="52"/>
      <c r="G16" s="52"/>
      <c r="H16" s="52"/>
    </row>
    <row r="17" spans="1:8" x14ac:dyDescent="0.25">
      <c r="A17" s="52"/>
      <c r="B17" s="157" t="s">
        <v>447</v>
      </c>
      <c r="C17" s="158"/>
      <c r="D17" s="158"/>
      <c r="E17" s="158"/>
      <c r="F17" s="158"/>
      <c r="G17" s="158"/>
      <c r="H17" s="158"/>
    </row>
    <row r="18" spans="1:8" x14ac:dyDescent="0.25">
      <c r="A18" s="52"/>
      <c r="B18" s="159" t="s">
        <v>141</v>
      </c>
      <c r="C18" s="167">
        <f>'Workload Planner'!C73</f>
        <v>41.643600000000006</v>
      </c>
      <c r="D18" s="71" t="s">
        <v>93</v>
      </c>
      <c r="E18" s="52"/>
      <c r="F18" s="52"/>
      <c r="G18" s="52"/>
      <c r="H18" s="52"/>
    </row>
    <row r="19" spans="1:8" x14ac:dyDescent="0.25">
      <c r="A19" s="52"/>
      <c r="B19" s="161" t="s">
        <v>448</v>
      </c>
      <c r="C19" s="135">
        <f>'Workload Planner'!C83</f>
        <v>32.07</v>
      </c>
      <c r="D19" s="72" t="s">
        <v>93</v>
      </c>
      <c r="E19" s="52"/>
      <c r="F19" s="52"/>
      <c r="G19" s="52"/>
      <c r="H19" s="52"/>
    </row>
    <row r="20" spans="1:8" x14ac:dyDescent="0.25">
      <c r="A20" s="52"/>
      <c r="B20" s="161" t="s">
        <v>449</v>
      </c>
      <c r="C20" s="135">
        <f>'Workload Planner'!C84</f>
        <v>13.440000000000001</v>
      </c>
      <c r="D20" s="72" t="s">
        <v>93</v>
      </c>
      <c r="E20" s="52"/>
      <c r="F20" s="52"/>
      <c r="G20" s="52"/>
      <c r="H20" s="52"/>
    </row>
    <row r="21" spans="1:8" x14ac:dyDescent="0.25">
      <c r="A21" s="52"/>
      <c r="B21" s="161" t="s">
        <v>147</v>
      </c>
      <c r="C21" s="162">
        <f>'Workload Planner'!C85</f>
        <v>2</v>
      </c>
      <c r="D21" s="72" t="s">
        <v>148</v>
      </c>
      <c r="E21" s="52"/>
      <c r="F21" s="52"/>
      <c r="G21" s="52"/>
      <c r="H21" s="52"/>
    </row>
    <row r="22" spans="1:8" x14ac:dyDescent="0.25">
      <c r="A22" s="52"/>
      <c r="B22" s="161"/>
      <c r="C22" s="72"/>
      <c r="D22" s="72"/>
      <c r="E22" s="52"/>
      <c r="F22" s="52"/>
      <c r="G22" s="52"/>
      <c r="H22" s="52"/>
    </row>
    <row r="23" spans="1:8" ht="15.75" x14ac:dyDescent="0.25">
      <c r="A23" s="52"/>
      <c r="B23" s="169" t="s">
        <v>149</v>
      </c>
      <c r="C23" s="120">
        <f>'Workload Planner'!C87</f>
        <v>9.5736000000000061</v>
      </c>
      <c r="D23" s="170" t="s">
        <v>93</v>
      </c>
      <c r="E23" s="52"/>
      <c r="F23" s="52"/>
      <c r="G23" s="52"/>
      <c r="H23" s="52"/>
    </row>
    <row r="24" spans="1:8" x14ac:dyDescent="0.25">
      <c r="A24" s="52"/>
      <c r="B24" s="169" t="s">
        <v>150</v>
      </c>
      <c r="C24" s="171">
        <f>'Workload Planner'!C88</f>
        <v>0.77010633086476665</v>
      </c>
      <c r="D24" s="170"/>
      <c r="E24" s="52"/>
      <c r="F24" s="52"/>
      <c r="G24" s="52"/>
      <c r="H24" s="52"/>
    </row>
    <row r="25" spans="1:8" x14ac:dyDescent="0.25">
      <c r="A25" s="52"/>
      <c r="B25" s="163" t="s">
        <v>450</v>
      </c>
      <c r="C25" s="168" t="str">
        <f>IF('Workload Planner'!C87&lt;0,"FAIL — OVER CAPACITY",IF('Workload Planner'!C88&gt;0.7,"WARNING — Above 70% utilization","PASS — Healthy headroom"))</f>
        <v>WARNING — Above 70% utilization</v>
      </c>
      <c r="D25" s="107"/>
      <c r="E25" s="52"/>
      <c r="F25" s="52"/>
      <c r="G25" s="52"/>
      <c r="H25" s="52"/>
    </row>
    <row r="26" spans="1:8" ht="0.95" customHeight="1" x14ac:dyDescent="0.25">
      <c r="A26" s="52"/>
      <c r="B26" s="207"/>
      <c r="C26" s="209" t="s">
        <v>483</v>
      </c>
      <c r="D26" s="209" t="s">
        <v>484</v>
      </c>
      <c r="E26" s="52"/>
      <c r="F26" s="52"/>
      <c r="G26" s="52"/>
      <c r="H26" s="52"/>
    </row>
    <row r="27" spans="1:8" ht="0.95" customHeight="1" x14ac:dyDescent="0.25">
      <c r="A27" s="52"/>
      <c r="B27" s="210" t="s">
        <v>200</v>
      </c>
      <c r="C27" s="211">
        <f>'Workload Planner'!C83</f>
        <v>32.07</v>
      </c>
      <c r="D27" s="212">
        <f>IF('Workload Planner'!C87&gt;0,'Workload Planner'!C87,0)</f>
        <v>9.5736000000000061</v>
      </c>
      <c r="E27" s="52"/>
      <c r="F27" s="52"/>
      <c r="G27" s="52"/>
      <c r="H27" s="52"/>
    </row>
    <row r="28" spans="1:8" x14ac:dyDescent="0.25">
      <c r="A28" s="52"/>
      <c r="B28" s="207"/>
      <c r="C28" s="208"/>
      <c r="D28" s="108"/>
      <c r="E28" s="52"/>
      <c r="F28" s="52"/>
      <c r="G28" s="52"/>
      <c r="H28" s="52"/>
    </row>
    <row r="29" spans="1:8" x14ac:dyDescent="0.25">
      <c r="A29" s="52"/>
      <c r="B29" s="207"/>
      <c r="C29" s="208"/>
      <c r="D29" s="108"/>
      <c r="E29" s="52"/>
      <c r="F29" s="52"/>
      <c r="G29" s="52"/>
      <c r="H29" s="52"/>
    </row>
    <row r="30" spans="1:8" x14ac:dyDescent="0.25">
      <c r="A30" s="52"/>
      <c r="B30" s="207"/>
      <c r="C30" s="208"/>
      <c r="D30" s="108"/>
      <c r="E30" s="52"/>
      <c r="F30" s="52"/>
      <c r="G30" s="52"/>
      <c r="H30" s="52"/>
    </row>
    <row r="31" spans="1:8" x14ac:dyDescent="0.25">
      <c r="A31" s="52"/>
      <c r="B31" s="207"/>
      <c r="C31" s="208"/>
      <c r="D31" s="108"/>
      <c r="E31" s="52"/>
      <c r="F31" s="52"/>
      <c r="G31" s="52"/>
      <c r="H31" s="52"/>
    </row>
    <row r="32" spans="1:8" x14ac:dyDescent="0.25">
      <c r="A32" s="52"/>
      <c r="B32" s="207"/>
      <c r="C32" s="208"/>
      <c r="D32" s="108"/>
      <c r="E32" s="52"/>
      <c r="F32" s="52"/>
      <c r="G32" s="52"/>
      <c r="H32" s="52"/>
    </row>
    <row r="33" spans="1:8" x14ac:dyDescent="0.25">
      <c r="A33" s="52"/>
      <c r="B33" s="207"/>
      <c r="C33" s="208"/>
      <c r="D33" s="108"/>
      <c r="E33" s="52"/>
      <c r="F33" s="52"/>
      <c r="G33" s="52"/>
      <c r="H33" s="52"/>
    </row>
    <row r="34" spans="1:8" x14ac:dyDescent="0.25">
      <c r="A34" s="52"/>
      <c r="B34" s="207"/>
      <c r="C34" s="208"/>
      <c r="D34" s="108"/>
      <c r="E34" s="52"/>
      <c r="F34" s="52"/>
      <c r="G34" s="52"/>
      <c r="H34" s="52"/>
    </row>
    <row r="35" spans="1:8" x14ac:dyDescent="0.25">
      <c r="A35" s="52"/>
      <c r="B35" s="207"/>
      <c r="C35" s="208"/>
      <c r="D35" s="108"/>
      <c r="E35" s="52"/>
      <c r="F35" s="52"/>
      <c r="G35" s="52"/>
      <c r="H35" s="52"/>
    </row>
    <row r="36" spans="1:8" x14ac:dyDescent="0.25">
      <c r="A36" s="52"/>
      <c r="B36" s="207"/>
      <c r="C36" s="208"/>
      <c r="D36" s="108"/>
      <c r="E36" s="52"/>
      <c r="F36" s="52"/>
      <c r="G36" s="52"/>
      <c r="H36" s="52"/>
    </row>
    <row r="37" spans="1:8" x14ac:dyDescent="0.25">
      <c r="A37" s="52"/>
      <c r="B37" s="207"/>
      <c r="C37" s="208"/>
      <c r="D37" s="108"/>
      <c r="E37" s="52"/>
      <c r="F37" s="52"/>
      <c r="G37" s="52"/>
      <c r="H37" s="52"/>
    </row>
    <row r="38" spans="1:8" x14ac:dyDescent="0.25">
      <c r="A38" s="52"/>
      <c r="B38" s="207"/>
      <c r="C38" s="208"/>
      <c r="D38" s="108"/>
      <c r="E38" s="52"/>
      <c r="F38" s="52"/>
      <c r="G38" s="52"/>
      <c r="H38" s="52"/>
    </row>
    <row r="39" spans="1:8" x14ac:dyDescent="0.25">
      <c r="A39" s="52"/>
      <c r="B39" s="207"/>
      <c r="C39" s="208"/>
      <c r="D39" s="108"/>
      <c r="E39" s="52"/>
      <c r="F39" s="52"/>
      <c r="G39" s="52"/>
      <c r="H39" s="52"/>
    </row>
    <row r="40" spans="1:8" x14ac:dyDescent="0.25">
      <c r="A40" s="52"/>
      <c r="B40" s="52"/>
      <c r="C40" s="52"/>
      <c r="D40" s="52"/>
      <c r="E40" s="52"/>
      <c r="F40" s="52"/>
      <c r="G40" s="52"/>
      <c r="H40" s="52"/>
    </row>
    <row r="41" spans="1:8" x14ac:dyDescent="0.25">
      <c r="A41" s="52"/>
      <c r="B41" s="157" t="s">
        <v>451</v>
      </c>
      <c r="C41" s="158"/>
      <c r="D41" s="158"/>
      <c r="E41" s="158"/>
      <c r="F41" s="158"/>
      <c r="G41" s="158"/>
      <c r="H41" s="158"/>
    </row>
    <row r="42" spans="1:8" x14ac:dyDescent="0.25">
      <c r="A42" s="52"/>
      <c r="B42" s="172" t="s">
        <v>452</v>
      </c>
      <c r="C42" s="173" t="s">
        <v>423</v>
      </c>
      <c r="D42" s="173" t="s">
        <v>279</v>
      </c>
      <c r="E42" s="173" t="s">
        <v>421</v>
      </c>
      <c r="F42" s="173" t="s">
        <v>112</v>
      </c>
      <c r="G42" s="174" t="s">
        <v>422</v>
      </c>
      <c r="H42" s="52"/>
    </row>
    <row r="43" spans="1:8" x14ac:dyDescent="0.25">
      <c r="A43" s="52"/>
      <c r="B43" s="177" t="s">
        <v>453</v>
      </c>
      <c r="C43" s="178" t="str">
        <f>IF('Workload Planner'!C14&gt;0,"Enabled","— Disabled")</f>
        <v>Enabled</v>
      </c>
      <c r="D43" s="178" t="str">
        <f>'Workload Planner'!C13</f>
        <v>Three-Way Mirror</v>
      </c>
      <c r="E43" s="179">
        <f>IF(C43="— Disabled","—",'Workload Planner'!C14)</f>
        <v>5.19</v>
      </c>
      <c r="F43" s="178" t="str">
        <f>'Workload Planner'!D13</f>
        <v>33% eff.</v>
      </c>
      <c r="G43" s="180">
        <f>IF(C43="— Disabled","—",'Workload Planner'!C15)</f>
        <v>15.57</v>
      </c>
      <c r="H43" s="52"/>
    </row>
    <row r="44" spans="1:8" x14ac:dyDescent="0.25">
      <c r="A44" s="52"/>
      <c r="B44" s="175" t="s">
        <v>454</v>
      </c>
      <c r="C44" s="139" t="str">
        <f>IF('Workload Planner'!C22&gt;0,"Enabled","— Disabled")</f>
        <v>Enabled</v>
      </c>
      <c r="D44" s="139" t="str">
        <f>'Workload Planner'!C21</f>
        <v>Two-Way Mirror</v>
      </c>
      <c r="E44" s="138">
        <f>IF(C44="— Disabled","—",'Workload Planner'!C22)</f>
        <v>8.25</v>
      </c>
      <c r="F44" s="139" t="str">
        <f>'Workload Planner'!D21</f>
        <v>50% eff.</v>
      </c>
      <c r="G44" s="176">
        <f>IF(C44="— Disabled","—",'Workload Planner'!C23)</f>
        <v>16.5</v>
      </c>
      <c r="H44" s="52"/>
    </row>
    <row r="45" spans="1:8" x14ac:dyDescent="0.25">
      <c r="A45" s="52"/>
      <c r="B45" s="177" t="s">
        <v>455</v>
      </c>
      <c r="C45" s="178" t="str">
        <f>IF('Workload Planner'!C37&gt;0,"Enabled","— Disabled")</f>
        <v>— Disabled</v>
      </c>
      <c r="D45" s="178" t="str">
        <f>'Workload Planner'!C36</f>
        <v>Three-Way Mirror</v>
      </c>
      <c r="E45" s="179" t="str">
        <f>IF(C45="— Disabled","—",'Workload Planner'!C37)</f>
        <v>—</v>
      </c>
      <c r="F45" s="178" t="str">
        <f>'Workload Planner'!D36</f>
        <v>33% eff.</v>
      </c>
      <c r="G45" s="180" t="str">
        <f>IF(C45="— Disabled","—",'Workload Planner'!C38)</f>
        <v>—</v>
      </c>
      <c r="H45" s="52"/>
    </row>
    <row r="46" spans="1:8" x14ac:dyDescent="0.25">
      <c r="A46" s="52"/>
      <c r="B46" s="175" t="s">
        <v>456</v>
      </c>
      <c r="C46" s="139" t="str">
        <f>IF('Workload Planner'!C45&gt;0,"Enabled","— Disabled")</f>
        <v>— Disabled</v>
      </c>
      <c r="D46" s="139" t="str">
        <f>'Workload Planner'!C44</f>
        <v>Three-Way Mirror</v>
      </c>
      <c r="E46" s="138" t="str">
        <f>IF(C46="— Disabled","—",'Workload Planner'!C45)</f>
        <v>—</v>
      </c>
      <c r="F46" s="139" t="str">
        <f>'Workload Planner'!D44</f>
        <v>33% eff.</v>
      </c>
      <c r="G46" s="176" t="str">
        <f>IF(C46="— Disabled","—",'Workload Planner'!C46)</f>
        <v>—</v>
      </c>
      <c r="H46" s="52"/>
    </row>
    <row r="47" spans="1:8" x14ac:dyDescent="0.25">
      <c r="A47" s="52"/>
      <c r="B47" s="177" t="s">
        <v>457</v>
      </c>
      <c r="C47" s="178" t="str">
        <f>IF('Workload Planner'!C54&gt;0,"Enabled","— Disabled")</f>
        <v>— Disabled</v>
      </c>
      <c r="D47" s="178" t="str">
        <f>'Workload Planner'!C53</f>
        <v>Two-Way Mirror</v>
      </c>
      <c r="E47" s="179" t="str">
        <f>IF(C47="— Disabled","—",'Workload Planner'!C54)</f>
        <v>—</v>
      </c>
      <c r="F47" s="178" t="str">
        <f>'Workload Planner'!D53</f>
        <v>50% eff.</v>
      </c>
      <c r="G47" s="180" t="str">
        <f>IF(C47="— Disabled","—",'Workload Planner'!C55)</f>
        <v>—</v>
      </c>
      <c r="H47" s="52"/>
    </row>
    <row r="48" spans="1:8" x14ac:dyDescent="0.25">
      <c r="A48" s="52"/>
      <c r="B48" s="175" t="s">
        <v>458</v>
      </c>
      <c r="C48" s="139" t="str">
        <f>IF('Workload Planner'!C61&gt;0,"Enabled","— Disabled")</f>
        <v>— Disabled</v>
      </c>
      <c r="D48" s="139" t="str">
        <f>'Workload Planner'!C60</f>
        <v>Dual Parity</v>
      </c>
      <c r="E48" s="138" t="str">
        <f>IF(C48="— Disabled","—",'Workload Planner'!C61)</f>
        <v>—</v>
      </c>
      <c r="F48" s="139" t="str">
        <f>'Workload Planner'!D60</f>
        <v>50% eff.</v>
      </c>
      <c r="G48" s="176" t="str">
        <f>IF(C48="— Disabled","—",'Workload Planner'!C62)</f>
        <v>—</v>
      </c>
      <c r="H48" s="52"/>
    </row>
    <row r="49" spans="1:8" ht="15.75" thickBot="1" x14ac:dyDescent="0.3">
      <c r="A49" s="52"/>
      <c r="B49" s="181" t="s">
        <v>459</v>
      </c>
      <c r="C49" s="182" t="str">
        <f>IF('Workload Planner'!C68&gt;0,"Enabled","— Disabled")</f>
        <v>— Disabled</v>
      </c>
      <c r="D49" s="182" t="str">
        <f>'Workload Planner'!C67</f>
        <v>Three-Way Mirror</v>
      </c>
      <c r="E49" s="183" t="str">
        <f>IF(C49="— Disabled","—",'Workload Planner'!C68)</f>
        <v>—</v>
      </c>
      <c r="F49" s="182" t="str">
        <f>'Workload Planner'!D67</f>
        <v>33% eff.</v>
      </c>
      <c r="G49" s="184" t="str">
        <f>IF(C49="— Disabled","—",'Workload Planner'!C69)</f>
        <v>—</v>
      </c>
      <c r="H49" s="52"/>
    </row>
    <row r="50" spans="1:8" x14ac:dyDescent="0.25">
      <c r="A50" s="52"/>
      <c r="B50" s="185" t="s">
        <v>282</v>
      </c>
      <c r="C50" s="185"/>
      <c r="D50" s="185"/>
      <c r="E50" s="186">
        <f>'Workload Planner'!C84</f>
        <v>13.440000000000001</v>
      </c>
      <c r="F50" s="185"/>
      <c r="G50" s="186">
        <f>'Workload Planner'!C83</f>
        <v>32.07</v>
      </c>
      <c r="H50" s="52"/>
    </row>
    <row r="51" spans="1:8" x14ac:dyDescent="0.25">
      <c r="A51" s="52"/>
      <c r="B51" s="214" t="s">
        <v>485</v>
      </c>
      <c r="C51" s="153"/>
      <c r="D51" s="153"/>
      <c r="E51" s="153"/>
      <c r="F51" s="153"/>
      <c r="G51" s="153"/>
      <c r="H51" s="153"/>
    </row>
    <row r="52" spans="1:8" x14ac:dyDescent="0.25">
      <c r="A52" s="52"/>
      <c r="B52" s="215" t="s">
        <v>424</v>
      </c>
      <c r="C52" s="124"/>
      <c r="D52" s="124"/>
      <c r="E52" s="216" t="str">
        <f>IF('Workload Planner'!C8="No","(Disabled)","")</f>
        <v/>
      </c>
      <c r="F52" s="124"/>
      <c r="G52" s="213"/>
      <c r="H52" s="52"/>
    </row>
    <row r="53" spans="1:8" x14ac:dyDescent="0.25">
      <c r="A53" s="52"/>
      <c r="B53" s="217" t="s">
        <v>486</v>
      </c>
      <c r="C53" s="218">
        <f>'Workload Planner'!C10</f>
        <v>30</v>
      </c>
      <c r="D53" s="217" t="s">
        <v>132</v>
      </c>
      <c r="E53" s="213"/>
      <c r="F53" s="124"/>
      <c r="G53" s="213"/>
      <c r="H53" s="52"/>
    </row>
    <row r="54" spans="1:8" x14ac:dyDescent="0.25">
      <c r="A54" s="52"/>
      <c r="B54" s="219" t="s">
        <v>487</v>
      </c>
      <c r="C54" s="220">
        <f>'Workload Planner'!C11</f>
        <v>127</v>
      </c>
      <c r="D54" s="219" t="s">
        <v>133</v>
      </c>
      <c r="E54" s="213"/>
      <c r="F54" s="124"/>
      <c r="G54" s="213"/>
      <c r="H54" s="52"/>
    </row>
    <row r="55" spans="1:8" x14ac:dyDescent="0.25">
      <c r="A55" s="52"/>
      <c r="B55" s="219" t="s">
        <v>488</v>
      </c>
      <c r="C55" s="220">
        <f>'Workload Planner'!C12</f>
        <v>50</v>
      </c>
      <c r="D55" s="219" t="s">
        <v>133</v>
      </c>
      <c r="E55" s="213"/>
      <c r="F55" s="124"/>
      <c r="G55" s="213"/>
      <c r="H55" s="52"/>
    </row>
    <row r="56" spans="1:8" x14ac:dyDescent="0.25">
      <c r="A56" s="52"/>
      <c r="B56" s="221" t="s">
        <v>489</v>
      </c>
      <c r="C56" s="222" t="str">
        <f>'Workload Planner'!C13</f>
        <v>Three-Way Mirror</v>
      </c>
      <c r="D56" s="221"/>
      <c r="E56" s="213"/>
      <c r="F56" s="124"/>
      <c r="G56" s="213"/>
      <c r="H56" s="52"/>
    </row>
    <row r="57" spans="1:8" x14ac:dyDescent="0.25">
      <c r="A57" s="52"/>
      <c r="B57" s="215" t="s">
        <v>425</v>
      </c>
      <c r="C57" s="124"/>
      <c r="D57" s="124"/>
      <c r="E57" s="216" t="str">
        <f>IF('Workload Planner'!C8="No","(Disabled)","")</f>
        <v/>
      </c>
      <c r="F57" s="124"/>
      <c r="G57" s="213"/>
      <c r="H57" s="52"/>
    </row>
    <row r="58" spans="1:8" x14ac:dyDescent="0.25">
      <c r="A58" s="52"/>
      <c r="B58" s="217" t="s">
        <v>490</v>
      </c>
      <c r="C58" s="218">
        <f>'Workload Planner'!C17</f>
        <v>1300</v>
      </c>
      <c r="D58" s="217" t="s">
        <v>135</v>
      </c>
      <c r="E58" s="213"/>
      <c r="F58" s="124"/>
      <c r="G58" s="213"/>
      <c r="H58" s="52"/>
    </row>
    <row r="59" spans="1:8" x14ac:dyDescent="0.25">
      <c r="A59" s="52"/>
      <c r="B59" s="219" t="s">
        <v>491</v>
      </c>
      <c r="C59" s="220">
        <f>'Workload Planner'!C19</f>
        <v>5</v>
      </c>
      <c r="D59" s="219" t="s">
        <v>133</v>
      </c>
      <c r="E59" s="213"/>
      <c r="F59" s="124"/>
      <c r="G59" s="213"/>
      <c r="H59" s="52"/>
    </row>
    <row r="60" spans="1:8" x14ac:dyDescent="0.25">
      <c r="A60" s="52"/>
      <c r="B60" s="219" t="s">
        <v>492</v>
      </c>
      <c r="C60" s="223">
        <f>'Workload Planner'!C20</f>
        <v>0.3</v>
      </c>
      <c r="D60" s="219"/>
      <c r="E60" s="213"/>
      <c r="F60" s="124"/>
      <c r="G60" s="213"/>
      <c r="H60" s="52"/>
    </row>
    <row r="61" spans="1:8" x14ac:dyDescent="0.25">
      <c r="A61" s="52"/>
      <c r="B61" s="221" t="s">
        <v>489</v>
      </c>
      <c r="C61" s="222" t="str">
        <f>'Workload Planner'!C21</f>
        <v>Two-Way Mirror</v>
      </c>
      <c r="D61" s="221"/>
      <c r="E61" s="213"/>
      <c r="F61" s="124"/>
      <c r="G61" s="213"/>
      <c r="H61" s="52"/>
    </row>
    <row r="62" spans="1:8" x14ac:dyDescent="0.25">
      <c r="A62" s="52"/>
      <c r="B62" s="124"/>
      <c r="C62" s="124"/>
      <c r="D62" s="124"/>
      <c r="E62" s="213"/>
      <c r="F62" s="124"/>
      <c r="G62" s="213"/>
      <c r="H62" s="52"/>
    </row>
    <row r="63" spans="1:8" x14ac:dyDescent="0.25">
      <c r="A63" s="52"/>
      <c r="B63" s="52"/>
      <c r="C63" s="52"/>
      <c r="D63" s="52"/>
      <c r="E63" s="52"/>
      <c r="F63" s="52"/>
      <c r="G63" s="52"/>
      <c r="H63" s="52"/>
    </row>
    <row r="64" spans="1:8" x14ac:dyDescent="0.25">
      <c r="A64" s="52"/>
      <c r="B64" s="157" t="s">
        <v>460</v>
      </c>
      <c r="C64" s="158"/>
      <c r="D64" s="158"/>
      <c r="E64" s="158"/>
      <c r="F64" s="158"/>
      <c r="G64" s="158"/>
      <c r="H64" s="158"/>
    </row>
    <row r="65" spans="1:8" x14ac:dyDescent="0.25">
      <c r="A65" s="52"/>
      <c r="B65" s="172" t="s">
        <v>428</v>
      </c>
      <c r="C65" s="173" t="s">
        <v>279</v>
      </c>
      <c r="D65" s="173" t="s">
        <v>461</v>
      </c>
      <c r="E65" s="173" t="s">
        <v>462</v>
      </c>
      <c r="F65" s="173" t="s">
        <v>463</v>
      </c>
      <c r="G65" s="173" t="s">
        <v>280</v>
      </c>
      <c r="H65" s="174" t="s">
        <v>423</v>
      </c>
    </row>
    <row r="66" spans="1:8" x14ac:dyDescent="0.25">
      <c r="A66" s="52"/>
      <c r="B66" s="189" t="s">
        <v>432</v>
      </c>
      <c r="C66" s="178" t="str">
        <f>'Volume Detail'!C6</f>
        <v>Three-Way Mirror</v>
      </c>
      <c r="D66" s="179">
        <f>'Volume Detail'!D6</f>
        <v>5.19</v>
      </c>
      <c r="E66" s="179">
        <f>'Volume Detail'!E6</f>
        <v>4.83</v>
      </c>
      <c r="F66" s="179">
        <f>'Volume Detail'!F6</f>
        <v>15.57</v>
      </c>
      <c r="G66" s="178" t="str">
        <f>'Volume Detail'!G6</f>
        <v>3x</v>
      </c>
      <c r="H66" s="190" t="str">
        <f>'Volume Detail'!I6</f>
        <v>PASS</v>
      </c>
    </row>
    <row r="67" spans="1:8" x14ac:dyDescent="0.25">
      <c r="A67" s="52"/>
      <c r="B67" s="187" t="s">
        <v>433</v>
      </c>
      <c r="C67" s="139" t="str">
        <f>'Volume Detail'!C7</f>
        <v>Two-Way Mirror</v>
      </c>
      <c r="D67" s="138">
        <f>'Volume Detail'!D7</f>
        <v>8.25</v>
      </c>
      <c r="E67" s="138">
        <f>'Volume Detail'!E7</f>
        <v>7.68</v>
      </c>
      <c r="F67" s="138">
        <f>'Volume Detail'!F7</f>
        <v>16.5</v>
      </c>
      <c r="G67" s="139" t="str">
        <f>'Volume Detail'!G7</f>
        <v>2x</v>
      </c>
      <c r="H67" s="188" t="str">
        <f>'Volume Detail'!I7</f>
        <v>PASS</v>
      </c>
    </row>
    <row r="68" spans="1:8" x14ac:dyDescent="0.25">
      <c r="A68" s="52"/>
      <c r="B68" s="189" t="s">
        <v>434</v>
      </c>
      <c r="C68" s="178" t="str">
        <f>'Volume Detail'!C8</f>
        <v>Three-Way Mirror</v>
      </c>
      <c r="D68" s="179">
        <f>'Volume Detail'!D8</f>
        <v>0</v>
      </c>
      <c r="E68" s="179">
        <f>'Volume Detail'!E8</f>
        <v>0</v>
      </c>
      <c r="F68" s="179">
        <f>'Volume Detail'!F8</f>
        <v>0</v>
      </c>
      <c r="G68" s="178" t="str">
        <f>'Volume Detail'!G8</f>
        <v>3x</v>
      </c>
      <c r="H68" s="190" t="str">
        <f>'Volume Detail'!I8</f>
        <v>— Disabled</v>
      </c>
    </row>
    <row r="69" spans="1:8" x14ac:dyDescent="0.25">
      <c r="A69" s="52"/>
      <c r="B69" s="187" t="s">
        <v>435</v>
      </c>
      <c r="C69" s="139" t="str">
        <f>'Volume Detail'!C9</f>
        <v>Three-Way Mirror</v>
      </c>
      <c r="D69" s="138">
        <f>'Volume Detail'!D9</f>
        <v>0</v>
      </c>
      <c r="E69" s="138">
        <f>'Volume Detail'!E9</f>
        <v>0</v>
      </c>
      <c r="F69" s="138">
        <f>'Volume Detail'!F9</f>
        <v>0</v>
      </c>
      <c r="G69" s="139" t="str">
        <f>'Volume Detail'!G9</f>
        <v>3x</v>
      </c>
      <c r="H69" s="188" t="str">
        <f>'Volume Detail'!I9</f>
        <v>— Disabled</v>
      </c>
    </row>
    <row r="70" spans="1:8" x14ac:dyDescent="0.25">
      <c r="A70" s="52"/>
      <c r="B70" s="189" t="s">
        <v>436</v>
      </c>
      <c r="C70" s="178" t="str">
        <f>'Volume Detail'!C10</f>
        <v>Two-Way Mirror</v>
      </c>
      <c r="D70" s="179">
        <f>'Volume Detail'!D10</f>
        <v>0</v>
      </c>
      <c r="E70" s="179">
        <f>'Volume Detail'!E10</f>
        <v>0</v>
      </c>
      <c r="F70" s="179">
        <f>'Volume Detail'!F10</f>
        <v>0</v>
      </c>
      <c r="G70" s="178" t="str">
        <f>'Volume Detail'!G10</f>
        <v>2x</v>
      </c>
      <c r="H70" s="190" t="str">
        <f>'Volume Detail'!I10</f>
        <v>— Disabled</v>
      </c>
    </row>
    <row r="71" spans="1:8" x14ac:dyDescent="0.25">
      <c r="A71" s="52"/>
      <c r="B71" s="187" t="s">
        <v>437</v>
      </c>
      <c r="C71" s="139" t="str">
        <f>'Volume Detail'!C11</f>
        <v>Dual Parity</v>
      </c>
      <c r="D71" s="138">
        <f>'Volume Detail'!D11</f>
        <v>0</v>
      </c>
      <c r="E71" s="138">
        <f>'Volume Detail'!E11</f>
        <v>0</v>
      </c>
      <c r="F71" s="138">
        <f>'Volume Detail'!F11</f>
        <v>0</v>
      </c>
      <c r="G71" s="139" t="str">
        <f>'Volume Detail'!G11</f>
        <v>parity</v>
      </c>
      <c r="H71" s="188" t="str">
        <f>'Volume Detail'!I11</f>
        <v>— Disabled</v>
      </c>
    </row>
    <row r="72" spans="1:8" ht="15.75" thickBot="1" x14ac:dyDescent="0.3">
      <c r="A72" s="52"/>
      <c r="B72" s="191" t="s">
        <v>281</v>
      </c>
      <c r="C72" s="182" t="str">
        <f>'Volume Detail'!C12</f>
        <v>Three-Way Mirror</v>
      </c>
      <c r="D72" s="183">
        <f>'Volume Detail'!D12</f>
        <v>0</v>
      </c>
      <c r="E72" s="183">
        <f>'Volume Detail'!E12</f>
        <v>0</v>
      </c>
      <c r="F72" s="183">
        <f>'Volume Detail'!F12</f>
        <v>0</v>
      </c>
      <c r="G72" s="182" t="str">
        <f>'Volume Detail'!G12</f>
        <v>3x</v>
      </c>
      <c r="H72" s="192" t="str">
        <f>'Volume Detail'!I12</f>
        <v>— Disabled</v>
      </c>
    </row>
    <row r="73" spans="1:8" x14ac:dyDescent="0.25">
      <c r="A73" s="52"/>
      <c r="B73" s="185" t="s">
        <v>282</v>
      </c>
      <c r="C73" s="185"/>
      <c r="D73" s="186">
        <f>'Volume Detail'!D14</f>
        <v>13.440000000000001</v>
      </c>
      <c r="E73" s="186">
        <f>'Volume Detail'!E14</f>
        <v>12.51</v>
      </c>
      <c r="F73" s="186">
        <f>'Volume Detail'!F14</f>
        <v>32.07</v>
      </c>
      <c r="G73" s="185"/>
      <c r="H73" s="193" t="str">
        <f>'Volume Detail'!I14</f>
        <v>2 of 2 PASS</v>
      </c>
    </row>
    <row r="74" spans="1:8" x14ac:dyDescent="0.25">
      <c r="A74" s="52"/>
      <c r="B74" s="194" t="s">
        <v>464</v>
      </c>
      <c r="C74" s="153"/>
      <c r="D74" s="153"/>
      <c r="E74" s="153"/>
      <c r="F74" s="153"/>
      <c r="G74" s="153"/>
      <c r="H74" s="153"/>
    </row>
    <row r="75" spans="1:8" x14ac:dyDescent="0.25">
      <c r="A75" s="52"/>
      <c r="B75" s="224"/>
    </row>
    <row r="76" spans="1:8" x14ac:dyDescent="0.25">
      <c r="A76" s="52"/>
      <c r="B76" s="225" t="s">
        <v>493</v>
      </c>
      <c r="C76" s="153"/>
      <c r="D76" s="153"/>
      <c r="E76" s="153"/>
      <c r="F76" s="153"/>
      <c r="G76" s="153"/>
      <c r="H76" s="153"/>
    </row>
    <row r="77" spans="1:8" x14ac:dyDescent="0.25">
      <c r="A77" s="52"/>
      <c r="B77" s="226" t="str">
        <f>IF('Workload Planner'!C8="No","# AVD-SessionHosts — Disabled (skip)","New-Volume -FriendlyName ""AVD-SessionHosts"" -Size "&amp;TEXT('Volume Detail'!E6,"0.00")&amp;"TB -StoragePoolFriendlyName S2D* -ResiliencySettingName "&amp;IF(OR('Volume Detail'!C6="Dual Parity"),"Parity","Mirror")&amp;IF(OR('Volume Detail'!C6="Dual Parity"),""," -NumberOfDataCopies "&amp;IF('Volume Detail'!C6="Three-Way Mirror","3","2")))</f>
        <v>New-Volume -FriendlyName "AVD-SessionHosts" -Size 4.83TB -StoragePoolFriendlyName S2D* -ResiliencySettingName Mirror -NumberOfDataCopies 3</v>
      </c>
      <c r="C77" s="194"/>
      <c r="D77" s="194"/>
      <c r="E77" s="194"/>
      <c r="F77" s="194"/>
      <c r="G77" s="194"/>
      <c r="H77" s="194"/>
    </row>
    <row r="78" spans="1:8" x14ac:dyDescent="0.25">
      <c r="A78" s="52"/>
      <c r="B78" s="226" t="str">
        <f>IF('Workload Planner'!C8="No","# AVD-Profiles — Disabled (skip)","New-Volume -FriendlyName ""AVD-Profiles"" -Size "&amp;TEXT('Volume Detail'!E7,"0.00")&amp;"TB -StoragePoolFriendlyName S2D* -ResiliencySettingName "&amp;IF(OR('Volume Detail'!C7="Dual Parity"),"Parity","Mirror")&amp;IF(OR('Volume Detail'!C7="Dual Parity"),""," -NumberOfDataCopies "&amp;IF('Volume Detail'!C7="Three-Way Mirror","3","2")))</f>
        <v>New-Volume -FriendlyName "AVD-Profiles" -Size 7.68TB -StoragePoolFriendlyName S2D* -ResiliencySettingName Mirror -NumberOfDataCopies 2</v>
      </c>
      <c r="C78" s="194"/>
      <c r="D78" s="194"/>
      <c r="E78" s="194"/>
      <c r="F78" s="194"/>
      <c r="G78" s="194"/>
      <c r="H78" s="194"/>
    </row>
    <row r="79" spans="1:8" x14ac:dyDescent="0.25">
      <c r="A79" s="52"/>
      <c r="B79" s="226" t="str">
        <f>IF('Workload Planner'!C27="No","# AKS-Cluster — Disabled (skip)","New-Volume -FriendlyName ""AKS-Cluster"" -Size "&amp;TEXT('Volume Detail'!E8,"0.00")&amp;"TB -StoragePoolFriendlyName S2D* -ResiliencySettingName "&amp;IF(OR('Volume Detail'!C8="Dual Parity"),"Parity","Mirror")&amp;IF(OR('Volume Detail'!C8="Dual Parity"),""," -NumberOfDataCopies "&amp;IF('Volume Detail'!C8="Three-Way Mirror","3","2")))</f>
        <v># AKS-Cluster — Disabled (skip)</v>
      </c>
      <c r="C79" s="194"/>
      <c r="D79" s="194"/>
      <c r="E79" s="194"/>
      <c r="F79" s="194"/>
      <c r="G79" s="194"/>
      <c r="H79" s="194"/>
    </row>
    <row r="80" spans="1:8" x14ac:dyDescent="0.25">
      <c r="A80" s="52"/>
      <c r="B80" s="226" t="str">
        <f>IF('Workload Planner'!C41="No","# Infra-VMs — Disabled (skip)","New-Volume -FriendlyName ""Infra-VMs"" -Size "&amp;TEXT('Volume Detail'!E9,"0.00")&amp;"TB -StoragePoolFriendlyName S2D* -ResiliencySettingName "&amp;IF(OR('Volume Detail'!C9="Dual Parity"),"Parity","Mirror")&amp;IF(OR('Volume Detail'!C9="Dual Parity"),""," -NumberOfDataCopies "&amp;IF('Volume Detail'!C9="Three-Way Mirror","3","2")))</f>
        <v># Infra-VMs — Disabled (skip)</v>
      </c>
      <c r="C80" s="194"/>
      <c r="D80" s="194"/>
      <c r="E80" s="194"/>
      <c r="F80" s="194"/>
      <c r="G80" s="194"/>
      <c r="H80" s="194"/>
    </row>
    <row r="81" spans="1:8" x14ac:dyDescent="0.25">
      <c r="A81" s="52"/>
      <c r="B81" s="226" t="str">
        <f>IF('Workload Planner'!C50="No","# DevTest-VMs — Disabled (skip)","New-Volume -FriendlyName ""DevTest-VMs"" -Size "&amp;TEXT('Volume Detail'!E10,"0.00")&amp;"TB -StoragePoolFriendlyName S2D* -ResiliencySettingName "&amp;IF(OR('Volume Detail'!C10="Dual Parity"),"Parity","Mirror")&amp;IF(OR('Volume Detail'!C10="Dual Parity"),""," -NumberOfDataCopies "&amp;IF('Volume Detail'!C10="Three-Way Mirror","3","2")))</f>
        <v># DevTest-VMs — Disabled (skip)</v>
      </c>
      <c r="C81" s="194"/>
      <c r="D81" s="194"/>
      <c r="E81" s="194"/>
      <c r="F81" s="194"/>
      <c r="G81" s="194"/>
      <c r="H81" s="194"/>
    </row>
    <row r="82" spans="1:8" x14ac:dyDescent="0.25">
      <c r="A82" s="52"/>
      <c r="B82" s="226" t="str">
        <f>IF('Workload Planner'!C58="No","# Backup-Archive — Disabled (skip)","New-Volume -FriendlyName ""Backup-Archive"" -Size "&amp;TEXT('Volume Detail'!E11,"0.00")&amp;"TB -StoragePoolFriendlyName S2D* -ResiliencySettingName "&amp;IF(OR('Volume Detail'!C11="Dual Parity"),"Parity","Mirror")&amp;IF(OR('Volume Detail'!C11="Dual Parity"),""," -NumberOfDataCopies "&amp;IF('Volume Detail'!C11="Three-Way Mirror","3","2")))</f>
        <v># Backup-Archive — Disabled (skip)</v>
      </c>
      <c r="C82" s="194"/>
      <c r="D82" s="194"/>
      <c r="E82" s="194"/>
      <c r="F82" s="194"/>
      <c r="G82" s="194"/>
      <c r="H82" s="194"/>
    </row>
    <row r="83" spans="1:8" x14ac:dyDescent="0.25">
      <c r="A83" s="52"/>
      <c r="B83" s="226" t="str">
        <f>IF('Workload Planner'!C65="No","# Custom — Disabled (skip)","New-Volume -FriendlyName ""Custom"" -Size "&amp;TEXT('Volume Detail'!E12,"0.00")&amp;"TB -StoragePoolFriendlyName S2D* -ResiliencySettingName "&amp;IF(OR('Volume Detail'!C12="Dual Parity"),"Parity","Mirror")&amp;IF(OR('Volume Detail'!C12="Dual Parity"),""," -NumberOfDataCopies "&amp;IF('Volume Detail'!C12="Three-Way Mirror","3","2")))</f>
        <v># Custom — Disabled (skip)</v>
      </c>
      <c r="C83" s="194"/>
      <c r="D83" s="194"/>
      <c r="E83" s="194"/>
      <c r="F83" s="194"/>
      <c r="G83" s="194"/>
      <c r="H83" s="194"/>
    </row>
    <row r="84" spans="1:8" x14ac:dyDescent="0.25">
      <c r="A84" s="52"/>
      <c r="B84" s="194" t="s">
        <v>494</v>
      </c>
      <c r="C84" s="153"/>
      <c r="D84" s="153"/>
      <c r="E84" s="153"/>
      <c r="F84" s="153"/>
      <c r="G84" s="153"/>
      <c r="H84" s="153"/>
    </row>
    <row r="85" spans="1:8" x14ac:dyDescent="0.25">
      <c r="A85" s="52"/>
      <c r="B85" s="224"/>
    </row>
    <row r="86" spans="1:8" x14ac:dyDescent="0.25">
      <c r="A86" s="52"/>
      <c r="B86" s="224"/>
    </row>
    <row r="87" spans="1:8" x14ac:dyDescent="0.25">
      <c r="A87" s="52"/>
      <c r="B87" s="52"/>
      <c r="C87" s="52"/>
      <c r="D87" s="52"/>
      <c r="E87" s="52"/>
      <c r="F87" s="52"/>
      <c r="G87" s="52"/>
      <c r="H87" s="52"/>
    </row>
    <row r="88" spans="1:8" x14ac:dyDescent="0.25">
      <c r="A88" s="52"/>
      <c r="B88" s="157" t="s">
        <v>465</v>
      </c>
      <c r="C88" s="158"/>
      <c r="D88" s="158"/>
      <c r="E88" s="158"/>
      <c r="F88" s="158"/>
      <c r="G88" s="158"/>
      <c r="H88" s="158"/>
    </row>
    <row r="89" spans="1:8" x14ac:dyDescent="0.25">
      <c r="A89" s="52"/>
      <c r="B89" s="93" t="s">
        <v>466</v>
      </c>
      <c r="C89" s="52"/>
      <c r="D89" s="52"/>
      <c r="E89" s="52"/>
      <c r="F89" s="52"/>
      <c r="G89" s="52"/>
      <c r="H89" s="52"/>
    </row>
    <row r="90" spans="1:8" x14ac:dyDescent="0.25">
      <c r="A90" s="52"/>
      <c r="B90" s="159" t="s">
        <v>467</v>
      </c>
      <c r="C90" s="160">
        <f>'Drive Layout Comparison'!C7</f>
        <v>3</v>
      </c>
      <c r="D90" s="71" t="s">
        <v>446</v>
      </c>
      <c r="E90" s="52"/>
      <c r="F90" s="52"/>
      <c r="G90" s="52"/>
      <c r="H90" s="52"/>
    </row>
    <row r="91" spans="1:8" x14ac:dyDescent="0.25">
      <c r="A91" s="52"/>
      <c r="B91" s="161" t="s">
        <v>184</v>
      </c>
      <c r="C91" s="135">
        <f>'Drive Layout Comparison'!C8</f>
        <v>7.68</v>
      </c>
      <c r="D91" s="72" t="s">
        <v>93</v>
      </c>
      <c r="E91" s="52"/>
      <c r="F91" s="52"/>
      <c r="G91" s="52"/>
      <c r="H91" s="52"/>
    </row>
    <row r="92" spans="1:8" x14ac:dyDescent="0.25">
      <c r="A92" s="52"/>
      <c r="B92" s="161" t="s">
        <v>202</v>
      </c>
      <c r="C92" s="135">
        <f>'Drive Layout Comparison'!F14</f>
        <v>21.1968</v>
      </c>
      <c r="D92" s="72" t="s">
        <v>93</v>
      </c>
      <c r="E92" s="52"/>
      <c r="F92" s="52"/>
      <c r="G92" s="52"/>
      <c r="H92" s="52"/>
    </row>
    <row r="93" spans="1:8" x14ac:dyDescent="0.25">
      <c r="A93" s="52"/>
      <c r="B93" s="163" t="s">
        <v>468</v>
      </c>
      <c r="C93" s="164">
        <f>'Drive Layout Comparison'!G14</f>
        <v>41.643600000000006</v>
      </c>
      <c r="D93" s="107" t="s">
        <v>93</v>
      </c>
      <c r="E93" s="52"/>
      <c r="F93" s="52"/>
      <c r="G93" s="52"/>
      <c r="H93" s="52"/>
    </row>
    <row r="94" spans="1:8" x14ac:dyDescent="0.25">
      <c r="A94" s="52"/>
      <c r="B94" s="52"/>
      <c r="C94" s="52"/>
      <c r="D94" s="52"/>
      <c r="E94" s="52"/>
      <c r="F94" s="52"/>
      <c r="G94" s="52"/>
      <c r="H94" s="52"/>
    </row>
    <row r="95" spans="1:8" x14ac:dyDescent="0.25">
      <c r="A95" s="52"/>
      <c r="B95" s="93" t="s">
        <v>469</v>
      </c>
      <c r="C95" s="52"/>
      <c r="D95" s="52"/>
      <c r="E95" s="52"/>
      <c r="F95" s="52"/>
      <c r="G95" s="52"/>
      <c r="H95" s="52"/>
    </row>
    <row r="96" spans="1:8" x14ac:dyDescent="0.25">
      <c r="A96" s="52"/>
      <c r="B96" s="159" t="s">
        <v>470</v>
      </c>
      <c r="C96" s="160">
        <f>'Drive Layout Comparison'!B21</f>
        <v>10</v>
      </c>
      <c r="D96" s="71" t="s">
        <v>446</v>
      </c>
      <c r="E96" s="52"/>
      <c r="F96" s="52"/>
      <c r="G96" s="52"/>
      <c r="H96" s="52"/>
    </row>
    <row r="97" spans="1:8" x14ac:dyDescent="0.25">
      <c r="A97" s="52"/>
      <c r="B97" s="161" t="s">
        <v>471</v>
      </c>
      <c r="C97" s="135">
        <f>'Drive Layout Comparison'!C21</f>
        <v>2.2999999999999998</v>
      </c>
      <c r="D97" s="72" t="s">
        <v>93</v>
      </c>
      <c r="E97" s="52"/>
      <c r="F97" s="52"/>
      <c r="G97" s="52"/>
      <c r="H97" s="52"/>
    </row>
    <row r="98" spans="1:8" x14ac:dyDescent="0.25">
      <c r="A98" s="52"/>
      <c r="B98" s="161" t="s">
        <v>202</v>
      </c>
      <c r="C98" s="135">
        <f>'Drive Layout Comparison'!F21</f>
        <v>6.3480000000000008</v>
      </c>
      <c r="D98" s="72" t="s">
        <v>93</v>
      </c>
      <c r="E98" s="52"/>
      <c r="F98" s="52"/>
      <c r="G98" s="52"/>
      <c r="H98" s="52"/>
    </row>
    <row r="99" spans="1:8" x14ac:dyDescent="0.25">
      <c r="A99" s="52"/>
      <c r="B99" s="161" t="s">
        <v>468</v>
      </c>
      <c r="C99" s="135">
        <f>'Drive Layout Comparison'!G21</f>
        <v>56.382000000000005</v>
      </c>
      <c r="D99" s="72" t="s">
        <v>93</v>
      </c>
      <c r="E99" s="52"/>
      <c r="F99" s="52"/>
      <c r="G99" s="52"/>
      <c r="H99" s="52"/>
    </row>
    <row r="100" spans="1:8" x14ac:dyDescent="0.25">
      <c r="A100" s="52"/>
      <c r="B100" s="195" t="s">
        <v>472</v>
      </c>
      <c r="C100" s="197">
        <f>'Drive Layout Comparison'!H21</f>
        <v>14.738399999999999</v>
      </c>
      <c r="D100" s="196" t="s">
        <v>473</v>
      </c>
      <c r="E100" s="52"/>
      <c r="F100" s="52"/>
      <c r="G100" s="52"/>
      <c r="H100" s="52"/>
    </row>
    <row r="101" spans="1:8" x14ac:dyDescent="0.25">
      <c r="A101" s="52"/>
      <c r="B101" s="194" t="s">
        <v>474</v>
      </c>
      <c r="C101" s="153"/>
      <c r="D101" s="153"/>
      <c r="E101" s="153"/>
      <c r="F101" s="153"/>
      <c r="G101" s="153"/>
      <c r="H101" s="153"/>
    </row>
    <row r="102" spans="1:8" x14ac:dyDescent="0.25">
      <c r="A102" s="52"/>
      <c r="B102" s="52"/>
      <c r="C102" s="52"/>
      <c r="D102" s="52"/>
      <c r="E102" s="52"/>
      <c r="F102" s="52"/>
      <c r="G102" s="52"/>
      <c r="H102" s="52"/>
    </row>
    <row r="103" spans="1:8" x14ac:dyDescent="0.25">
      <c r="A103" s="52"/>
      <c r="B103" s="157" t="s">
        <v>475</v>
      </c>
      <c r="C103" s="158"/>
      <c r="D103" s="158"/>
      <c r="E103" s="158"/>
      <c r="F103" s="158"/>
      <c r="G103" s="158"/>
      <c r="H103" s="158"/>
    </row>
    <row r="104" spans="1:8" x14ac:dyDescent="0.25">
      <c r="A104" s="52"/>
      <c r="B104" s="93" t="s">
        <v>147</v>
      </c>
      <c r="C104" s="198" t="str">
        <f>"Microsoft recommends volume count as a multiple of your node count ("&amp;'Hardware Inputs'!C8&amp;") for balanced data distribution across nodes."</f>
        <v>Microsoft recommends volume count as a multiple of your node count (3) for balanced data distribution across nodes.</v>
      </c>
      <c r="D104" s="153"/>
      <c r="E104" s="153"/>
      <c r="F104" s="153"/>
      <c r="G104" s="153"/>
      <c r="H104" s="153"/>
    </row>
    <row r="105" spans="1:8" x14ac:dyDescent="0.25">
      <c r="A105" s="52"/>
      <c r="B105" s="200"/>
      <c r="C105" s="201" t="str">
        <f>"Your current volume count: "&amp;'Workload Planner'!C85&amp;" volumes across "&amp;'Hardware Inputs'!C8&amp;" nodes. "&amp;IF(MOD('Workload Planner'!C85,'Hardware Inputs'!C8)=0,"✓ Multiple of node count.","Consider adjusting for balance.")</f>
        <v>Your current volume count: 2 volumes across 3 nodes. Consider adjusting for balance.</v>
      </c>
      <c r="D105" s="202"/>
      <c r="E105" s="202"/>
      <c r="F105" s="202"/>
      <c r="G105" s="202"/>
      <c r="H105" s="202"/>
    </row>
    <row r="106" spans="1:8" x14ac:dyDescent="0.25">
      <c r="A106" s="52"/>
      <c r="B106" s="93" t="s">
        <v>476</v>
      </c>
      <c r="C106" s="198" t="str">
        <f>"Keep pool utilization below 70% to ensure enough free space for automatic drive failure repair. Current: "&amp;TEXT('Workload Planner'!C88,"0.0%")&amp;"."</f>
        <v>Keep pool utilization below 70% to ensure enough free space for automatic drive failure repair. Current: 77.0%.</v>
      </c>
      <c r="D106" s="153"/>
      <c r="E106" s="153"/>
      <c r="F106" s="153"/>
      <c r="G106" s="153"/>
      <c r="H106" s="153"/>
    </row>
    <row r="107" spans="1:8" x14ac:dyDescent="0.25">
      <c r="A107" s="52"/>
      <c r="B107" s="200"/>
      <c r="C107" s="201" t="str">
        <f>IF('Workload Planner'!C88&gt;0.7,"⚠ Above 70% — limited rebuild headroom. Consider adding drives or reducing workloads.","✓ Healthy headroom for drive failure repair.")</f>
        <v>⚠ Above 70% — limited rebuild headroom. Consider adding drives or reducing workloads.</v>
      </c>
      <c r="D107" s="202"/>
      <c r="E107" s="202"/>
      <c r="F107" s="202"/>
      <c r="G107" s="202"/>
      <c r="H107" s="202"/>
    </row>
    <row r="108" spans="1:8" x14ac:dyDescent="0.25">
      <c r="A108" s="52"/>
      <c r="B108" s="93" t="s">
        <v>477</v>
      </c>
      <c r="C108" s="198" t="str">
        <f>"Default provisioning: "&amp;'Hardware Inputs'!C13&amp;". Fixed (thick) is STRONGLY recommended for production. Thin risks pool exhaustion — see Thin Provisioning tab."</f>
        <v>Default provisioning: Fixed (Thick). Fixed (thick) is STRONGLY recommended for production. Thin risks pool exhaustion — see Thin Provisioning tab.</v>
      </c>
      <c r="D108" s="153"/>
      <c r="E108" s="153"/>
      <c r="F108" s="153"/>
      <c r="G108" s="153"/>
      <c r="H108" s="153"/>
    </row>
    <row r="109" spans="1:8" x14ac:dyDescent="0.25">
      <c r="A109" s="52"/>
      <c r="B109" s="200"/>
      <c r="C109" s="201" t="str">
        <f>IF('Hardware Inputs'!C13="Fixed (Thick)","✓ Using recommended Fixed provisioning.","⚠ Thin provisioning detected — monitor pool usage closely. Set WAC alert at 60%.")</f>
        <v>✓ Using recommended Fixed provisioning.</v>
      </c>
      <c r="D109" s="202"/>
      <c r="E109" s="202"/>
      <c r="F109" s="202"/>
      <c r="G109" s="202"/>
      <c r="H109" s="202"/>
    </row>
    <row r="110" spans="1:8" x14ac:dyDescent="0.25">
      <c r="A110" s="52"/>
      <c r="B110" s="93" t="s">
        <v>478</v>
      </c>
      <c r="C110" s="198" t="str">
        <f>"Size VM workloads to fit on "&amp;'Hardware Inputs'!C8-1&amp;" of "&amp;'Hardware Inputs'!C8&amp;" nodes. If 1 node goes down, VMs must failover. This is CPU/RAM planning, separate from storage."</f>
        <v>Size VM workloads to fit on 2 of 3 nodes. If 1 node goes down, VMs must failover. This is CPU/RAM planning, separate from storage.</v>
      </c>
      <c r="D110" s="153"/>
      <c r="E110" s="153"/>
      <c r="F110" s="153"/>
      <c r="G110" s="153"/>
      <c r="H110" s="153"/>
    </row>
    <row r="111" spans="1:8" x14ac:dyDescent="0.25">
      <c r="A111" s="52"/>
      <c r="B111" s="200"/>
      <c r="C111" s="201" t="str">
        <f>"Plan for "&amp;'Hardware Inputs'!C8-1&amp;"-node compute capacity even though storage spans all "&amp;'Hardware Inputs'!C8&amp;" nodes."</f>
        <v>Plan for 2-node compute capacity even though storage spans all 3 nodes.</v>
      </c>
      <c r="D111" s="202"/>
      <c r="E111" s="202"/>
      <c r="F111" s="202"/>
      <c r="G111" s="202"/>
      <c r="H111" s="202"/>
    </row>
    <row r="112" spans="1:8" x14ac:dyDescent="0.25">
      <c r="A112" s="52"/>
      <c r="B112" s="93" t="s">
        <v>479</v>
      </c>
      <c r="C112" s="198" t="str">
        <f>"Maximum single volume size: 64 TB. Current largest volume: "&amp;TEXT(MAX('Workload Planner'!C14,'Workload Planner'!C22,'Workload Planner'!C37,'Workload Planner'!C45,'Workload Planner'!C54,'Workload Planner'!C61,'Workload Planner'!C68),"0.00")&amp;" TB."</f>
        <v>Maximum single volume size: 64 TB. Current largest volume: 8.25 TB.</v>
      </c>
      <c r="D112" s="153"/>
      <c r="E112" s="153"/>
      <c r="F112" s="153"/>
      <c r="G112" s="153"/>
      <c r="H112" s="153"/>
    </row>
    <row r="113" spans="1:8" x14ac:dyDescent="0.25">
      <c r="A113" s="52"/>
      <c r="B113" s="52"/>
      <c r="C113" s="199" t="str">
        <f>IF(MAX('Workload Planner'!C14,'Workload Planner'!C22,'Workload Planner'!C37,'Workload Planner'!C45,'Workload Planner'!C54,'Workload Planner'!C61,'Workload Planner'!C68)&gt;64,"⚠ WARNING: A volume exceeds 64 TB! Split into smaller volumes.","✓ All volumes within 64 TB limit.")</f>
        <v>✓ All volumes within 64 TB limit.</v>
      </c>
      <c r="D113" s="153"/>
      <c r="E113" s="153"/>
      <c r="F113" s="153"/>
      <c r="G113" s="153"/>
      <c r="H113" s="153"/>
    </row>
    <row r="114" spans="1:8" x14ac:dyDescent="0.25">
      <c r="A114" s="52"/>
      <c r="B114" s="52"/>
      <c r="C114" s="52"/>
      <c r="D114" s="52"/>
      <c r="E114" s="52"/>
      <c r="F114" s="52"/>
      <c r="G114" s="52"/>
      <c r="H114" s="52"/>
    </row>
    <row r="115" spans="1:8" x14ac:dyDescent="0.25">
      <c r="A115" s="52"/>
      <c r="B115" s="52"/>
      <c r="C115" s="52"/>
      <c r="D115" s="52"/>
      <c r="E115" s="52"/>
      <c r="F115" s="52"/>
      <c r="G115" s="52"/>
      <c r="H115" s="52"/>
    </row>
    <row r="116" spans="1:8" x14ac:dyDescent="0.25">
      <c r="A116" s="52"/>
      <c r="B116" s="52"/>
      <c r="C116" s="52"/>
      <c r="D116" s="52"/>
      <c r="E116" s="52"/>
      <c r="F116" s="52"/>
      <c r="G116" s="52"/>
      <c r="H116" s="52"/>
    </row>
    <row r="117" spans="1:8" x14ac:dyDescent="0.25">
      <c r="A117" s="52"/>
      <c r="B117" s="52"/>
      <c r="C117" s="52"/>
      <c r="D117" s="52"/>
      <c r="E117" s="52"/>
      <c r="F117" s="52"/>
      <c r="G117" s="52"/>
      <c r="H117" s="52"/>
    </row>
    <row r="118" spans="1:8" x14ac:dyDescent="0.25">
      <c r="A118" s="52"/>
      <c r="B118" s="52"/>
      <c r="C118" s="52"/>
      <c r="D118" s="52"/>
      <c r="E118" s="52"/>
      <c r="F118" s="52"/>
      <c r="G118" s="52"/>
      <c r="H118" s="52"/>
    </row>
  </sheetData>
  <mergeCells count="30">
    <mergeCell ref="C112:H112"/>
    <mergeCell ref="C113:H113"/>
    <mergeCell ref="B51:H51"/>
    <mergeCell ref="B76:H76"/>
    <mergeCell ref="B77:H77"/>
    <mergeCell ref="B78:H78"/>
    <mergeCell ref="B79:H79"/>
    <mergeCell ref="B80:H80"/>
    <mergeCell ref="B81:H81"/>
    <mergeCell ref="B82:H82"/>
    <mergeCell ref="C106:H106"/>
    <mergeCell ref="C107:H107"/>
    <mergeCell ref="C108:H108"/>
    <mergeCell ref="C109:H109"/>
    <mergeCell ref="C110:H110"/>
    <mergeCell ref="C111:H111"/>
    <mergeCell ref="B74:H74"/>
    <mergeCell ref="B88:H88"/>
    <mergeCell ref="B101:H101"/>
    <mergeCell ref="B103:H103"/>
    <mergeCell ref="C104:H104"/>
    <mergeCell ref="C105:H105"/>
    <mergeCell ref="B83:H83"/>
    <mergeCell ref="B84:H84"/>
    <mergeCell ref="B2:H2"/>
    <mergeCell ref="B3:H3"/>
    <mergeCell ref="B5:H5"/>
    <mergeCell ref="B17:H17"/>
    <mergeCell ref="B41:H41"/>
    <mergeCell ref="B64:H64"/>
  </mergeCells>
  <conditionalFormatting sqref="C25:C39">
    <cfRule type="containsText" dxfId="7" priority="1" operator="containsText" text="PASS">
      <formula>NOT(ISERROR(SEARCH("PASS",C25)))</formula>
    </cfRule>
  </conditionalFormatting>
  <conditionalFormatting sqref="C25:C39">
    <cfRule type="containsText" dxfId="6" priority="2" operator="containsText" text="WARNING">
      <formula>NOT(ISERROR(SEARCH("WARNING",C25)))</formula>
    </cfRule>
  </conditionalFormatting>
  <conditionalFormatting sqref="C25:C39">
    <cfRule type="containsText" dxfId="5" priority="3" operator="containsText" text="FAIL">
      <formula>NOT(ISERROR(SEARCH("FAIL",C25)))</formula>
    </cfRule>
  </conditionalFormatting>
  <conditionalFormatting sqref="H66:H72">
    <cfRule type="containsText" dxfId="4" priority="4" operator="containsText" text="PASS">
      <formula>NOT(ISERROR(SEARCH("PASS",H66)))</formula>
    </cfRule>
  </conditionalFormatting>
  <conditionalFormatting sqref="H66:H72">
    <cfRule type="containsText" dxfId="3" priority="5" operator="containsText" text="Disabled">
      <formula>NOT(ISERROR(SEARCH("Disabled",H66)))</formula>
    </cfRule>
  </conditionalFormatting>
  <conditionalFormatting sqref="H66:H72">
    <cfRule type="containsText" dxfId="2" priority="6" operator="containsText" text="FAIL">
      <formula>NOT(ISERROR(SEARCH("FAIL",H66)))</formula>
    </cfRule>
  </conditionalFormatting>
  <conditionalFormatting sqref="C43:C49">
    <cfRule type="containsText" dxfId="1" priority="7" operator="containsText" text="Enabled">
      <formula>NOT(ISERROR(SEARCH("Enabled",C43)))</formula>
    </cfRule>
  </conditionalFormatting>
  <conditionalFormatting sqref="C43:C49">
    <cfRule type="containsText" dxfId="0" priority="8" operator="containsText" text="Disabled">
      <formula>NOT(ISERROR(SEARCH("Disabled",C43)))</formula>
    </cfRule>
  </conditionalFormatting>
  <pageMargins left="5.5555555555555558E-3" right="5.5555555555555558E-3" top="8.3333333333333332E-3" bottom="6.9444444444444441E-3" header="4.1666666666666666E-3" footer="4.1666666666666666E-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07D8B"/>
  </sheetPr>
  <dimension ref="B2:C13"/>
  <sheetViews>
    <sheetView zoomScaleNormal="100" workbookViewId="0"/>
  </sheetViews>
  <sheetFormatPr defaultColWidth="8.7109375" defaultRowHeight="15" x14ac:dyDescent="0.25"/>
  <cols>
    <col min="1" max="1" width="3" customWidth="1"/>
    <col min="2" max="2" width="40" customWidth="1"/>
    <col min="3" max="3" width="80" customWidth="1"/>
  </cols>
  <sheetData>
    <row r="2" spans="2:3" ht="18" x14ac:dyDescent="0.25">
      <c r="B2" s="41" t="s">
        <v>284</v>
      </c>
      <c r="C2" s="41"/>
    </row>
    <row r="3" spans="2:3" x14ac:dyDescent="0.25">
      <c r="B3" s="30" t="s">
        <v>285</v>
      </c>
      <c r="C3" s="30" t="s">
        <v>286</v>
      </c>
    </row>
    <row r="4" spans="2:3" x14ac:dyDescent="0.25">
      <c r="B4" s="16" t="s">
        <v>287</v>
      </c>
      <c r="C4" s="38" t="s">
        <v>288</v>
      </c>
    </row>
    <row r="5" spans="2:3" x14ac:dyDescent="0.25">
      <c r="B5" s="16" t="s">
        <v>114</v>
      </c>
      <c r="C5" s="38" t="s">
        <v>289</v>
      </c>
    </row>
    <row r="6" spans="2:3" x14ac:dyDescent="0.25">
      <c r="B6" s="16" t="s">
        <v>290</v>
      </c>
      <c r="C6" s="38" t="s">
        <v>291</v>
      </c>
    </row>
    <row r="7" spans="2:3" x14ac:dyDescent="0.25">
      <c r="B7" s="16" t="s">
        <v>292</v>
      </c>
      <c r="C7" s="38" t="s">
        <v>293</v>
      </c>
    </row>
    <row r="8" spans="2:3" x14ac:dyDescent="0.25">
      <c r="B8" s="16" t="s">
        <v>294</v>
      </c>
      <c r="C8" s="38" t="s">
        <v>295</v>
      </c>
    </row>
    <row r="9" spans="2:3" x14ac:dyDescent="0.25">
      <c r="B9" s="16" t="s">
        <v>296</v>
      </c>
      <c r="C9" s="38" t="s">
        <v>297</v>
      </c>
    </row>
    <row r="10" spans="2:3" x14ac:dyDescent="0.25">
      <c r="B10" s="16" t="s">
        <v>298</v>
      </c>
      <c r="C10" s="38" t="s">
        <v>299</v>
      </c>
    </row>
    <row r="11" spans="2:3" x14ac:dyDescent="0.25">
      <c r="B11" s="16" t="s">
        <v>300</v>
      </c>
      <c r="C11" s="38" t="s">
        <v>301</v>
      </c>
    </row>
    <row r="12" spans="2:3" x14ac:dyDescent="0.25">
      <c r="B12" s="16" t="s">
        <v>302</v>
      </c>
      <c r="C12" s="38" t="s">
        <v>303</v>
      </c>
    </row>
    <row r="13" spans="2:3" x14ac:dyDescent="0.25">
      <c r="B13" s="16" t="s">
        <v>304</v>
      </c>
      <c r="C13" s="38" t="s">
        <v>305</v>
      </c>
    </row>
  </sheetData>
  <mergeCells count="1">
    <mergeCell ref="B2:C2"/>
  </mergeCells>
  <hyperlinks>
    <hyperlink ref="C4" r:id="rId1" xr:uid="{00000000-0004-0000-0700-000000000000}"/>
    <hyperlink ref="C5" r:id="rId2" xr:uid="{00000000-0004-0000-0700-000001000000}"/>
    <hyperlink ref="C6" r:id="rId3" xr:uid="{00000000-0004-0000-0700-000002000000}"/>
    <hyperlink ref="C7" r:id="rId4" xr:uid="{00000000-0004-0000-0700-000003000000}"/>
    <hyperlink ref="C8" r:id="rId5" xr:uid="{00000000-0004-0000-0700-000004000000}"/>
    <hyperlink ref="C9" r:id="rId6" xr:uid="{00000000-0004-0000-0700-000005000000}"/>
    <hyperlink ref="C10" r:id="rId7" xr:uid="{00000000-0004-0000-0700-000006000000}"/>
    <hyperlink ref="C11" r:id="rId8" xr:uid="{00000000-0004-0000-0700-000007000000}"/>
    <hyperlink ref="C12" r:id="rId9" xr:uid="{00000000-0004-0000-0700-000008000000}"/>
    <hyperlink ref="C13" r:id="rId10" xr:uid="{00000000-0004-0000-0700-000009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How to Use</vt:lpstr>
      <vt:lpstr>Hardware Inputs</vt:lpstr>
      <vt:lpstr>Drive Layout Comparison</vt:lpstr>
      <vt:lpstr>Workload Planner</vt:lpstr>
      <vt:lpstr>Advanced Settings</vt:lpstr>
      <vt:lpstr>Capacity Report</vt:lpstr>
      <vt:lpstr>Thin Provisioning</vt:lpstr>
      <vt:lpstr>Volume Detail</vt:lpstr>
      <vt:lpstr>Final Report</vt:lpstr>
      <vt:lpstr>References</vt:lpstr>
      <vt:lpstr>'Final Report'!Print_Area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Kristopher Turner</cp:lastModifiedBy>
  <cp:revision>0</cp:revision>
  <dcterms:created xsi:type="dcterms:W3CDTF">2026-03-10T12:32:26Z</dcterms:created>
  <dcterms:modified xsi:type="dcterms:W3CDTF">2026-03-17T06:09:13Z</dcterms:modified>
  <dc:language>en-US</dc:language>
</cp:coreProperties>
</file>