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it\prodtech-docs-azl-toolkit\"/>
    </mc:Choice>
  </mc:AlternateContent>
  <xr:revisionPtr revIDLastSave="0" documentId="13_ncr:1_{3CF838B2-D3FC-4729-81AB-09693DA14D87}" xr6:coauthVersionLast="47" xr6:coauthVersionMax="47" xr10:uidLastSave="{00000000-0000-0000-0000-000000000000}"/>
  <bookViews>
    <workbookView xWindow="-120" yWindow="-120" windowWidth="51840" windowHeight="21120" tabRatio="500" activeTab="1" xr2:uid="{00000000-000D-0000-FFFF-FFFF00000000}"/>
  </bookViews>
  <sheets>
    <sheet name="How to Use" sheetId="1" r:id="rId1"/>
    <sheet name="Hardware Inputs" sheetId="2" r:id="rId2"/>
    <sheet name="Workload Planner" sheetId="3" r:id="rId3"/>
    <sheet name="Advanced Settings" sheetId="4" r:id="rId4"/>
    <sheet name="Capacity Report" sheetId="5" r:id="rId5"/>
    <sheet name="Thin Provisioning" sheetId="6" r:id="rId6"/>
    <sheet name="Volume Detail" sheetId="7" r:id="rId7"/>
    <sheet name="Reference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7" l="1"/>
  <c r="G9" i="7"/>
  <c r="D9" i="7"/>
  <c r="C9" i="7"/>
  <c r="G8" i="7"/>
  <c r="D8" i="7"/>
  <c r="C8" i="7"/>
  <c r="G7" i="7"/>
  <c r="D7" i="7"/>
  <c r="C7" i="7"/>
  <c r="G6" i="7"/>
  <c r="E6" i="7"/>
  <c r="D6" i="7"/>
  <c r="C6" i="7"/>
  <c r="G5" i="7"/>
  <c r="D5" i="7"/>
  <c r="C5" i="7"/>
  <c r="C8" i="5"/>
  <c r="C6" i="5"/>
  <c r="C5" i="5"/>
  <c r="C23" i="4"/>
  <c r="C22" i="4"/>
  <c r="C21" i="4"/>
  <c r="C20" i="4"/>
  <c r="C19" i="4"/>
  <c r="C18" i="4"/>
  <c r="C14" i="4"/>
  <c r="C22" i="2" s="1"/>
  <c r="C12" i="5" s="1"/>
  <c r="C7" i="4"/>
  <c r="C38" i="3"/>
  <c r="E9" i="7" s="1"/>
  <c r="D37" i="3"/>
  <c r="C32" i="3"/>
  <c r="E32" i="3" s="1"/>
  <c r="D31" i="3"/>
  <c r="C27" i="3"/>
  <c r="F7" i="7" s="1"/>
  <c r="C26" i="3"/>
  <c r="H7" i="7" s="1"/>
  <c r="D25" i="3"/>
  <c r="C18" i="3"/>
  <c r="C19" i="3" s="1"/>
  <c r="D17" i="3"/>
  <c r="C11" i="3"/>
  <c r="E11" i="3" s="1"/>
  <c r="D10" i="3"/>
  <c r="B29" i="2"/>
  <c r="C19" i="2"/>
  <c r="C21" i="2" s="1"/>
  <c r="C11" i="5" s="1"/>
  <c r="C17" i="2"/>
  <c r="C16" i="2"/>
  <c r="C18" i="2" s="1"/>
  <c r="C9" i="5" s="1"/>
  <c r="F6" i="7" l="1"/>
  <c r="C46" i="3"/>
  <c r="C47" i="3"/>
  <c r="C12" i="3"/>
  <c r="C33" i="3"/>
  <c r="C52" i="3"/>
  <c r="C16" i="5" s="1"/>
  <c r="E8" i="7"/>
  <c r="C20" i="2"/>
  <c r="H8" i="7"/>
  <c r="C53" i="3"/>
  <c r="E53" i="3" s="1"/>
  <c r="E18" i="3"/>
  <c r="E38" i="3"/>
  <c r="H6" i="7"/>
  <c r="C39" i="3"/>
  <c r="C7" i="5"/>
  <c r="E5" i="7"/>
  <c r="E7" i="7"/>
  <c r="E26" i="3"/>
  <c r="H5" i="7"/>
  <c r="H11" i="7" s="1"/>
  <c r="C10" i="5" l="1"/>
  <c r="C24" i="2"/>
  <c r="E11" i="7"/>
  <c r="F8" i="7"/>
  <c r="C48" i="3"/>
  <c r="F5" i="7"/>
  <c r="C45" i="3"/>
  <c r="C49" i="3"/>
  <c r="F9" i="7"/>
  <c r="C51" i="3" l="1"/>
  <c r="C15" i="5" s="1"/>
  <c r="F11" i="7"/>
  <c r="C13" i="5"/>
  <c r="C5" i="3"/>
  <c r="C43" i="3"/>
  <c r="E5" i="3"/>
  <c r="C26" i="2"/>
  <c r="C14" i="5" s="1"/>
  <c r="C56" i="3" l="1"/>
  <c r="C18" i="5" s="1"/>
  <c r="C55" i="3"/>
  <c r="B14" i="7" l="1"/>
  <c r="E55" i="3"/>
  <c r="C17" i="5"/>
</calcChain>
</file>

<file path=xl/sharedStrings.xml><?xml version="1.0" encoding="utf-8"?>
<sst xmlns="http://schemas.openxmlformats.org/spreadsheetml/2006/main" count="439" uniqueCount="349">
  <si>
    <t>S2D CAPACITY CALCULATOR — HOW TO USE</t>
  </si>
  <si>
    <t>Azure Local / Storage Spaces Direct — Capacity Planning Tool</t>
  </si>
  <si>
    <t>This workbook helps you plan storage for an Azure Local cluster using Storage Spaces Direct (S2D). Enter your hardware specs and planned workloads — the calculator tells you how much usable storage you get and whether everything fits. You do NOT need to be a storage expert.</t>
  </si>
  <si>
    <t>QUICK START — 3 STEPS</t>
  </si>
  <si>
    <t>STEP 1</t>
  </si>
  <si>
    <t>Go to 'Hardware Inputs'. Use the DROPDOWN MENUS to enter: node count, drive type, drives per node, and drive size. The calculator IMMEDIATELY shows your available storage in a big green number.</t>
  </si>
  <si>
    <t>STEP 2</t>
  </si>
  <si>
    <t>Go to 'Workload Planner'. Answer questions about your workloads: How many VMs? How big? How many AVD users? The calculator figures out volume sizes FOR YOU with a running counter showing remaining capacity.</t>
  </si>
  <si>
    <t>STEP 3</t>
  </si>
  <si>
    <t>Review 'Capacity Report' and 'Volume Detail'. Print or share these with your team or customer. The report explains all the numbers and includes key concepts if anyone asks questions.</t>
  </si>
  <si>
    <t>COLOR GUIDE</t>
  </si>
  <si>
    <t>Blue on Yellow</t>
  </si>
  <si>
    <t>YOUR INPUT — only cells you edit. All have dropdowns or accept numbers.</t>
  </si>
  <si>
    <t>Green</t>
  </si>
  <si>
    <t>GOOD NEWS — available capacity, passing checks. Bigger green number = better.</t>
  </si>
  <si>
    <t>Blue on Light Blue</t>
  </si>
  <si>
    <t>CALCULATED — auto-calculated values. Do not edit.</t>
  </si>
  <si>
    <t>Red / Pink</t>
  </si>
  <si>
    <t>WARNING — footprint numbers, overcommit alerts, capacity exceeded.</t>
  </si>
  <si>
    <t>Orange</t>
  </si>
  <si>
    <t>CAUTION — reserve capacity, infrastructure overhead.</t>
  </si>
  <si>
    <t>Gray</t>
  </si>
  <si>
    <t>LABELS — descriptions explaining what each row means.</t>
  </si>
  <si>
    <t>TABS IN THIS WORKBOOK</t>
  </si>
  <si>
    <t>1. Hardware Inputs</t>
  </si>
  <si>
    <t>WHERE YOU START. Enter cluster hardware with dropdowns. See your available capacity instantly. Shows TB vs TiB conversion for Windows Admin Center. Includes N+1 compute reminder.</t>
  </si>
  <si>
    <t>2. Workload Planner</t>
  </si>
  <si>
    <t>WHERE YOU PLAN VOLUMES. Questions you can answer: VM counts, disk sizes, AVD users, profile sizes. Running counter shows remaining pool as you add workloads. 64 TB volume limit checks.</t>
  </si>
  <si>
    <t>3. Advanced Settings</t>
  </si>
  <si>
    <t>NORMALLY DON'T TOUCH. Capacity efficiency factor (92%) with explanation. Infrastructure volume size. TB-to-TiB conversion reference table.</t>
  </si>
  <si>
    <t>4. Capacity Report</t>
  </si>
  <si>
    <t>WHAT YOU SHARE. Executive summary, capacity term glossary, reserve explanation, drive sizing advisory, N+1 compute reminder. Print this for project documentation.</t>
  </si>
  <si>
    <t>5. Thin Provisioning</t>
  </si>
  <si>
    <t>READ IF CONSIDERING THIN. Risks, when acceptable, monitoring commands, best practices checklist.</t>
  </si>
  <si>
    <t>6. Volume Detail</t>
  </si>
  <si>
    <t>PER-VOLUME TABLE. Name, resiliency, efficiency, logical size, footprint, usable capacity. PASS/FAIL check.</t>
  </si>
  <si>
    <t>7. Microsoft References</t>
  </si>
  <si>
    <t>DOCUMENTATION LINKS. 10 Microsoft Learn pages covering all S2D topics.</t>
  </si>
  <si>
    <t>COMMON QUESTIONS</t>
  </si>
  <si>
    <t>Why does Windows show different numbers?</t>
  </si>
  <si>
    <t>Calculator uses TB (decimal). Windows uses TiB (binary). 1 TB = 0.909 TiB. Both are correct. Row 26 on Hardware Inputs shows TiB equivalent.</t>
  </si>
  <si>
    <t>Why is so much capacity 'lost'?</t>
  </si>
  <si>
    <t>Three-way mirror = 3 copies = 33% efficiency. This is WHY data survives 2 failures. Two-way = 50%. Dual Parity = 50-80% at 4+ nodes.</t>
  </si>
  <si>
    <t>Why can't I use all my pool?</t>
  </si>
  <si>
    <t>Three deductions: Drive overhead (~8%), Reserve (~1 drive/node for auto-repair), Infrastructure volume (~250 GB for Azure Local system).</t>
  </si>
  <si>
    <t>What if workloads don't fit?</t>
  </si>
  <si>
    <t>Options: fewer VMs, Two-Way instead of Three-Way where OK, more/smaller drives, more nodes, Dual Parity for archives.</t>
  </si>
  <si>
    <t>Should I use thin provisioning?</t>
  </si>
  <si>
    <t>Production: NO, use Fixed. Thin risks pool exhaustion = VMs crash. OK for dev/test and FSLogix with monitoring. See Thin Provisioning tab.</t>
  </si>
  <si>
    <t>NVMe+SSD vs All-NVMe?</t>
  </si>
  <si>
    <t>NVMe+SSD: NVMe becomes CACHE (not capacity). Only SSD counts. All-NVMe: all drives are capacity. Most common for new Azure Local deployments.</t>
  </si>
  <si>
    <t>Can I add drives/nodes later?</t>
  </si>
  <si>
    <t>Yes. New drives auto-join pool. Adding 3rd node unlocks three-way mirror. But sizing correctly upfront is simpler than expanding later.</t>
  </si>
  <si>
    <t>What does N+1 compute mean?</t>
  </si>
  <si>
    <t>Size VMs to fit on N-1 nodes. If 1 node goes down, all VMs must failover to remaining nodes. This is CPU/RAM, separate from storage.</t>
  </si>
  <si>
    <t>TIPS</t>
  </si>
  <si>
    <t>1.</t>
  </si>
  <si>
    <t>Start with Hardware Inputs before planning workloads. Know what you have before planning what to put on it.</t>
  </si>
  <si>
    <t>2.</t>
  </si>
  <si>
    <t>Use dropdown menus — don't type resiliency types manually. Typos break formulas.</t>
  </si>
  <si>
    <t>3.</t>
  </si>
  <si>
    <t>Include ALL disks when estimating VM sizes (OS + data disks). Typical Windows Server = 80 GB OS + 100 GB data = 180 GB.</t>
  </si>
  <si>
    <t>4.</t>
  </si>
  <si>
    <t>For FSLogix, start at 5 GB/user if no data. Measure after 30 days and adjust.</t>
  </si>
  <si>
    <t>5.</t>
  </si>
  <si>
    <t>Keep pool utilization below 70%. Above 70% = limited rebuild headroom. Above 90% = danger zone.</t>
  </si>
  <si>
    <t>6.</t>
  </si>
  <si>
    <t>Consider Dual Parity for backup/archive on 4+ node clusters: 50-80% efficiency vs 33% for three-way mirror.</t>
  </si>
  <si>
    <t>7.</t>
  </si>
  <si>
    <t>Print the Capacity Report tab for project documentation.</t>
  </si>
  <si>
    <t>8.</t>
  </si>
  <si>
    <t>This calculator uses TB. Windows uses TiB. Numbers WILL look different. Both are correct.</t>
  </si>
  <si>
    <t>S2D CAPACITY CALCULATOR — Azure Local</t>
  </si>
  <si>
    <t>Cluster Hardware Configuration</t>
  </si>
  <si>
    <t>INSTRUCTIONS: Enter values in BLUE cells (dropdowns provided). Everything else auto-calculates.</t>
  </si>
  <si>
    <t>STEP 1: ENTER YOUR CLUSTER HARDWARE</t>
  </si>
  <si>
    <t>Number of Cluster Nodes (Servers)</t>
  </si>
  <si>
    <t>Select 1-16</t>
  </si>
  <si>
    <t>Physical servers in the Azure Local cluster.</t>
  </si>
  <si>
    <t>Drive Media Configuration</t>
  </si>
  <si>
    <t>All-NVMe (No Cache)</t>
  </si>
  <si>
    <t>Select type</t>
  </si>
  <si>
    <t>All-NVMe: all drives are capacity. NVMe+SSD: NVMe is CACHE only.</t>
  </si>
  <si>
    <t>Capacity Drives per Node</t>
  </si>
  <si>
    <t>Minimum: 2</t>
  </si>
  <si>
    <t>Drives per node used for CAPACITY.</t>
  </si>
  <si>
    <t>Size of Each Capacity Drive (TB)</t>
  </si>
  <si>
    <t>e.g. 1.6, 3.2, 7.68</t>
  </si>
  <si>
    <t>Vendor-advertised drive size in TB.</t>
  </si>
  <si>
    <t>Cache Drives per Node (NVMe+SSD only)</t>
  </si>
  <si>
    <t>Only if NVMe+SSD</t>
  </si>
  <si>
    <t>NVMe cache drives per node. These do NOT add capacity.</t>
  </si>
  <si>
    <t>Default Volume Provisioning</t>
  </si>
  <si>
    <t>Fixed (Thick)</t>
  </si>
  <si>
    <t>RECOMMENDED: Fixed. See Thin Provisioning tab for risks.</t>
  </si>
  <si>
    <t>STEP 2: YOUR AVAILABLE STORAGE (Auto-Calculated)</t>
  </si>
  <si>
    <t>Total Capacity Drives</t>
  </si>
  <si>
    <t>drives</t>
  </si>
  <si>
    <t>Nodes x Capacity Drives (excludes cache)</t>
  </si>
  <si>
    <t>Cache Drives (if applicable)</t>
  </si>
  <si>
    <t>Cache drives do NOT count toward capacity.</t>
  </si>
  <si>
    <t>Total Raw Capacity (Advertised)</t>
  </si>
  <si>
    <t>TB</t>
  </si>
  <si>
    <t>Capacity Drives x Drive Size.</t>
  </si>
  <si>
    <t>Usable Capacity per Drive</t>
  </si>
  <si>
    <t>After NVMe overhead (~8%). See Advanced Settings tab.</t>
  </si>
  <si>
    <t>Total Usable Pool (Before Reserve)</t>
  </si>
  <si>
    <t>All capacity drives pooled after overhead.</t>
  </si>
  <si>
    <t>Reserve (drive failure repair)</t>
  </si>
  <si>
    <t>1 drive per node (max 4) for auto-repair.</t>
  </si>
  <si>
    <t>Infrastructure Volume (Azure Local)</t>
  </si>
  <si>
    <t>TB footprint</t>
  </si>
  <si>
    <t>System volume created during deployment (~250 GB).</t>
  </si>
  <si>
    <t>YOUR AVAILABLE CAPACITY FOR VOLUMES</t>
  </si>
  <si>
    <t>Pool minus reserve minus infra = what you can use.</t>
  </si>
  <si>
    <t>What Windows Admin Center shows (TiB):</t>
  </si>
  <si>
    <t>TiB (approx)</t>
  </si>
  <si>
    <t>Windows uses TiB (binary). 1 TB = ~0.909 TiB. Numbers WILL differ.</t>
  </si>
  <si>
    <t>N+1 COMPUTE REMINDER</t>
  </si>
  <si>
    <t>RESILIENCY REFERENCE</t>
  </si>
  <si>
    <t>Type</t>
  </si>
  <si>
    <t>Efficiency</t>
  </si>
  <si>
    <t>Min Nodes</t>
  </si>
  <si>
    <t>Fault Tolerance</t>
  </si>
  <si>
    <t>Two-Way Mirror</t>
  </si>
  <si>
    <t>50.0%</t>
  </si>
  <si>
    <t>1 failure</t>
  </si>
  <si>
    <t>Three-Way Mirror</t>
  </si>
  <si>
    <t>33.3%</t>
  </si>
  <si>
    <t>2 failures</t>
  </si>
  <si>
    <t>Dual Parity (4-6)</t>
  </si>
  <si>
    <t>Dual Parity (7-8)</t>
  </si>
  <si>
    <t>66.7%</t>
  </si>
  <si>
    <t>Dual Parity (9-15 flash)</t>
  </si>
  <si>
    <t>75.0%</t>
  </si>
  <si>
    <t>Dual Parity (16 flash)</t>
  </si>
  <si>
    <t>80.0%</t>
  </si>
  <si>
    <t>Nested Two-Way</t>
  </si>
  <si>
    <t>25.0%</t>
  </si>
  <si>
    <t>1 server+1 drive</t>
  </si>
  <si>
    <t>WORKLOAD-DRIVEN VOLUME PLANNER</t>
  </si>
  <si>
    <t>Answer questions about your workloads — we calculate volumes for you</t>
  </si>
  <si>
    <t>AVAILABLE POOL CAPACITY:</t>
  </si>
  <si>
    <t>WORKLOAD 1: PRODUCTION VMs</t>
  </si>
  <si>
    <t>How many production VMs?</t>
  </si>
  <si>
    <t>VMs</t>
  </si>
  <si>
    <t>Average total disk size per VM?</t>
  </si>
  <si>
    <t>GB</t>
  </si>
  <si>
    <t>Resiliency type</t>
  </si>
  <si>
    <t>Volume size needed (logical)</t>
  </si>
  <si>
    <t>Physical footprint in pool</t>
  </si>
  <si>
    <t>Logical / efficiency = pool space consumed.</t>
  </si>
  <si>
    <t>WORKLOAD 2: DEV/TEST VMs</t>
  </si>
  <si>
    <t>How many dev/test VMs?</t>
  </si>
  <si>
    <t>WORKLOAD 3: FSLogix PROFILES (AVD)</t>
  </si>
  <si>
    <t>How many AVD users?</t>
  </si>
  <si>
    <t>users</t>
  </si>
  <si>
    <t>Average profile container size?</t>
  </si>
  <si>
    <t>Growth buffer (%)?</t>
  </si>
  <si>
    <t>overhead</t>
  </si>
  <si>
    <t>Buffer for growth. 20-50% recommended.</t>
  </si>
  <si>
    <t>WORKLOAD 4: BACKUP / ARCHIVE</t>
  </si>
  <si>
    <t>Enable this volume?</t>
  </si>
  <si>
    <t>Yes</t>
  </si>
  <si>
    <t>Set to No to skip this workload.</t>
  </si>
  <si>
    <t>Size needed (TB)?</t>
  </si>
  <si>
    <t>Dual Parity</t>
  </si>
  <si>
    <t>WORKLOAD 5: CUSTOM (Optional)</t>
  </si>
  <si>
    <t>Exact volume size (TB)?</t>
  </si>
  <si>
    <t>CAPACITY SUMMARY</t>
  </si>
  <si>
    <t>Available Pool Capacity</t>
  </si>
  <si>
    <t>Total pool capacity for volumes.</t>
  </si>
  <si>
    <t>WL1: Production VMs — Footprint</t>
  </si>
  <si>
    <t>WL2: Dev/Test VMs — Footprint</t>
  </si>
  <si>
    <t>WL3: FSLogix Profiles — Footprint</t>
  </si>
  <si>
    <t>WL4: Backup/Archive — Footprint</t>
  </si>
  <si>
    <t>WL5: Custom — Footprint</t>
  </si>
  <si>
    <t>TOTAL PHYSICAL FOOTPRINT</t>
  </si>
  <si>
    <t>Must be LESS than available pool.</t>
  </si>
  <si>
    <t>TOTAL USABLE VOLUME CAPACITY</t>
  </si>
  <si>
    <t>Logical capacity you get to use.</t>
  </si>
  <si>
    <t>Volume Count</t>
  </si>
  <si>
    <t>volumes</t>
  </si>
  <si>
    <t>REMAINING POOL CAPACITY</t>
  </si>
  <si>
    <t>Pool Utilization</t>
  </si>
  <si>
    <t>ADVANCED SETTINGS</t>
  </si>
  <si>
    <t>DRIVE CAPACITY EFFICIENCY FACTOR</t>
  </si>
  <si>
    <t>Manufacturers label drives in decimal TB (1 TB = 1,000,000,000,000 bytes). Windows reports in binary TiB (1 TiB = 1,099,511,627,776 bytes). A 7.68 TB drive shows as ~6.98 TiB. Plus NVMe reserves 1-3% for wear leveling. Combined: ~8% reduction.</t>
  </si>
  <si>
    <t>Example: 7.68 TB at 92%:</t>
  </si>
  <si>
    <t>TB usable</t>
  </si>
  <si>
    <t>What S2D pool reports per drive.</t>
  </si>
  <si>
    <t>Capacity Efficiency Factor</t>
  </si>
  <si>
    <t>Default: 92%</t>
  </si>
  <si>
    <t>Only change if vendor provides specific formatted capacity.</t>
  </si>
  <si>
    <t>INFRASTRUCTURE VOLUME</t>
  </si>
  <si>
    <t>Azure Local creates an infrastructure volume during deployment (~250 GB) for system metadata. This uses the same resiliency as workload volumes, so its footprint is larger.</t>
  </si>
  <si>
    <t>Infrastructure Volume Logical Size</t>
  </si>
  <si>
    <t>TB (~250 GB)</t>
  </si>
  <si>
    <t>Size of the infrastructure volume.</t>
  </si>
  <si>
    <t>Infrastructure Volume Footprint</t>
  </si>
  <si>
    <t>TB in pool</t>
  </si>
  <si>
    <t>Three-way mirror (3+ nodes) or two-way mirror (2 nodes).</t>
  </si>
  <si>
    <t>TB vs TiB CONVERSION TABLE</t>
  </si>
  <si>
    <t>Windows Admin Center, PowerShell, and Disk Management show TiB (binary). This calculator uses TB (decimal). Use this table to cross-check.</t>
  </si>
  <si>
    <t>1 TB (decimal) =</t>
  </si>
  <si>
    <t>TiB (binary)</t>
  </si>
  <si>
    <t>What Windows will show.</t>
  </si>
  <si>
    <t>5 TB (decimal) =</t>
  </si>
  <si>
    <t>10 TB (decimal) =</t>
  </si>
  <si>
    <t>25 TB (decimal) =</t>
  </si>
  <si>
    <t>50 TB (decimal) =</t>
  </si>
  <si>
    <t>100 TB (decimal) =</t>
  </si>
  <si>
    <t>S2D CAPACITY REPORT</t>
  </si>
  <si>
    <t>EXECUTIVE SUMMARY</t>
  </si>
  <si>
    <t>Cluster Nodes</t>
  </si>
  <si>
    <t>servers</t>
  </si>
  <si>
    <t>Drive Config</t>
  </si>
  <si>
    <t>Capacity Drives</t>
  </si>
  <si>
    <t>Drive Size</t>
  </si>
  <si>
    <t>TB each</t>
  </si>
  <si>
    <t>Raw Capacity</t>
  </si>
  <si>
    <t>After Overhead</t>
  </si>
  <si>
    <t>Pool Reserve</t>
  </si>
  <si>
    <t>Infra Volume</t>
  </si>
  <si>
    <t>AVAILABLE POOL</t>
  </si>
  <si>
    <t>WAC Display</t>
  </si>
  <si>
    <t>TiB</t>
  </si>
  <si>
    <t>Workload Footprint</t>
  </si>
  <si>
    <t>Usable Volume Capacity</t>
  </si>
  <si>
    <t>Remaining Free</t>
  </si>
  <si>
    <t>CAPACITY TERMS</t>
  </si>
  <si>
    <t>Drive label size. Manufacturer's decimal number.</t>
  </si>
  <si>
    <t>Usable Capacity</t>
  </si>
  <si>
    <t>After ~8% overhead (TB-to-TiB + NVMe reserves).</t>
  </si>
  <si>
    <t>Pool Capacity</t>
  </si>
  <si>
    <t>All usable capacity pooled. Excludes cache.</t>
  </si>
  <si>
    <t>Reserve</t>
  </si>
  <si>
    <t>1 drive/node (max 4) for auto-repair.</t>
  </si>
  <si>
    <t>~250 GB for Azure Local system metadata.</t>
  </si>
  <si>
    <t>Available Pool</t>
  </si>
  <si>
    <t>Pool - reserve - infra. What you allocate.</t>
  </si>
  <si>
    <t>Volume Size</t>
  </si>
  <si>
    <t>Logical size you request. What OS shows.</t>
  </si>
  <si>
    <t>Footprint</t>
  </si>
  <si>
    <t>Physical pool space. 1TB 3-way mirror = 3TB.</t>
  </si>
  <si>
    <t>Usable/footprint. 2-way=50%, 3-way=33%.</t>
  </si>
  <si>
    <t>TB vs TiB</t>
  </si>
  <si>
    <t>Manufacturers=TB. Windows=TiB. 1TB=0.909TiB.</t>
  </si>
  <si>
    <t>WHY RESERVE IS CRITICAL</t>
  </si>
  <si>
    <t>Drive fails:</t>
  </si>
  <si>
    <t>S2D rebuilds lost data onto other drives. Needs FREE pool space.</t>
  </si>
  <si>
    <t>No reserve:</t>
  </si>
  <si>
    <t>Must wait for replacement drive. Reduced redundancy = risk.</t>
  </si>
  <si>
    <t>With reserve:</t>
  </si>
  <si>
    <t>Rebuild starts IMMEDIATELY. Full resiliency in minutes, not days.</t>
  </si>
  <si>
    <t>DRIVE SIZING ADVISORY</t>
  </si>
  <si>
    <t>Cost</t>
  </si>
  <si>
    <t>Smaller drives cheaper per TB.</t>
  </si>
  <si>
    <t>Rebuild Speed</t>
  </si>
  <si>
    <t>3.84 TB rebuilds ~half the time of 7.68 TB.</t>
  </si>
  <si>
    <t>Parallelism</t>
  </si>
  <si>
    <t>More drives = more IOPS. 8 drives/node &gt; 4.</t>
  </si>
  <si>
    <t>Reserve Cost</t>
  </si>
  <si>
    <t>Smaller drive = smaller reserve = more for volumes.</t>
  </si>
  <si>
    <t>Slots</t>
  </si>
  <si>
    <t>Limited NVMe slots per server. Check hardware spec.</t>
  </si>
  <si>
    <t>THIN PROVISIONING — RISKS &amp; GUIDANCE</t>
  </si>
  <si>
    <t>DEFAULT: USE FIXED (THICK)</t>
  </si>
  <si>
    <t>Fixed allocates full footprint at creation. Guarantees capacity. STRONGLY recommended for production.</t>
  </si>
  <si>
    <t>WHEN THIN IS ACCEPTABLE</t>
  </si>
  <si>
    <t>Dev/Test</t>
  </si>
  <si>
    <t>Outages tolerable.</t>
  </si>
  <si>
    <t>FSLogix</t>
  </si>
  <si>
    <t>Slow growth. Monitor.</t>
  </si>
  <si>
    <t>Archive</t>
  </si>
  <si>
    <t>Infrequent access.</t>
  </si>
  <si>
    <t>Prototyping</t>
  </si>
  <si>
    <t>Right-size later.</t>
  </si>
  <si>
    <t>RISKS</t>
  </si>
  <si>
    <t>Pool Exhaustion</t>
  </si>
  <si>
    <t>Pool full = volumes OFFLINE = VMs crash. HARD STOP.</t>
  </si>
  <si>
    <t>Silent Overcommit</t>
  </si>
  <si>
    <t>Logical can exceed physical. No hard block.</t>
  </si>
  <si>
    <t>Growth Spikes</t>
  </si>
  <si>
    <t>Updates, snapshots consume GBs with no warning.</t>
  </si>
  <si>
    <t>No Reclaim</t>
  </si>
  <si>
    <t>Stretched clusters: TRIM disabled. Volumes only grow.</t>
  </si>
  <si>
    <t>Double-Thin</t>
  </si>
  <si>
    <t>Thin S2D + thin VHDX = two overcommit layers.</t>
  </si>
  <si>
    <t>Rebuild Blocked</t>
  </si>
  <si>
    <t>No pool space = rebuild fails = data at risk.</t>
  </si>
  <si>
    <t>MONITORING</t>
  </si>
  <si>
    <t>WAC Alerts</t>
  </si>
  <si>
    <t>Set threshold to 60% for thin pools.</t>
  </si>
  <si>
    <t>PS: Pool</t>
  </si>
  <si>
    <t>Get-StoragePool S2D* | Select Size, AllocatedSize</t>
  </si>
  <si>
    <t>PS: Volumes</t>
  </si>
  <si>
    <t>Get-VirtualDisk | Select Size, FootprintOnPool</t>
  </si>
  <si>
    <t>Azure Monitor</t>
  </si>
  <si>
    <t>Log Analytics for pool free space trending.</t>
  </si>
  <si>
    <t>Commit Ratio</t>
  </si>
  <si>
    <t>Logical/Physical. Alert 0.8, escalate 1.0.</t>
  </si>
  <si>
    <t>CHECKLIST</t>
  </si>
  <si>
    <t>Never double-thin (S2D + VHDX).</t>
  </si>
  <si>
    <t>WAC alert at 60% for thin.</t>
  </si>
  <si>
    <t>Pool below 70% always.</t>
  </si>
  <si>
    <t>Weekly: Get-StoragePool reports.</t>
  </si>
  <si>
    <t>Azure Monitor for alerting.</t>
  </si>
  <si>
    <t>Capacity response plan documented.</t>
  </si>
  <si>
    <t>Quarterly: simulate drive failure.</t>
  </si>
  <si>
    <t>Production = FIXED. Thin = dev/test only.</t>
  </si>
  <si>
    <t>9.</t>
  </si>
  <si>
    <t>Commit ratio: alert 0.8, escalate 1.0.</t>
  </si>
  <si>
    <t>VOLUME DETAIL</t>
  </si>
  <si>
    <t>Volume</t>
  </si>
  <si>
    <t>Resiliency</t>
  </si>
  <si>
    <t>Logical TB</t>
  </si>
  <si>
    <t>Footprint TB</t>
  </si>
  <si>
    <t>Copies</t>
  </si>
  <si>
    <t>Usable TB</t>
  </si>
  <si>
    <t>Production VMs</t>
  </si>
  <si>
    <t>Dev/Test VMs</t>
  </si>
  <si>
    <t>FSLogix Profiles</t>
  </si>
  <si>
    <t>Backup/Archive</t>
  </si>
  <si>
    <t>Custom</t>
  </si>
  <si>
    <t>TOTALS</t>
  </si>
  <si>
    <t>FIT CHECK</t>
  </si>
  <si>
    <t>MICROSOFT REFERENCES</t>
  </si>
  <si>
    <t>Topic</t>
  </si>
  <si>
    <t>URL</t>
  </si>
  <si>
    <t>Plan Volumes</t>
  </si>
  <si>
    <t>https://learn.microsoft.com/en-us/windows-server/storage/storage-spaces/plan-volumes</t>
  </si>
  <si>
    <t>https://learn.microsoft.com/en-us/windows-server/storage/storage-spaces/fault-tolerance</t>
  </si>
  <si>
    <t>S2D Overview</t>
  </si>
  <si>
    <t>https://learn.microsoft.com/en-us/windows-server/storage/storage-spaces/storage-spaces-direct-overview</t>
  </si>
  <si>
    <t>Hardware Reqs</t>
  </si>
  <si>
    <t>https://learn.microsoft.com/en-us/windows-server/storage/storage-spaces/storage-spaces-direct-hardware-requirements</t>
  </si>
  <si>
    <t>Cache</t>
  </si>
  <si>
    <t>https://learn.microsoft.com/en-us/windows-server/storage/storage-spaces/cache</t>
  </si>
  <si>
    <t>Nested Resiliency</t>
  </si>
  <si>
    <t>https://learn.microsoft.com/en-us/windows-server/storage/storage-spaces/nested-resiliency</t>
  </si>
  <si>
    <t>Thin Provisioning</t>
  </si>
  <si>
    <t>https://learn.microsoft.com/en-us/azure-stack/hci/manage/thin-provisioning</t>
  </si>
  <si>
    <t>Azure Local Baseline</t>
  </si>
  <si>
    <t>https://learn.microsoft.com/en-us/azure/architecture/hybrid/azure-local-baseline</t>
  </si>
  <si>
    <t>Azure Local Deploy</t>
  </si>
  <si>
    <t>https://learn.microsoft.com/en-us/azure/azure-local/deploy/deploy-via-portal</t>
  </si>
  <si>
    <t>Well-Architected</t>
  </si>
  <si>
    <t>https://learn.microsoft.com/en-us/azure/well-architected/service-guides/azure-local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</si>
</sst>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 TB available from your cluster&quot;"/>
    <numFmt numFmtId="165" formatCode="0.0%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2"/>
      <color rgb="FF2E7D32"/>
      <name val="Arial"/>
      <charset val="1"/>
    </font>
    <font>
      <b/>
      <sz val="11"/>
      <color rgb="FF0000FF"/>
      <name val="Arial"/>
      <charset val="1"/>
    </font>
    <font>
      <b/>
      <sz val="11"/>
      <color rgb="FF1B3A5C"/>
      <name val="Arial"/>
      <charset val="1"/>
    </font>
    <font>
      <b/>
      <sz val="11"/>
      <color rgb="FFC62828"/>
      <name val="Arial"/>
      <charset val="1"/>
    </font>
    <font>
      <b/>
      <sz val="11"/>
      <color rgb="FFE65100"/>
      <name val="Arial"/>
      <charset val="1"/>
    </font>
    <font>
      <b/>
      <sz val="10"/>
      <name val="Arial"/>
      <charset val="1"/>
    </font>
    <font>
      <i/>
      <sz val="9"/>
      <color rgb="FF888888"/>
      <name val="Arial"/>
      <charset val="1"/>
    </font>
    <font>
      <b/>
      <sz val="10"/>
      <color rgb="FF0000FF"/>
      <name val="Arial"/>
      <charset val="1"/>
    </font>
    <font>
      <b/>
      <sz val="16"/>
      <color rgb="FF2E7D32"/>
      <name val="Arial"/>
      <charset val="1"/>
    </font>
    <font>
      <b/>
      <sz val="10"/>
      <color rgb="FF00695C"/>
      <name val="Arial"/>
      <charset val="1"/>
    </font>
    <font>
      <b/>
      <sz val="11"/>
      <color rgb="FFFFFFFF"/>
      <name val="Arial"/>
      <charset val="1"/>
    </font>
    <font>
      <u/>
      <sz val="9"/>
      <color rgb="FF0563C1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2C5F8A"/>
        <bgColor rgb="FF1565C0"/>
      </patternFill>
    </fill>
    <fill>
      <patternFill patternType="solid">
        <fgColor rgb="FF2E7D32"/>
        <bgColor rgb="FF008000"/>
      </patternFill>
    </fill>
    <fill>
      <patternFill patternType="solid">
        <fgColor rgb="FFE8F5E9"/>
        <bgColor rgb="FFF2F2F2"/>
      </patternFill>
    </fill>
    <fill>
      <patternFill patternType="solid">
        <fgColor rgb="FFD6E4F0"/>
        <bgColor rgb="FFE8F5E9"/>
      </patternFill>
    </fill>
    <fill>
      <patternFill patternType="solid">
        <fgColor rgb="FFFFF2CC"/>
        <bgColor rgb="FFFFF3E0"/>
      </patternFill>
    </fill>
    <fill>
      <patternFill patternType="solid">
        <fgColor rgb="FFFCE4EC"/>
        <bgColor rgb="FFF2F2F2"/>
      </patternFill>
    </fill>
    <fill>
      <patternFill patternType="solid">
        <fgColor rgb="FFFFF3E0"/>
        <bgColor rgb="FFFFF2CC"/>
      </patternFill>
    </fill>
    <fill>
      <patternFill patternType="solid">
        <fgColor rgb="FFF2F2F2"/>
        <bgColor rgb="FFE8F5E9"/>
      </patternFill>
    </fill>
    <fill>
      <patternFill patternType="solid">
        <fgColor rgb="FF00695C"/>
        <bgColor rgb="FF2C5F8A"/>
      </patternFill>
    </fill>
    <fill>
      <patternFill patternType="solid">
        <fgColor rgb="FFB71C1C"/>
        <bgColor rgb="FFC62828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5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8" fillId="8" borderId="1" xfId="0" applyFont="1" applyFill="1" applyBorder="1"/>
    <xf numFmtId="0" fontId="5" fillId="5" borderId="1" xfId="0" applyFont="1" applyFill="1" applyBorder="1"/>
    <xf numFmtId="0" fontId="8" fillId="0" borderId="1" xfId="0" applyFont="1" applyBorder="1"/>
    <xf numFmtId="0" fontId="11" fillId="0" borderId="1" xfId="0" applyFont="1" applyBorder="1"/>
    <xf numFmtId="164" fontId="5" fillId="5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vertical="top" wrapText="1"/>
    </xf>
    <xf numFmtId="0" fontId="2" fillId="11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5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vertical="top" wrapText="1"/>
    </xf>
    <xf numFmtId="0" fontId="6" fillId="7" borderId="2" xfId="0" applyFont="1" applyFill="1" applyBorder="1"/>
    <xf numFmtId="0" fontId="6" fillId="7" borderId="2" xfId="0" applyFont="1" applyFill="1" applyBorder="1" applyAlignment="1">
      <alignment horizontal="center"/>
    </xf>
    <xf numFmtId="0" fontId="3" fillId="0" borderId="2" xfId="0" applyFont="1" applyBorder="1" applyAlignment="1">
      <alignment vertical="top" wrapText="1"/>
    </xf>
    <xf numFmtId="0" fontId="5" fillId="5" borderId="2" xfId="0" applyFont="1" applyFill="1" applyBorder="1"/>
    <xf numFmtId="0" fontId="7" fillId="6" borderId="2" xfId="0" applyFont="1" applyFill="1" applyBorder="1"/>
    <xf numFmtId="0" fontId="7" fillId="6" borderId="2" xfId="0" applyFont="1" applyFill="1" applyBorder="1" applyAlignment="1">
      <alignment horizontal="center"/>
    </xf>
    <xf numFmtId="0" fontId="8" fillId="8" borderId="2" xfId="0" applyFont="1" applyFill="1" applyBorder="1"/>
    <xf numFmtId="0" fontId="8" fillId="8" borderId="2" xfId="0" applyFont="1" applyFill="1" applyBorder="1" applyAlignment="1">
      <alignment horizontal="center"/>
    </xf>
    <xf numFmtId="0" fontId="9" fillId="9" borderId="2" xfId="0" applyFont="1" applyFill="1" applyBorder="1"/>
    <xf numFmtId="0" fontId="9" fillId="9" borderId="2" xfId="0" applyFont="1" applyFill="1" applyBorder="1" applyAlignment="1">
      <alignment horizontal="center"/>
    </xf>
    <xf numFmtId="0" fontId="10" fillId="10" borderId="2" xfId="0" applyFont="1" applyFill="1" applyBorder="1"/>
    <xf numFmtId="0" fontId="10" fillId="10" borderId="2" xfId="0" applyFont="1" applyFill="1" applyBorder="1" applyAlignment="1">
      <alignment horizontal="center"/>
    </xf>
    <xf numFmtId="0" fontId="10" fillId="6" borderId="2" xfId="0" applyFont="1" applyFill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1" fillId="0" borderId="2" xfId="0" applyFont="1" applyBorder="1"/>
    <xf numFmtId="0" fontId="12" fillId="7" borderId="2" xfId="0" applyFont="1" applyFill="1" applyBorder="1" applyAlignment="1">
      <alignment horizontal="center"/>
    </xf>
    <xf numFmtId="2" fontId="6" fillId="7" borderId="2" xfId="0" applyNumberFormat="1" applyFont="1" applyFill="1" applyBorder="1" applyAlignment="1">
      <alignment horizontal="center"/>
    </xf>
    <xf numFmtId="1" fontId="7" fillId="6" borderId="2" xfId="0" applyNumberFormat="1" applyFont="1" applyFill="1" applyBorder="1" applyAlignment="1">
      <alignment horizontal="center"/>
    </xf>
    <xf numFmtId="2" fontId="7" fillId="6" borderId="2" xfId="0" applyNumberFormat="1" applyFont="1" applyFill="1" applyBorder="1" applyAlignment="1">
      <alignment horizontal="center"/>
    </xf>
    <xf numFmtId="0" fontId="10" fillId="9" borderId="2" xfId="0" applyFont="1" applyFill="1" applyBorder="1"/>
    <xf numFmtId="2" fontId="9" fillId="9" borderId="2" xfId="0" applyNumberFormat="1" applyFont="1" applyFill="1" applyBorder="1" applyAlignment="1">
      <alignment horizontal="center"/>
    </xf>
    <xf numFmtId="0" fontId="13" fillId="5" borderId="2" xfId="0" applyFont="1" applyFill="1" applyBorder="1"/>
    <xf numFmtId="2" fontId="13" fillId="5" borderId="2" xfId="0" applyNumberFormat="1" applyFont="1" applyFill="1" applyBorder="1" applyAlignment="1">
      <alignment horizontal="center"/>
    </xf>
    <xf numFmtId="0" fontId="10" fillId="6" borderId="2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" fontId="6" fillId="7" borderId="2" xfId="0" applyNumberFormat="1" applyFont="1" applyFill="1" applyBorder="1" applyAlignment="1">
      <alignment horizontal="center"/>
    </xf>
    <xf numFmtId="0" fontId="3" fillId="6" borderId="2" xfId="0" applyFont="1" applyFill="1" applyBorder="1"/>
    <xf numFmtId="0" fontId="10" fillId="8" borderId="2" xfId="0" applyFont="1" applyFill="1" applyBorder="1"/>
    <xf numFmtId="2" fontId="8" fillId="8" borderId="2" xfId="0" applyNumberFormat="1" applyFont="1" applyFill="1" applyBorder="1" applyAlignment="1">
      <alignment horizontal="center"/>
    </xf>
    <xf numFmtId="0" fontId="3" fillId="8" borderId="2" xfId="0" applyFont="1" applyFill="1" applyBorder="1"/>
    <xf numFmtId="9" fontId="6" fillId="7" borderId="2" xfId="0" applyNumberFormat="1" applyFont="1" applyFill="1" applyBorder="1" applyAlignment="1">
      <alignment horizontal="center"/>
    </xf>
    <xf numFmtId="165" fontId="7" fillId="6" borderId="2" xfId="0" applyNumberFormat="1" applyFont="1" applyFill="1" applyBorder="1" applyAlignment="1">
      <alignment horizontal="center"/>
    </xf>
    <xf numFmtId="2" fontId="5" fillId="5" borderId="2" xfId="0" applyNumberFormat="1" applyFont="1" applyFill="1" applyBorder="1" applyAlignment="1">
      <alignment horizontal="center"/>
    </xf>
    <xf numFmtId="0" fontId="10" fillId="9" borderId="2" xfId="0" applyFont="1" applyFill="1" applyBorder="1" applyAlignment="1">
      <alignment vertical="top" wrapText="1"/>
    </xf>
    <xf numFmtId="0" fontId="10" fillId="5" borderId="2" xfId="0" applyFont="1" applyFill="1" applyBorder="1" applyAlignment="1">
      <alignment vertical="top" wrapText="1"/>
    </xf>
    <xf numFmtId="0" fontId="8" fillId="8" borderId="2" xfId="0" applyFont="1" applyFill="1" applyBorder="1" applyAlignment="1">
      <alignment vertical="top" wrapText="1"/>
    </xf>
    <xf numFmtId="0" fontId="10" fillId="0" borderId="2" xfId="0" applyFont="1" applyBorder="1"/>
    <xf numFmtId="1" fontId="3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9" fontId="3" fillId="0" borderId="2" xfId="0" applyNumberFormat="1" applyFont="1" applyBorder="1" applyAlignment="1">
      <alignment horizontal="center"/>
    </xf>
    <xf numFmtId="0" fontId="16" fillId="0" borderId="2" xfId="0" applyFont="1" applyBorder="1"/>
    <xf numFmtId="0" fontId="1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CCCCCC"/>
      <rgbColor rgb="FF888888"/>
      <rgbColor rgb="FF9999FF"/>
      <rgbColor rgb="FF9C27B0"/>
      <rgbColor rgb="FFFFF2CC"/>
      <rgbColor rgb="FFE8F5E9"/>
      <rgbColor rgb="FF660066"/>
      <rgbColor rgb="FFF44336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1565C0"/>
      <rgbColor rgb="FF0000FF"/>
      <rgbColor rgb="FF00CCFF"/>
      <rgbColor rgb="FFF2F2F2"/>
      <rgbColor rgb="FFCCFFCC"/>
      <rgbColor rgb="FFFFF3E0"/>
      <rgbColor rgb="FF99CCFF"/>
      <rgbColor rgb="FFFF99CC"/>
      <rgbColor rgb="FFCC99FF"/>
      <rgbColor rgb="FFFCE4EC"/>
      <rgbColor rgb="FF4472C4"/>
      <rgbColor rgb="FF33CCCC"/>
      <rgbColor rgb="FF99CC00"/>
      <rgbColor rgb="FFFFCC00"/>
      <rgbColor rgb="FFFF9800"/>
      <rgbColor rgb="FFE65100"/>
      <rgbColor rgb="FF607D8B"/>
      <rgbColor rgb="FF969696"/>
      <rgbColor rgb="FF1B3A5C"/>
      <rgbColor rgb="FF2E7D32"/>
      <rgbColor rgb="FF003300"/>
      <rgbColor rgb="FF333300"/>
      <rgbColor rgb="FFB71C1C"/>
      <rgbColor rgb="FFC62828"/>
      <rgbColor rgb="FF2C5F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.microsoft.com/en-us/azure/architecture/hybrid/azure-local-baseline" TargetMode="External"/><Relationship Id="rId3" Type="http://schemas.openxmlformats.org/officeDocument/2006/relationships/hyperlink" Target="https://learn.microsoft.com/en-us/windows-server/storage/storage-spaces/storage-spaces-direct-overview" TargetMode="External"/><Relationship Id="rId7" Type="http://schemas.openxmlformats.org/officeDocument/2006/relationships/hyperlink" Target="https://learn.microsoft.com/en-us/azure-stack/hci/manage/thin-provisioning" TargetMode="External"/><Relationship Id="rId2" Type="http://schemas.openxmlformats.org/officeDocument/2006/relationships/hyperlink" Target="https://learn.microsoft.com/en-us/windows-server/storage/storage-spaces/fault-tolerance" TargetMode="External"/><Relationship Id="rId1" Type="http://schemas.openxmlformats.org/officeDocument/2006/relationships/hyperlink" Target="https://learn.microsoft.com/en-us/windows-server/storage/storage-spaces/plan-volumes" TargetMode="External"/><Relationship Id="rId6" Type="http://schemas.openxmlformats.org/officeDocument/2006/relationships/hyperlink" Target="https://learn.microsoft.com/en-us/windows-server/storage/storage-spaces/nested-resiliency" TargetMode="External"/><Relationship Id="rId5" Type="http://schemas.openxmlformats.org/officeDocument/2006/relationships/hyperlink" Target="https://learn.microsoft.com/en-us/windows-server/storage/storage-spaces/cache" TargetMode="External"/><Relationship Id="rId10" Type="http://schemas.openxmlformats.org/officeDocument/2006/relationships/hyperlink" Target="https://learn.microsoft.com/en-us/azure/well-architected/service-guides/azure-local" TargetMode="External"/><Relationship Id="rId4" Type="http://schemas.openxmlformats.org/officeDocument/2006/relationships/hyperlink" Target="https://learn.microsoft.com/en-us/windows-server/storage/storage-spaces/storage-spaces-direct-hardware-requirements" TargetMode="External"/><Relationship Id="rId9" Type="http://schemas.openxmlformats.org/officeDocument/2006/relationships/hyperlink" Target="https://learn.microsoft.com/en-us/azure/azure-local/deploy/deploy-via-port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B2:D47"/>
  <sheetViews>
    <sheetView zoomScaleNormal="100" workbookViewId="0"/>
  </sheetViews>
  <sheetFormatPr defaultColWidth="8.7109375" defaultRowHeight="15" x14ac:dyDescent="0.25"/>
  <cols>
    <col min="1" max="1" width="3" customWidth="1"/>
    <col min="2" max="2" width="6" customWidth="1"/>
    <col min="3" max="3" width="26" customWidth="1"/>
    <col min="4" max="4" width="85" customWidth="1"/>
  </cols>
  <sheetData>
    <row r="2" spans="2:4" ht="18" x14ac:dyDescent="0.25">
      <c r="B2" s="14" t="s">
        <v>0</v>
      </c>
      <c r="C2" s="14"/>
      <c r="D2" s="14"/>
    </row>
    <row r="3" spans="2:4" x14ac:dyDescent="0.25">
      <c r="B3" s="13" t="s">
        <v>1</v>
      </c>
      <c r="C3" s="13"/>
      <c r="D3" s="13"/>
    </row>
    <row r="5" spans="2:4" ht="49.5" customHeight="1" x14ac:dyDescent="0.25">
      <c r="B5" s="12" t="s">
        <v>2</v>
      </c>
      <c r="C5" s="12"/>
      <c r="D5" s="12"/>
    </row>
    <row r="7" spans="2:4" ht="16.5" x14ac:dyDescent="0.25">
      <c r="B7" s="11" t="s">
        <v>3</v>
      </c>
      <c r="C7" s="11"/>
      <c r="D7" s="11"/>
    </row>
    <row r="8" spans="2:4" ht="51.75" customHeight="1" x14ac:dyDescent="0.25">
      <c r="B8" s="15"/>
      <c r="C8" s="16" t="s">
        <v>4</v>
      </c>
      <c r="D8" s="17" t="s">
        <v>5</v>
      </c>
    </row>
    <row r="9" spans="2:4" ht="51.75" customHeight="1" x14ac:dyDescent="0.25">
      <c r="B9" s="15"/>
      <c r="C9" s="18" t="s">
        <v>6</v>
      </c>
      <c r="D9" s="19" t="s">
        <v>7</v>
      </c>
    </row>
    <row r="10" spans="2:4" ht="51.75" customHeight="1" x14ac:dyDescent="0.25">
      <c r="B10" s="15"/>
      <c r="C10" s="18" t="s">
        <v>8</v>
      </c>
      <c r="D10" s="19" t="s">
        <v>9</v>
      </c>
    </row>
    <row r="12" spans="2:4" x14ac:dyDescent="0.25">
      <c r="B12" s="13" t="s">
        <v>10</v>
      </c>
      <c r="C12" s="13"/>
      <c r="D12" s="13"/>
    </row>
    <row r="13" spans="2:4" ht="27.75" customHeight="1" x14ac:dyDescent="0.25">
      <c r="B13" s="20"/>
      <c r="C13" s="21" t="s">
        <v>11</v>
      </c>
      <c r="D13" s="22" t="s">
        <v>12</v>
      </c>
    </row>
    <row r="14" spans="2:4" ht="27.75" customHeight="1" x14ac:dyDescent="0.25">
      <c r="B14" s="23"/>
      <c r="C14" s="16" t="s">
        <v>13</v>
      </c>
      <c r="D14" s="22" t="s">
        <v>14</v>
      </c>
    </row>
    <row r="15" spans="2:4" ht="27.75" customHeight="1" x14ac:dyDescent="0.25">
      <c r="B15" s="24"/>
      <c r="C15" s="25" t="s">
        <v>15</v>
      </c>
      <c r="D15" s="22" t="s">
        <v>16</v>
      </c>
    </row>
    <row r="16" spans="2:4" ht="27.75" customHeight="1" x14ac:dyDescent="0.25">
      <c r="B16" s="26"/>
      <c r="C16" s="27" t="s">
        <v>17</v>
      </c>
      <c r="D16" s="22" t="s">
        <v>18</v>
      </c>
    </row>
    <row r="17" spans="2:4" ht="27.75" customHeight="1" x14ac:dyDescent="0.25">
      <c r="B17" s="28"/>
      <c r="C17" s="29" t="s">
        <v>19</v>
      </c>
      <c r="D17" s="22" t="s">
        <v>20</v>
      </c>
    </row>
    <row r="18" spans="2:4" ht="27.75" customHeight="1" x14ac:dyDescent="0.25">
      <c r="B18" s="30"/>
      <c r="C18" s="31" t="s">
        <v>21</v>
      </c>
      <c r="D18" s="22" t="s">
        <v>22</v>
      </c>
    </row>
    <row r="20" spans="2:4" x14ac:dyDescent="0.25">
      <c r="B20" s="13" t="s">
        <v>23</v>
      </c>
      <c r="C20" s="13"/>
      <c r="D20" s="13"/>
    </row>
    <row r="21" spans="2:4" ht="54.75" customHeight="1" x14ac:dyDescent="0.25">
      <c r="B21" s="15"/>
      <c r="C21" s="32" t="s">
        <v>24</v>
      </c>
      <c r="D21" s="33" t="s">
        <v>25</v>
      </c>
    </row>
    <row r="22" spans="2:4" ht="54.75" customHeight="1" x14ac:dyDescent="0.25">
      <c r="B22" s="15"/>
      <c r="C22" s="32" t="s">
        <v>26</v>
      </c>
      <c r="D22" s="33" t="s">
        <v>27</v>
      </c>
    </row>
    <row r="23" spans="2:4" ht="54.75" customHeight="1" x14ac:dyDescent="0.25">
      <c r="B23" s="15"/>
      <c r="C23" s="32" t="s">
        <v>28</v>
      </c>
      <c r="D23" s="33" t="s">
        <v>29</v>
      </c>
    </row>
    <row r="24" spans="2:4" ht="54.75" customHeight="1" x14ac:dyDescent="0.25">
      <c r="B24" s="15"/>
      <c r="C24" s="32" t="s">
        <v>30</v>
      </c>
      <c r="D24" s="33" t="s">
        <v>31</v>
      </c>
    </row>
    <row r="25" spans="2:4" ht="54.75" customHeight="1" x14ac:dyDescent="0.25">
      <c r="B25" s="15"/>
      <c r="C25" s="32" t="s">
        <v>32</v>
      </c>
      <c r="D25" s="33" t="s">
        <v>33</v>
      </c>
    </row>
    <row r="26" spans="2:4" ht="54.75" customHeight="1" x14ac:dyDescent="0.25">
      <c r="B26" s="15"/>
      <c r="C26" s="32" t="s">
        <v>34</v>
      </c>
      <c r="D26" s="33" t="s">
        <v>35</v>
      </c>
    </row>
    <row r="27" spans="2:4" ht="54.75" customHeight="1" x14ac:dyDescent="0.25">
      <c r="B27" s="15"/>
      <c r="C27" s="32" t="s">
        <v>36</v>
      </c>
      <c r="D27" s="33" t="s">
        <v>37</v>
      </c>
    </row>
    <row r="29" spans="2:4" x14ac:dyDescent="0.25">
      <c r="B29" s="13" t="s">
        <v>38</v>
      </c>
      <c r="C29" s="13"/>
      <c r="D29" s="13"/>
    </row>
    <row r="30" spans="2:4" ht="49.5" customHeight="1" x14ac:dyDescent="0.25">
      <c r="B30" s="15"/>
      <c r="C30" s="32" t="s">
        <v>39</v>
      </c>
      <c r="D30" s="33" t="s">
        <v>40</v>
      </c>
    </row>
    <row r="31" spans="2:4" ht="49.5" customHeight="1" x14ac:dyDescent="0.25">
      <c r="B31" s="15"/>
      <c r="C31" s="32" t="s">
        <v>41</v>
      </c>
      <c r="D31" s="33" t="s">
        <v>42</v>
      </c>
    </row>
    <row r="32" spans="2:4" ht="49.5" customHeight="1" x14ac:dyDescent="0.25">
      <c r="B32" s="15"/>
      <c r="C32" s="32" t="s">
        <v>43</v>
      </c>
      <c r="D32" s="33" t="s">
        <v>44</v>
      </c>
    </row>
    <row r="33" spans="2:4" ht="49.5" customHeight="1" x14ac:dyDescent="0.25">
      <c r="B33" s="15"/>
      <c r="C33" s="32" t="s">
        <v>45</v>
      </c>
      <c r="D33" s="33" t="s">
        <v>46</v>
      </c>
    </row>
    <row r="34" spans="2:4" ht="49.5" customHeight="1" x14ac:dyDescent="0.25">
      <c r="B34" s="15"/>
      <c r="C34" s="32" t="s">
        <v>47</v>
      </c>
      <c r="D34" s="33" t="s">
        <v>48</v>
      </c>
    </row>
    <row r="35" spans="2:4" ht="49.5" customHeight="1" x14ac:dyDescent="0.25">
      <c r="B35" s="15"/>
      <c r="C35" s="32" t="s">
        <v>49</v>
      </c>
      <c r="D35" s="33" t="s">
        <v>50</v>
      </c>
    </row>
    <row r="36" spans="2:4" ht="49.5" customHeight="1" x14ac:dyDescent="0.25">
      <c r="B36" s="15"/>
      <c r="C36" s="32" t="s">
        <v>51</v>
      </c>
      <c r="D36" s="33" t="s">
        <v>52</v>
      </c>
    </row>
    <row r="37" spans="2:4" ht="49.5" customHeight="1" x14ac:dyDescent="0.25">
      <c r="B37" s="15"/>
      <c r="C37" s="32" t="s">
        <v>53</v>
      </c>
      <c r="D37" s="33" t="s">
        <v>54</v>
      </c>
    </row>
    <row r="39" spans="2:4" x14ac:dyDescent="0.25">
      <c r="B39" s="13" t="s">
        <v>55</v>
      </c>
      <c r="C39" s="13"/>
      <c r="D39" s="13"/>
    </row>
    <row r="40" spans="2:4" ht="31.5" customHeight="1" x14ac:dyDescent="0.25">
      <c r="B40" s="31" t="s">
        <v>56</v>
      </c>
      <c r="C40" s="10" t="s">
        <v>57</v>
      </c>
      <c r="D40" s="10"/>
    </row>
    <row r="41" spans="2:4" ht="31.5" customHeight="1" x14ac:dyDescent="0.25">
      <c r="B41" s="31" t="s">
        <v>58</v>
      </c>
      <c r="C41" s="10" t="s">
        <v>59</v>
      </c>
      <c r="D41" s="10"/>
    </row>
    <row r="42" spans="2:4" ht="31.5" customHeight="1" x14ac:dyDescent="0.25">
      <c r="B42" s="31" t="s">
        <v>60</v>
      </c>
      <c r="C42" s="10" t="s">
        <v>61</v>
      </c>
      <c r="D42" s="10"/>
    </row>
    <row r="43" spans="2:4" ht="31.5" customHeight="1" x14ac:dyDescent="0.25">
      <c r="B43" s="31" t="s">
        <v>62</v>
      </c>
      <c r="C43" s="10" t="s">
        <v>63</v>
      </c>
      <c r="D43" s="10"/>
    </row>
    <row r="44" spans="2:4" ht="31.5" customHeight="1" x14ac:dyDescent="0.25">
      <c r="B44" s="31" t="s">
        <v>64</v>
      </c>
      <c r="C44" s="10" t="s">
        <v>65</v>
      </c>
      <c r="D44" s="10"/>
    </row>
    <row r="45" spans="2:4" ht="31.5" customHeight="1" x14ac:dyDescent="0.25">
      <c r="B45" s="31" t="s">
        <v>66</v>
      </c>
      <c r="C45" s="10" t="s">
        <v>67</v>
      </c>
      <c r="D45" s="10"/>
    </row>
    <row r="46" spans="2:4" ht="31.5" customHeight="1" x14ac:dyDescent="0.25">
      <c r="B46" s="31" t="s">
        <v>68</v>
      </c>
      <c r="C46" s="10" t="s">
        <v>69</v>
      </c>
      <c r="D46" s="10"/>
    </row>
    <row r="47" spans="2:4" ht="31.5" customHeight="1" x14ac:dyDescent="0.25">
      <c r="B47" s="31" t="s">
        <v>70</v>
      </c>
      <c r="C47" s="10" t="s">
        <v>71</v>
      </c>
      <c r="D47" s="10"/>
    </row>
  </sheetData>
  <mergeCells count="16">
    <mergeCell ref="C47:D47"/>
    <mergeCell ref="C42:D42"/>
    <mergeCell ref="C43:D43"/>
    <mergeCell ref="C44:D44"/>
    <mergeCell ref="C45:D45"/>
    <mergeCell ref="C46:D46"/>
    <mergeCell ref="B20:D20"/>
    <mergeCell ref="B29:D29"/>
    <mergeCell ref="B39:D39"/>
    <mergeCell ref="C40:D40"/>
    <mergeCell ref="C41:D41"/>
    <mergeCell ref="B2:D2"/>
    <mergeCell ref="B3:D3"/>
    <mergeCell ref="B5:D5"/>
    <mergeCell ref="B7:D7"/>
    <mergeCell ref="B12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B2:E39"/>
  <sheetViews>
    <sheetView tabSelected="1" zoomScaleNormal="100" workbookViewId="0">
      <selection activeCell="C22" sqref="C22"/>
    </sheetView>
  </sheetViews>
  <sheetFormatPr defaultColWidth="8.7109375" defaultRowHeight="15" x14ac:dyDescent="0.25"/>
  <cols>
    <col min="1" max="1" width="3" customWidth="1"/>
    <col min="2" max="2" width="81.5703125" bestFit="1" customWidth="1"/>
    <col min="3" max="3" width="22" customWidth="1"/>
    <col min="4" max="4" width="20" customWidth="1"/>
    <col min="5" max="5" width="58.7109375" bestFit="1" customWidth="1"/>
  </cols>
  <sheetData>
    <row r="2" spans="2:5" ht="18" x14ac:dyDescent="0.25">
      <c r="B2" s="14" t="s">
        <v>72</v>
      </c>
      <c r="C2" s="14"/>
      <c r="D2" s="14"/>
      <c r="E2" s="14"/>
    </row>
    <row r="3" spans="2:5" x14ac:dyDescent="0.25">
      <c r="B3" s="13" t="s">
        <v>73</v>
      </c>
      <c r="C3" s="13"/>
      <c r="D3" s="13"/>
      <c r="E3" s="13"/>
    </row>
    <row r="5" spans="2:5" x14ac:dyDescent="0.25">
      <c r="B5" s="34" t="s">
        <v>74</v>
      </c>
    </row>
    <row r="7" spans="2:5" x14ac:dyDescent="0.25">
      <c r="B7" s="13" t="s">
        <v>75</v>
      </c>
      <c r="C7" s="13"/>
      <c r="D7" s="13"/>
      <c r="E7" s="13"/>
    </row>
    <row r="8" spans="2:5" x14ac:dyDescent="0.25">
      <c r="B8" s="30" t="s">
        <v>76</v>
      </c>
      <c r="C8" s="21">
        <v>3</v>
      </c>
      <c r="D8" s="34" t="s">
        <v>77</v>
      </c>
      <c r="E8" s="34" t="s">
        <v>78</v>
      </c>
    </row>
    <row r="9" spans="2:5" x14ac:dyDescent="0.25">
      <c r="B9" s="30" t="s">
        <v>79</v>
      </c>
      <c r="C9" s="35" t="s">
        <v>80</v>
      </c>
      <c r="D9" s="34" t="s">
        <v>81</v>
      </c>
      <c r="E9" s="34" t="s">
        <v>82</v>
      </c>
    </row>
    <row r="10" spans="2:5" x14ac:dyDescent="0.25">
      <c r="B10" s="30" t="s">
        <v>83</v>
      </c>
      <c r="C10" s="21">
        <v>4</v>
      </c>
      <c r="D10" s="34" t="s">
        <v>84</v>
      </c>
      <c r="E10" s="34" t="s">
        <v>85</v>
      </c>
    </row>
    <row r="11" spans="2:5" x14ac:dyDescent="0.25">
      <c r="B11" s="30" t="s">
        <v>86</v>
      </c>
      <c r="C11" s="36">
        <v>7.68</v>
      </c>
      <c r="D11" s="34" t="s">
        <v>87</v>
      </c>
      <c r="E11" s="34" t="s">
        <v>88</v>
      </c>
    </row>
    <row r="12" spans="2:5" x14ac:dyDescent="0.25">
      <c r="B12" s="30" t="s">
        <v>89</v>
      </c>
      <c r="C12" s="35">
        <v>0</v>
      </c>
      <c r="D12" s="34" t="s">
        <v>90</v>
      </c>
      <c r="E12" s="34" t="s">
        <v>91</v>
      </c>
    </row>
    <row r="13" spans="2:5" x14ac:dyDescent="0.25">
      <c r="B13" s="30" t="s">
        <v>92</v>
      </c>
      <c r="C13" s="35" t="s">
        <v>93</v>
      </c>
      <c r="D13" s="34" t="s">
        <v>81</v>
      </c>
      <c r="E13" s="34" t="s">
        <v>94</v>
      </c>
    </row>
    <row r="15" spans="2:5" x14ac:dyDescent="0.25">
      <c r="B15" s="13" t="s">
        <v>95</v>
      </c>
      <c r="C15" s="13"/>
      <c r="D15" s="13"/>
      <c r="E15" s="13"/>
    </row>
    <row r="16" spans="2:5" x14ac:dyDescent="0.25">
      <c r="B16" s="30" t="s">
        <v>96</v>
      </c>
      <c r="C16" s="37">
        <f>C8*C10</f>
        <v>12</v>
      </c>
      <c r="D16" s="15" t="s">
        <v>97</v>
      </c>
      <c r="E16" s="34" t="s">
        <v>98</v>
      </c>
    </row>
    <row r="17" spans="2:5" x14ac:dyDescent="0.25">
      <c r="B17" s="30" t="s">
        <v>99</v>
      </c>
      <c r="C17" s="37">
        <f>IF(C9="NVMe + SSD (NVMe is Cache)",C8*C12,0)</f>
        <v>0</v>
      </c>
      <c r="D17" s="15" t="s">
        <v>97</v>
      </c>
      <c r="E17" s="34" t="s">
        <v>100</v>
      </c>
    </row>
    <row r="18" spans="2:5" x14ac:dyDescent="0.25">
      <c r="B18" s="30" t="s">
        <v>101</v>
      </c>
      <c r="C18" s="38">
        <f>C16*C11</f>
        <v>92.16</v>
      </c>
      <c r="D18" s="15" t="s">
        <v>102</v>
      </c>
      <c r="E18" s="34" t="s">
        <v>103</v>
      </c>
    </row>
    <row r="19" spans="2:5" x14ac:dyDescent="0.25">
      <c r="B19" s="30" t="s">
        <v>104</v>
      </c>
      <c r="C19" s="38">
        <f>C11*'Advanced Settings'!C8</f>
        <v>7.0655999999999999</v>
      </c>
      <c r="D19" s="15" t="s">
        <v>102</v>
      </c>
      <c r="E19" s="34" t="s">
        <v>105</v>
      </c>
    </row>
    <row r="20" spans="2:5" x14ac:dyDescent="0.25">
      <c r="B20" s="30" t="s">
        <v>106</v>
      </c>
      <c r="C20" s="38">
        <f>C16*C19</f>
        <v>84.787199999999999</v>
      </c>
      <c r="D20" s="15" t="s">
        <v>102</v>
      </c>
      <c r="E20" s="34" t="s">
        <v>107</v>
      </c>
    </row>
    <row r="21" spans="2:5" x14ac:dyDescent="0.25">
      <c r="B21" s="39" t="s">
        <v>108</v>
      </c>
      <c r="C21" s="40">
        <f>MIN(C8,4)*C19</f>
        <v>21.1968</v>
      </c>
      <c r="D21" s="15" t="s">
        <v>102</v>
      </c>
      <c r="E21" s="34" t="s">
        <v>109</v>
      </c>
    </row>
    <row r="22" spans="2:5" x14ac:dyDescent="0.25">
      <c r="B22" s="39" t="s">
        <v>110</v>
      </c>
      <c r="C22" s="40">
        <f>'Advanced Settings'!C14</f>
        <v>0.75</v>
      </c>
      <c r="D22" s="15" t="s">
        <v>111</v>
      </c>
      <c r="E22" s="34" t="s">
        <v>112</v>
      </c>
    </row>
    <row r="24" spans="2:5" ht="36" customHeight="1" x14ac:dyDescent="0.3">
      <c r="B24" s="41" t="s">
        <v>113</v>
      </c>
      <c r="C24" s="42">
        <f>C20-C21-C22</f>
        <v>62.840400000000002</v>
      </c>
      <c r="D24" s="41" t="s">
        <v>102</v>
      </c>
      <c r="E24" s="23" t="s">
        <v>114</v>
      </c>
    </row>
    <row r="26" spans="2:5" x14ac:dyDescent="0.25">
      <c r="B26" s="43" t="s">
        <v>115</v>
      </c>
      <c r="C26" s="38">
        <f>ROUND(C24*1000/1024,2)</f>
        <v>61.37</v>
      </c>
      <c r="D26" s="15" t="s">
        <v>116</v>
      </c>
      <c r="E26" s="34" t="s">
        <v>117</v>
      </c>
    </row>
    <row r="28" spans="2:5" x14ac:dyDescent="0.25">
      <c r="B28" s="9" t="s">
        <v>118</v>
      </c>
      <c r="C28" s="9"/>
      <c r="D28" s="9"/>
      <c r="E28" s="9"/>
    </row>
    <row r="29" spans="2:5" ht="36" customHeight="1" x14ac:dyDescent="0.25">
      <c r="B29" s="8" t="str">
        <f>CONCATENATE("Your ",C8,"-node cluster: size VM workloads to fit on ",C8-1," nodes. If 1 node goes down, VMs must failover. This is CPU/RAM, separate from storage.")</f>
        <v>Your 3-node cluster: size VM workloads to fit on 2 nodes. If 1 node goes down, VMs must failover. This is CPU/RAM, separate from storage.</v>
      </c>
      <c r="C29" s="8"/>
      <c r="D29" s="8"/>
      <c r="E29" s="8"/>
    </row>
    <row r="31" spans="2:5" x14ac:dyDescent="0.25">
      <c r="B31" s="13" t="s">
        <v>119</v>
      </c>
      <c r="C31" s="13"/>
      <c r="D31" s="13"/>
      <c r="E31" s="13"/>
    </row>
    <row r="32" spans="2:5" x14ac:dyDescent="0.25">
      <c r="B32" s="44" t="s">
        <v>120</v>
      </c>
      <c r="C32" s="44" t="s">
        <v>121</v>
      </c>
      <c r="D32" s="44" t="s">
        <v>122</v>
      </c>
      <c r="E32" s="44" t="s">
        <v>123</v>
      </c>
    </row>
    <row r="33" spans="2:5" x14ac:dyDescent="0.25">
      <c r="B33" s="15" t="s">
        <v>124</v>
      </c>
      <c r="C33" s="45" t="s">
        <v>125</v>
      </c>
      <c r="D33" s="45">
        <v>2</v>
      </c>
      <c r="E33" s="15" t="s">
        <v>126</v>
      </c>
    </row>
    <row r="34" spans="2:5" x14ac:dyDescent="0.25">
      <c r="B34" s="15" t="s">
        <v>127</v>
      </c>
      <c r="C34" s="45" t="s">
        <v>128</v>
      </c>
      <c r="D34" s="45">
        <v>3</v>
      </c>
      <c r="E34" s="15" t="s">
        <v>129</v>
      </c>
    </row>
    <row r="35" spans="2:5" x14ac:dyDescent="0.25">
      <c r="B35" s="15" t="s">
        <v>130</v>
      </c>
      <c r="C35" s="45" t="s">
        <v>125</v>
      </c>
      <c r="D35" s="45">
        <v>4</v>
      </c>
      <c r="E35" s="15" t="s">
        <v>129</v>
      </c>
    </row>
    <row r="36" spans="2:5" x14ac:dyDescent="0.25">
      <c r="B36" s="15" t="s">
        <v>131</v>
      </c>
      <c r="C36" s="45" t="s">
        <v>132</v>
      </c>
      <c r="D36" s="45">
        <v>7</v>
      </c>
      <c r="E36" s="15" t="s">
        <v>129</v>
      </c>
    </row>
    <row r="37" spans="2:5" x14ac:dyDescent="0.25">
      <c r="B37" s="15" t="s">
        <v>133</v>
      </c>
      <c r="C37" s="45" t="s">
        <v>134</v>
      </c>
      <c r="D37" s="45">
        <v>9</v>
      </c>
      <c r="E37" s="15" t="s">
        <v>129</v>
      </c>
    </row>
    <row r="38" spans="2:5" x14ac:dyDescent="0.25">
      <c r="B38" s="15" t="s">
        <v>135</v>
      </c>
      <c r="C38" s="45" t="s">
        <v>136</v>
      </c>
      <c r="D38" s="45">
        <v>16</v>
      </c>
      <c r="E38" s="15" t="s">
        <v>129</v>
      </c>
    </row>
    <row r="39" spans="2:5" x14ac:dyDescent="0.25">
      <c r="B39" s="15" t="s">
        <v>137</v>
      </c>
      <c r="C39" s="45" t="s">
        <v>138</v>
      </c>
      <c r="D39" s="45">
        <v>2</v>
      </c>
      <c r="E39" s="15" t="s">
        <v>139</v>
      </c>
    </row>
  </sheetData>
  <mergeCells count="7">
    <mergeCell ref="B29:E29"/>
    <mergeCell ref="B31:E31"/>
    <mergeCell ref="B2:E2"/>
    <mergeCell ref="B3:E3"/>
    <mergeCell ref="B7:E7"/>
    <mergeCell ref="B15:E15"/>
    <mergeCell ref="B28:E28"/>
  </mergeCells>
  <dataValidations count="3">
    <dataValidation type="list" allowBlank="1" errorTitle="Invalid" error="Select from list" sqref="C8" xr:uid="{00000000-0002-0000-0100-000000000000}">
      <formula1>"1,2,3,4,5,6,7,8,9,10,11,12,13,14,15,16"</formula1>
      <formula2>0</formula2>
    </dataValidation>
    <dataValidation type="list" allowBlank="1" errorTitle="Invalid" error="Select from list" sqref="C9" xr:uid="{00000000-0002-0000-0100-000001000000}">
      <formula1>"All-NVMe (No Cache),All-SSD (No Cache),NVMe + SSD (NVMe is Cache)"</formula1>
      <formula2>0</formula2>
    </dataValidation>
    <dataValidation type="list" allowBlank="1" errorTitle="Invalid" error="Select from list" sqref="C13" xr:uid="{00000000-0002-0000-0100-000002000000}">
      <formula1>"Fixed (Thick),Thin"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C27B0"/>
  </sheetPr>
  <dimension ref="B2:G56"/>
  <sheetViews>
    <sheetView zoomScaleNormal="100" workbookViewId="0"/>
  </sheetViews>
  <sheetFormatPr defaultColWidth="8.7109375" defaultRowHeight="15" x14ac:dyDescent="0.25"/>
  <cols>
    <col min="1" max="1" width="3" customWidth="1"/>
    <col min="2" max="2" width="44" customWidth="1"/>
    <col min="3" max="5" width="18" customWidth="1"/>
    <col min="6" max="6" width="22" customWidth="1"/>
    <col min="7" max="7" width="50" customWidth="1"/>
  </cols>
  <sheetData>
    <row r="2" spans="2:7" ht="18" x14ac:dyDescent="0.25">
      <c r="B2" s="14" t="s">
        <v>140</v>
      </c>
      <c r="C2" s="14"/>
      <c r="D2" s="14"/>
      <c r="E2" s="14"/>
      <c r="F2" s="14"/>
      <c r="G2" s="14"/>
    </row>
    <row r="3" spans="2:7" x14ac:dyDescent="0.25">
      <c r="B3" s="13" t="s">
        <v>141</v>
      </c>
      <c r="C3" s="13"/>
      <c r="D3" s="13"/>
      <c r="E3" s="13"/>
      <c r="F3" s="13"/>
      <c r="G3" s="13"/>
    </row>
    <row r="5" spans="2:7" ht="30" customHeight="1" x14ac:dyDescent="0.3">
      <c r="B5" s="23" t="s">
        <v>142</v>
      </c>
      <c r="C5" s="42">
        <f>'Hardware Inputs'!C24</f>
        <v>62.840400000000002</v>
      </c>
      <c r="D5" s="23" t="s">
        <v>102</v>
      </c>
      <c r="E5" s="7">
        <f>'Hardware Inputs'!C24</f>
        <v>62.840400000000002</v>
      </c>
      <c r="F5" s="7"/>
      <c r="G5" s="7"/>
    </row>
    <row r="7" spans="2:7" x14ac:dyDescent="0.25">
      <c r="B7" s="13" t="s">
        <v>143</v>
      </c>
      <c r="C7" s="13"/>
      <c r="D7" s="13"/>
      <c r="E7" s="13"/>
      <c r="F7" s="13"/>
      <c r="G7" s="13"/>
    </row>
    <row r="8" spans="2:7" x14ac:dyDescent="0.25">
      <c r="B8" s="30" t="s">
        <v>144</v>
      </c>
      <c r="C8" s="21">
        <v>10</v>
      </c>
      <c r="D8" s="15" t="s">
        <v>145</v>
      </c>
      <c r="E8" s="6"/>
      <c r="F8" s="6"/>
      <c r="G8" s="6"/>
    </row>
    <row r="9" spans="2:7" x14ac:dyDescent="0.25">
      <c r="B9" s="30" t="s">
        <v>146</v>
      </c>
      <c r="C9" s="46">
        <v>200</v>
      </c>
      <c r="D9" s="15" t="s">
        <v>147</v>
      </c>
      <c r="E9" s="6"/>
      <c r="F9" s="6"/>
      <c r="G9" s="6"/>
    </row>
    <row r="10" spans="2:7" x14ac:dyDescent="0.25">
      <c r="B10" s="30" t="s">
        <v>148</v>
      </c>
      <c r="C10" s="35" t="s">
        <v>127</v>
      </c>
      <c r="D10" s="34" t="str">
        <f>CONCATENATE(TEXT(IF(C10="Three-Way Mirror",1/3,IF(C10="Two-Way Mirror",0.5,IF(C10="Dual Parity",IF('Hardware Inputs'!C8&gt;=16,0.8,IF('Hardware Inputs'!C8&gt;=9,0.75,IF('Hardware Inputs'!C8&gt;=7,2/3,0.5))),IF(C10="Nested Two-Way Mirror",0.25,1/3)))),"0%")," eff.")</f>
        <v>33% eff.</v>
      </c>
      <c r="E10" s="6"/>
      <c r="F10" s="6"/>
      <c r="G10" s="6"/>
    </row>
    <row r="11" spans="2:7" x14ac:dyDescent="0.25">
      <c r="B11" s="43" t="s">
        <v>149</v>
      </c>
      <c r="C11" s="38">
        <f>IF(C8=0,0,ROUND(C8*C9/1024,2))</f>
        <v>1.95</v>
      </c>
      <c r="D11" s="47" t="s">
        <v>102</v>
      </c>
      <c r="E11" s="5" t="str">
        <f>IF(C11&gt;64,"WARNING: Exceeds 64 TB max volume size!","")</f>
        <v/>
      </c>
      <c r="F11" s="5"/>
      <c r="G11" s="5"/>
    </row>
    <row r="12" spans="2:7" x14ac:dyDescent="0.25">
      <c r="B12" s="48" t="s">
        <v>150</v>
      </c>
      <c r="C12" s="49">
        <f>IF(C11=0,0,ROUND(C11/IF(C10="Three-Way Mirror",1/3,IF(C10="Two-Way Mirror",0.5,IF(C10="Dual Parity",IF('Hardware Inputs'!C8&gt;=16,0.8,IF('Hardware Inputs'!C8&gt;=9,0.75,IF('Hardware Inputs'!C8&gt;=7,2/3,0.5))),IF(C10="Nested Two-Way Mirror",0.25,1/3)))),2))</f>
        <v>5.85</v>
      </c>
      <c r="D12" s="50" t="s">
        <v>102</v>
      </c>
      <c r="E12" s="6" t="s">
        <v>151</v>
      </c>
      <c r="F12" s="6"/>
      <c r="G12" s="6"/>
    </row>
    <row r="14" spans="2:7" x14ac:dyDescent="0.25">
      <c r="B14" s="13" t="s">
        <v>152</v>
      </c>
      <c r="C14" s="13"/>
      <c r="D14" s="13"/>
      <c r="E14" s="13"/>
      <c r="F14" s="13"/>
      <c r="G14" s="13"/>
    </row>
    <row r="15" spans="2:7" x14ac:dyDescent="0.25">
      <c r="B15" s="30" t="s">
        <v>153</v>
      </c>
      <c r="C15" s="21">
        <v>5</v>
      </c>
      <c r="D15" s="15" t="s">
        <v>145</v>
      </c>
      <c r="E15" s="6"/>
      <c r="F15" s="6"/>
      <c r="G15" s="6"/>
    </row>
    <row r="16" spans="2:7" x14ac:dyDescent="0.25">
      <c r="B16" s="30" t="s">
        <v>146</v>
      </c>
      <c r="C16" s="46">
        <v>120</v>
      </c>
      <c r="D16" s="15" t="s">
        <v>147</v>
      </c>
      <c r="E16" s="6"/>
      <c r="F16" s="6"/>
      <c r="G16" s="6"/>
    </row>
    <row r="17" spans="2:7" x14ac:dyDescent="0.25">
      <c r="B17" s="30" t="s">
        <v>148</v>
      </c>
      <c r="C17" s="35" t="s">
        <v>124</v>
      </c>
      <c r="D17" s="34" t="str">
        <f>CONCATENATE(TEXT(IF(C17="Three-Way Mirror",1/3,IF(C17="Two-Way Mirror",0.5,IF(C17="Dual Parity",IF('Hardware Inputs'!C8&gt;=16,0.8,IF('Hardware Inputs'!C8&gt;=9,0.75,IF('Hardware Inputs'!C8&gt;=7,2/3,0.5))),IF(C17="Nested Two-Way Mirror",0.25,1/3)))),"0%")," eff.")</f>
        <v>50% eff.</v>
      </c>
      <c r="E17" s="6"/>
      <c r="F17" s="6"/>
      <c r="G17" s="6"/>
    </row>
    <row r="18" spans="2:7" x14ac:dyDescent="0.25">
      <c r="B18" s="43" t="s">
        <v>149</v>
      </c>
      <c r="C18" s="38">
        <f>IF(C15=0,0,ROUND(C15*C16/1024,2))</f>
        <v>0.59</v>
      </c>
      <c r="D18" s="47" t="s">
        <v>102</v>
      </c>
      <c r="E18" s="5" t="str">
        <f>IF(C18&gt;64,"WARNING: Exceeds 64 TB max volume size!","")</f>
        <v/>
      </c>
      <c r="F18" s="5"/>
      <c r="G18" s="5"/>
    </row>
    <row r="19" spans="2:7" x14ac:dyDescent="0.25">
      <c r="B19" s="48" t="s">
        <v>150</v>
      </c>
      <c r="C19" s="49">
        <f>IF(C18=0,0,ROUND(C18/IF(C17="Three-Way Mirror",1/3,IF(C17="Two-Way Mirror",0.5,IF(C17="Dual Parity",IF('Hardware Inputs'!C8&gt;=16,0.8,IF('Hardware Inputs'!C8&gt;=9,0.75,IF('Hardware Inputs'!C8&gt;=7,2/3,0.5))),IF(C17="Nested Two-Way Mirror",0.25,1/3)))),2))</f>
        <v>1.18</v>
      </c>
      <c r="D19" s="50" t="s">
        <v>102</v>
      </c>
      <c r="E19" s="6" t="s">
        <v>151</v>
      </c>
      <c r="F19" s="6"/>
      <c r="G19" s="6"/>
    </row>
    <row r="21" spans="2:7" x14ac:dyDescent="0.25">
      <c r="B21" s="13" t="s">
        <v>154</v>
      </c>
      <c r="C21" s="13"/>
      <c r="D21" s="13"/>
      <c r="E21" s="13"/>
      <c r="F21" s="13"/>
      <c r="G21" s="13"/>
    </row>
    <row r="22" spans="2:7" x14ac:dyDescent="0.25">
      <c r="B22" s="30" t="s">
        <v>155</v>
      </c>
      <c r="C22" s="21">
        <v>50</v>
      </c>
      <c r="D22" s="15" t="s">
        <v>156</v>
      </c>
      <c r="E22" s="6"/>
      <c r="F22" s="6"/>
      <c r="G22" s="6"/>
    </row>
    <row r="23" spans="2:7" x14ac:dyDescent="0.25">
      <c r="B23" s="30" t="s">
        <v>157</v>
      </c>
      <c r="C23" s="46">
        <v>5</v>
      </c>
      <c r="D23" s="15" t="s">
        <v>147</v>
      </c>
      <c r="E23" s="6"/>
      <c r="F23" s="6"/>
      <c r="G23" s="6"/>
    </row>
    <row r="24" spans="2:7" x14ac:dyDescent="0.25">
      <c r="B24" s="30" t="s">
        <v>158</v>
      </c>
      <c r="C24" s="51">
        <v>0.3</v>
      </c>
      <c r="D24" s="15" t="s">
        <v>159</v>
      </c>
      <c r="E24" s="6" t="s">
        <v>160</v>
      </c>
      <c r="F24" s="6"/>
      <c r="G24" s="6"/>
    </row>
    <row r="25" spans="2:7" x14ac:dyDescent="0.25">
      <c r="B25" s="30" t="s">
        <v>148</v>
      </c>
      <c r="C25" s="35" t="s">
        <v>124</v>
      </c>
      <c r="D25" s="34" t="str">
        <f>CONCATENATE(TEXT(IF(C25="Three-Way Mirror",1/3,IF(C25="Two-Way Mirror",0.5,IF(C25="Dual Parity",IF('Hardware Inputs'!C8&gt;=16,0.8,IF('Hardware Inputs'!C8&gt;=9,0.75,IF('Hardware Inputs'!C8&gt;=7,2/3,0.5))),IF(C25="Nested Two-Way Mirror",0.25,1/3)))),"0%")," eff.")</f>
        <v>50% eff.</v>
      </c>
      <c r="E25" s="6"/>
      <c r="F25" s="6"/>
      <c r="G25" s="6"/>
    </row>
    <row r="26" spans="2:7" x14ac:dyDescent="0.25">
      <c r="B26" s="43" t="s">
        <v>149</v>
      </c>
      <c r="C26" s="38">
        <f>IF(C22=0,0,ROUND((C22*C23*(1+C24))/1024,2))</f>
        <v>0.32</v>
      </c>
      <c r="D26" s="47" t="s">
        <v>102</v>
      </c>
      <c r="E26" s="5" t="str">
        <f>IF(C26&gt;64,"WARNING: Exceeds 64 TB max volume size!","")</f>
        <v/>
      </c>
      <c r="F26" s="5"/>
      <c r="G26" s="5"/>
    </row>
    <row r="27" spans="2:7" x14ac:dyDescent="0.25">
      <c r="B27" s="48" t="s">
        <v>150</v>
      </c>
      <c r="C27" s="49">
        <f>IF(C26=0,0,ROUND(C26/IF(C25="Three-Way Mirror",1/3,IF(C25="Two-Way Mirror",0.5,IF(C25="Dual Parity",IF('Hardware Inputs'!C8&gt;=16,0.8,IF('Hardware Inputs'!C8&gt;=9,0.75,IF('Hardware Inputs'!C8&gt;=7,2/3,0.5))),IF(C25="Nested Two-Way Mirror",0.25,1/3)))),2))</f>
        <v>0.64</v>
      </c>
      <c r="D27" s="50" t="s">
        <v>102</v>
      </c>
      <c r="E27" s="6" t="s">
        <v>151</v>
      </c>
      <c r="F27" s="6"/>
      <c r="G27" s="6"/>
    </row>
    <row r="28" spans="2:7" x14ac:dyDescent="0.25">
      <c r="B28" s="13" t="s">
        <v>161</v>
      </c>
      <c r="C28" s="13"/>
      <c r="D28" s="13"/>
      <c r="E28" s="13"/>
      <c r="F28" s="13"/>
      <c r="G28" s="13"/>
    </row>
    <row r="29" spans="2:7" x14ac:dyDescent="0.25">
      <c r="B29" s="30" t="s">
        <v>162</v>
      </c>
      <c r="C29" s="21" t="s">
        <v>163</v>
      </c>
      <c r="D29" s="15"/>
      <c r="E29" s="6" t="s">
        <v>164</v>
      </c>
      <c r="F29" s="6"/>
      <c r="G29" s="6"/>
    </row>
    <row r="30" spans="2:7" x14ac:dyDescent="0.25">
      <c r="B30" s="30" t="s">
        <v>165</v>
      </c>
      <c r="C30" s="21">
        <v>3</v>
      </c>
      <c r="D30" s="15" t="s">
        <v>102</v>
      </c>
      <c r="E30" s="6"/>
      <c r="F30" s="6"/>
      <c r="G30" s="6"/>
    </row>
    <row r="31" spans="2:7" x14ac:dyDescent="0.25">
      <c r="B31" s="30" t="s">
        <v>148</v>
      </c>
      <c r="C31" s="35" t="s">
        <v>166</v>
      </c>
      <c r="D31" s="34" t="str">
        <f>CONCATENATE(TEXT(IF(C31="Three-Way Mirror",1/3,IF(C31="Two-Way Mirror",0.5,IF(C31="Dual Parity",IF('Hardware Inputs'!C8&gt;=16,0.8,IF('Hardware Inputs'!C8&gt;=9,0.75,IF('Hardware Inputs'!C8&gt;=7,2/3,0.5))),IF(C31="Nested Two-Way Mirror",0.25,1/3)))),"0%")," eff.")</f>
        <v>50% eff.</v>
      </c>
      <c r="E31" s="6"/>
      <c r="F31" s="6"/>
      <c r="G31" s="6"/>
    </row>
    <row r="32" spans="2:7" x14ac:dyDescent="0.25">
      <c r="B32" s="43" t="s">
        <v>149</v>
      </c>
      <c r="C32" s="38">
        <f>IF(C29="No",0,C30)</f>
        <v>3</v>
      </c>
      <c r="D32" s="47" t="s">
        <v>102</v>
      </c>
      <c r="E32" s="5" t="str">
        <f>IF(C32&gt;64,"WARNING: Exceeds 64 TB max volume size!","")</f>
        <v/>
      </c>
      <c r="F32" s="5"/>
      <c r="G32" s="5"/>
    </row>
    <row r="33" spans="2:7" x14ac:dyDescent="0.25">
      <c r="B33" s="48" t="s">
        <v>150</v>
      </c>
      <c r="C33" s="49">
        <f>IF(C32=0,0,ROUND(C32/IF(C31="Three-Way Mirror",1/3,IF(C31="Two-Way Mirror",0.5,IF(C31="Dual Parity",IF('Hardware Inputs'!C8&gt;=16,0.8,IF('Hardware Inputs'!C8&gt;=9,0.75,IF('Hardware Inputs'!C8&gt;=7,2/3,0.5))),IF(C31="Nested Two-Way Mirror",0.25,1/3)))),2))</f>
        <v>6</v>
      </c>
      <c r="D33" s="50" t="s">
        <v>102</v>
      </c>
      <c r="E33" s="6" t="s">
        <v>151</v>
      </c>
      <c r="F33" s="6"/>
      <c r="G33" s="6"/>
    </row>
    <row r="35" spans="2:7" x14ac:dyDescent="0.25">
      <c r="B35" s="13" t="s">
        <v>167</v>
      </c>
      <c r="C35" s="13"/>
      <c r="D35" s="13"/>
      <c r="E35" s="13"/>
      <c r="F35" s="13"/>
      <c r="G35" s="13"/>
    </row>
    <row r="36" spans="2:7" x14ac:dyDescent="0.25">
      <c r="B36" s="30" t="s">
        <v>168</v>
      </c>
      <c r="C36" s="21">
        <v>0</v>
      </c>
      <c r="D36" s="15" t="s">
        <v>102</v>
      </c>
      <c r="E36" s="6"/>
      <c r="F36" s="6"/>
      <c r="G36" s="6"/>
    </row>
    <row r="37" spans="2:7" x14ac:dyDescent="0.25">
      <c r="B37" s="30" t="s">
        <v>148</v>
      </c>
      <c r="C37" s="35" t="s">
        <v>127</v>
      </c>
      <c r="D37" s="34" t="str">
        <f>CONCATENATE(TEXT(IF(C37="Three-Way Mirror",1/3,IF(C37="Two-Way Mirror",0.5,IF(C37="Dual Parity",IF('Hardware Inputs'!C8&gt;=16,0.8,IF('Hardware Inputs'!C8&gt;=9,0.75,IF('Hardware Inputs'!C8&gt;=7,2/3,0.5))),IF(C37="Nested Two-Way Mirror",0.25,1/3)))),"0%")," eff.")</f>
        <v>33% eff.</v>
      </c>
      <c r="E37" s="6"/>
      <c r="F37" s="6"/>
      <c r="G37" s="6"/>
    </row>
    <row r="38" spans="2:7" x14ac:dyDescent="0.25">
      <c r="B38" s="43" t="s">
        <v>149</v>
      </c>
      <c r="C38" s="38">
        <f>C36</f>
        <v>0</v>
      </c>
      <c r="D38" s="47" t="s">
        <v>102</v>
      </c>
      <c r="E38" s="5" t="str">
        <f>IF(C38&gt;64,"WARNING: Exceeds 64 TB max volume size!","")</f>
        <v/>
      </c>
      <c r="F38" s="5"/>
      <c r="G38" s="5"/>
    </row>
    <row r="39" spans="2:7" x14ac:dyDescent="0.25">
      <c r="B39" s="48" t="s">
        <v>150</v>
      </c>
      <c r="C39" s="49">
        <f>IF(C38=0,0,ROUND(C38/IF(C37="Three-Way Mirror",1/3,IF(C37="Two-Way Mirror",0.5,IF(C37="Dual Parity",IF('Hardware Inputs'!C8&gt;=16,0.8,IF('Hardware Inputs'!C8&gt;=9,0.75,IF('Hardware Inputs'!C8&gt;=7,2/3,0.5))),IF(C37="Nested Two-Way Mirror",0.25,1/3)))),2))</f>
        <v>0</v>
      </c>
      <c r="D39" s="50" t="s">
        <v>102</v>
      </c>
      <c r="E39" s="6" t="s">
        <v>151</v>
      </c>
      <c r="F39" s="6"/>
      <c r="G39" s="6"/>
    </row>
    <row r="42" spans="2:7" ht="18" x14ac:dyDescent="0.25">
      <c r="B42" s="14" t="s">
        <v>169</v>
      </c>
      <c r="C42" s="14"/>
      <c r="D42" s="14"/>
      <c r="E42" s="14"/>
      <c r="F42" s="14"/>
      <c r="G42" s="14"/>
    </row>
    <row r="43" spans="2:7" ht="20.25" x14ac:dyDescent="0.3">
      <c r="B43" s="23" t="s">
        <v>170</v>
      </c>
      <c r="C43" s="42">
        <f>'Hardware Inputs'!C24</f>
        <v>62.840400000000002</v>
      </c>
      <c r="D43" s="23" t="s">
        <v>102</v>
      </c>
      <c r="E43" s="4" t="s">
        <v>171</v>
      </c>
      <c r="F43" s="4"/>
      <c r="G43" s="4"/>
    </row>
    <row r="45" spans="2:7" x14ac:dyDescent="0.25">
      <c r="B45" s="30" t="s">
        <v>172</v>
      </c>
      <c r="C45" s="38">
        <f>C12</f>
        <v>5.85</v>
      </c>
      <c r="D45" s="15" t="s">
        <v>102</v>
      </c>
      <c r="E45" s="6"/>
      <c r="F45" s="6"/>
      <c r="G45" s="6"/>
    </row>
    <row r="46" spans="2:7" x14ac:dyDescent="0.25">
      <c r="B46" s="30" t="s">
        <v>173</v>
      </c>
      <c r="C46" s="38">
        <f>C19</f>
        <v>1.18</v>
      </c>
      <c r="D46" s="15" t="s">
        <v>102</v>
      </c>
      <c r="E46" s="6"/>
      <c r="F46" s="6"/>
      <c r="G46" s="6"/>
    </row>
    <row r="47" spans="2:7" x14ac:dyDescent="0.25">
      <c r="B47" s="30" t="s">
        <v>174</v>
      </c>
      <c r="C47" s="38">
        <f>C27</f>
        <v>0.64</v>
      </c>
      <c r="D47" s="15" t="s">
        <v>102</v>
      </c>
      <c r="E47" s="6"/>
      <c r="F47" s="6"/>
      <c r="G47" s="6"/>
    </row>
    <row r="48" spans="2:7" x14ac:dyDescent="0.25">
      <c r="B48" s="30" t="s">
        <v>175</v>
      </c>
      <c r="C48" s="38">
        <f>C33</f>
        <v>6</v>
      </c>
      <c r="D48" s="15" t="s">
        <v>102</v>
      </c>
      <c r="E48" s="6"/>
      <c r="F48" s="6"/>
      <c r="G48" s="6"/>
    </row>
    <row r="49" spans="2:7" x14ac:dyDescent="0.25">
      <c r="B49" s="30" t="s">
        <v>176</v>
      </c>
      <c r="C49" s="38">
        <f>C39</f>
        <v>0</v>
      </c>
      <c r="D49" s="15" t="s">
        <v>102</v>
      </c>
      <c r="E49" s="6"/>
      <c r="F49" s="6"/>
      <c r="G49" s="6"/>
    </row>
    <row r="51" spans="2:7" x14ac:dyDescent="0.25">
      <c r="B51" s="26" t="s">
        <v>177</v>
      </c>
      <c r="C51" s="49">
        <f>SUM(C45:C49)</f>
        <v>13.669999999999998</v>
      </c>
      <c r="D51" s="26" t="s">
        <v>102</v>
      </c>
      <c r="E51" s="3" t="s">
        <v>178</v>
      </c>
      <c r="F51" s="3"/>
      <c r="G51" s="3"/>
    </row>
    <row r="52" spans="2:7" x14ac:dyDescent="0.25">
      <c r="B52" s="43" t="s">
        <v>179</v>
      </c>
      <c r="C52" s="38">
        <f>C11+C18+C26+C32+C38</f>
        <v>5.8599999999999994</v>
      </c>
      <c r="D52" s="47" t="s">
        <v>102</v>
      </c>
      <c r="E52" s="6" t="s">
        <v>180</v>
      </c>
      <c r="F52" s="6"/>
      <c r="G52" s="6"/>
    </row>
    <row r="53" spans="2:7" x14ac:dyDescent="0.25">
      <c r="B53" s="30" t="s">
        <v>181</v>
      </c>
      <c r="C53" s="37">
        <f>(C11&gt;0)+(C18&gt;0)+(C26&gt;0)+(C32&gt;0)+(C38&gt;0)</f>
        <v>4</v>
      </c>
      <c r="D53" s="15" t="s">
        <v>182</v>
      </c>
      <c r="E53" s="6" t="str">
        <f>IF(MOD(C53,'Hardware Inputs'!C8)=0,"Volume count is multiple of node count.","Tip: Microsoft recommends multiple of node count ("&amp;'Hardware Inputs'!C8&amp;").")</f>
        <v>Tip: Microsoft recommends multiple of node count (3).</v>
      </c>
      <c r="F53" s="6"/>
      <c r="G53" s="6"/>
    </row>
    <row r="55" spans="2:7" ht="36" customHeight="1" x14ac:dyDescent="0.3">
      <c r="B55" s="41" t="s">
        <v>183</v>
      </c>
      <c r="C55" s="42">
        <f>C43-C51</f>
        <v>49.170400000000001</v>
      </c>
      <c r="D55" s="41" t="s">
        <v>102</v>
      </c>
      <c r="E55" s="4" t="str">
        <f>IF(C55&lt;0,"OVER CAPACITY!",IF(C51/C43&gt;0.7,"Caution: Above 70%.","Healthy."))</f>
        <v>Healthy.</v>
      </c>
      <c r="F55" s="4"/>
      <c r="G55" s="4"/>
    </row>
    <row r="56" spans="2:7" x14ac:dyDescent="0.25">
      <c r="B56" s="30" t="s">
        <v>184</v>
      </c>
      <c r="C56" s="52">
        <f>IF(C43=0,0,C51/C43)</f>
        <v>0.21753521619849647</v>
      </c>
      <c r="D56" s="15"/>
    </row>
  </sheetData>
  <mergeCells count="44">
    <mergeCell ref="E51:G51"/>
    <mergeCell ref="E52:G52"/>
    <mergeCell ref="E53:G53"/>
    <mergeCell ref="E55:G55"/>
    <mergeCell ref="E45:G45"/>
    <mergeCell ref="E46:G46"/>
    <mergeCell ref="E47:G47"/>
    <mergeCell ref="E48:G48"/>
    <mergeCell ref="E49:G49"/>
    <mergeCell ref="E37:G37"/>
    <mergeCell ref="E38:G38"/>
    <mergeCell ref="E39:G39"/>
    <mergeCell ref="B42:G42"/>
    <mergeCell ref="E43:G43"/>
    <mergeCell ref="E31:G31"/>
    <mergeCell ref="E32:G32"/>
    <mergeCell ref="E33:G33"/>
    <mergeCell ref="B35:G35"/>
    <mergeCell ref="E36:G36"/>
    <mergeCell ref="E26:G26"/>
    <mergeCell ref="E27:G27"/>
    <mergeCell ref="B28:G28"/>
    <mergeCell ref="E29:G29"/>
    <mergeCell ref="E30:G30"/>
    <mergeCell ref="B21:G21"/>
    <mergeCell ref="E22:G22"/>
    <mergeCell ref="E23:G23"/>
    <mergeCell ref="E24:G24"/>
    <mergeCell ref="E25:G25"/>
    <mergeCell ref="E15:G15"/>
    <mergeCell ref="E16:G16"/>
    <mergeCell ref="E17:G17"/>
    <mergeCell ref="E18:G18"/>
    <mergeCell ref="E19:G19"/>
    <mergeCell ref="E9:G9"/>
    <mergeCell ref="E10:G10"/>
    <mergeCell ref="E11:G11"/>
    <mergeCell ref="E12:G12"/>
    <mergeCell ref="B14:G14"/>
    <mergeCell ref="B2:G2"/>
    <mergeCell ref="B3:G3"/>
    <mergeCell ref="E5:G5"/>
    <mergeCell ref="B7:G7"/>
    <mergeCell ref="E8:G8"/>
  </mergeCells>
  <dataValidations count="2">
    <dataValidation type="list" allowBlank="1" errorTitle="Invalid" error="Select from list" sqref="C10 C37 C31 C25 C17" xr:uid="{00000000-0002-0000-0200-000000000000}">
      <formula1>"Three-Way Mirror,Two-Way Mirror,Dual Parity,Nested Two-Way Mirror"</formula1>
      <formula2>0</formula2>
    </dataValidation>
    <dataValidation type="list" allowBlank="1" errorTitle="Invalid" error="Select from list" sqref="C29" xr:uid="{00000000-0002-0000-0200-000003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B2:E23"/>
  <sheetViews>
    <sheetView zoomScaleNormal="100" workbookViewId="0"/>
  </sheetViews>
  <sheetFormatPr defaultColWidth="8.7109375" defaultRowHeight="15" x14ac:dyDescent="0.25"/>
  <cols>
    <col min="1" max="1" width="3" customWidth="1"/>
    <col min="2" max="2" width="46" customWidth="1"/>
    <col min="3" max="3" width="20" customWidth="1"/>
    <col min="4" max="4" width="18" customWidth="1"/>
    <col min="5" max="5" width="60" customWidth="1"/>
  </cols>
  <sheetData>
    <row r="2" spans="2:5" ht="18" x14ac:dyDescent="0.25">
      <c r="B2" s="14" t="s">
        <v>185</v>
      </c>
      <c r="C2" s="14"/>
      <c r="D2" s="14"/>
      <c r="E2" s="14"/>
    </row>
    <row r="4" spans="2:5" x14ac:dyDescent="0.25">
      <c r="B4" s="13" t="s">
        <v>186</v>
      </c>
      <c r="C4" s="13"/>
      <c r="D4" s="13"/>
      <c r="E4" s="13"/>
    </row>
    <row r="5" spans="2:5" ht="45" customHeight="1" x14ac:dyDescent="0.25">
      <c r="B5" s="10" t="s">
        <v>187</v>
      </c>
      <c r="C5" s="10"/>
      <c r="D5" s="10"/>
      <c r="E5" s="10"/>
    </row>
    <row r="7" spans="2:5" x14ac:dyDescent="0.25">
      <c r="B7" s="30" t="s">
        <v>188</v>
      </c>
      <c r="C7" s="38">
        <f>7.68*C8</f>
        <v>7.0655999999999999</v>
      </c>
      <c r="D7" s="15" t="s">
        <v>189</v>
      </c>
      <c r="E7" s="34" t="s">
        <v>190</v>
      </c>
    </row>
    <row r="8" spans="2:5" x14ac:dyDescent="0.25">
      <c r="B8" s="30" t="s">
        <v>191</v>
      </c>
      <c r="C8" s="51">
        <v>0.92</v>
      </c>
      <c r="D8" s="34" t="s">
        <v>192</v>
      </c>
      <c r="E8" s="34" t="s">
        <v>193</v>
      </c>
    </row>
    <row r="10" spans="2:5" x14ac:dyDescent="0.25">
      <c r="B10" s="13" t="s">
        <v>194</v>
      </c>
      <c r="C10" s="13"/>
      <c r="D10" s="13"/>
      <c r="E10" s="13"/>
    </row>
    <row r="11" spans="2:5" ht="34.5" customHeight="1" x14ac:dyDescent="0.25">
      <c r="B11" s="10" t="s">
        <v>195</v>
      </c>
      <c r="C11" s="10"/>
      <c r="D11" s="10"/>
      <c r="E11" s="10"/>
    </row>
    <row r="13" spans="2:5" x14ac:dyDescent="0.25">
      <c r="B13" s="30" t="s">
        <v>196</v>
      </c>
      <c r="C13" s="36">
        <v>0.25</v>
      </c>
      <c r="D13" s="34" t="s">
        <v>197</v>
      </c>
      <c r="E13" s="34" t="s">
        <v>198</v>
      </c>
    </row>
    <row r="14" spans="2:5" x14ac:dyDescent="0.25">
      <c r="B14" s="39" t="s">
        <v>199</v>
      </c>
      <c r="C14" s="40">
        <f>ROUND(C13/IF('Hardware Inputs'!C8&gt;=3,1/3,IF('Hardware Inputs'!C8=2,0.5,1)),2)</f>
        <v>0.75</v>
      </c>
      <c r="D14" s="15" t="s">
        <v>200</v>
      </c>
      <c r="E14" s="34" t="s">
        <v>201</v>
      </c>
    </row>
    <row r="16" spans="2:5" x14ac:dyDescent="0.25">
      <c r="B16" s="13" t="s">
        <v>202</v>
      </c>
      <c r="C16" s="13"/>
      <c r="D16" s="13"/>
      <c r="E16" s="13"/>
    </row>
    <row r="17" spans="2:5" ht="30" customHeight="1" x14ac:dyDescent="0.25">
      <c r="B17" s="10" t="s">
        <v>203</v>
      </c>
      <c r="C17" s="10"/>
      <c r="D17" s="10"/>
      <c r="E17" s="10"/>
    </row>
    <row r="18" spans="2:5" x14ac:dyDescent="0.25">
      <c r="B18" s="30" t="s">
        <v>204</v>
      </c>
      <c r="C18" s="38">
        <f>ROUND(1*(1000/1024)^3,2)</f>
        <v>0.93</v>
      </c>
      <c r="D18" s="15" t="s">
        <v>205</v>
      </c>
      <c r="E18" s="34" t="s">
        <v>206</v>
      </c>
    </row>
    <row r="19" spans="2:5" x14ac:dyDescent="0.25">
      <c r="B19" s="30" t="s">
        <v>207</v>
      </c>
      <c r="C19" s="38">
        <f>ROUND(5*(1000/1024)^3,2)</f>
        <v>4.66</v>
      </c>
      <c r="D19" s="15" t="s">
        <v>205</v>
      </c>
      <c r="E19" s="34" t="s">
        <v>206</v>
      </c>
    </row>
    <row r="20" spans="2:5" x14ac:dyDescent="0.25">
      <c r="B20" s="30" t="s">
        <v>208</v>
      </c>
      <c r="C20" s="38">
        <f>ROUND(10*(1000/1024)^3,2)</f>
        <v>9.31</v>
      </c>
      <c r="D20" s="15" t="s">
        <v>205</v>
      </c>
      <c r="E20" s="34" t="s">
        <v>206</v>
      </c>
    </row>
    <row r="21" spans="2:5" x14ac:dyDescent="0.25">
      <c r="B21" s="30" t="s">
        <v>209</v>
      </c>
      <c r="C21" s="38">
        <f>ROUND(25*(1000/1024)^3,2)</f>
        <v>23.28</v>
      </c>
      <c r="D21" s="15" t="s">
        <v>205</v>
      </c>
      <c r="E21" s="34" t="s">
        <v>206</v>
      </c>
    </row>
    <row r="22" spans="2:5" x14ac:dyDescent="0.25">
      <c r="B22" s="30" t="s">
        <v>210</v>
      </c>
      <c r="C22" s="38">
        <f>ROUND(50*(1000/1024)^3,2)</f>
        <v>46.57</v>
      </c>
      <c r="D22" s="15" t="s">
        <v>205</v>
      </c>
      <c r="E22" s="34" t="s">
        <v>206</v>
      </c>
    </row>
    <row r="23" spans="2:5" x14ac:dyDescent="0.25">
      <c r="B23" s="30" t="s">
        <v>211</v>
      </c>
      <c r="C23" s="38">
        <f>ROUND(100*(1000/1024)^3,2)</f>
        <v>93.13</v>
      </c>
      <c r="D23" s="15" t="s">
        <v>205</v>
      </c>
      <c r="E23" s="34" t="s">
        <v>206</v>
      </c>
    </row>
  </sheetData>
  <mergeCells count="7">
    <mergeCell ref="B16:E16"/>
    <mergeCell ref="B17:E17"/>
    <mergeCell ref="B2:E2"/>
    <mergeCell ref="B4:E4"/>
    <mergeCell ref="B5:E5"/>
    <mergeCell ref="B10:E10"/>
    <mergeCell ref="B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800"/>
  </sheetPr>
  <dimension ref="B2:E42"/>
  <sheetViews>
    <sheetView zoomScaleNormal="100" workbookViewId="0"/>
  </sheetViews>
  <sheetFormatPr defaultColWidth="8.7109375" defaultRowHeight="15" x14ac:dyDescent="0.25"/>
  <cols>
    <col min="1" max="1" width="3" customWidth="1"/>
    <col min="2" max="2" width="48" customWidth="1"/>
    <col min="3" max="3" width="20" customWidth="1"/>
    <col min="4" max="4" width="14" customWidth="1"/>
    <col min="5" max="5" width="60" customWidth="1"/>
  </cols>
  <sheetData>
    <row r="2" spans="2:5" ht="18" x14ac:dyDescent="0.25">
      <c r="B2" s="14" t="s">
        <v>212</v>
      </c>
      <c r="C2" s="14"/>
      <c r="D2" s="14"/>
      <c r="E2" s="14"/>
    </row>
    <row r="4" spans="2:5" x14ac:dyDescent="0.25">
      <c r="B4" s="13" t="s">
        <v>213</v>
      </c>
      <c r="C4" s="13"/>
      <c r="D4" s="13"/>
      <c r="E4" s="13"/>
    </row>
    <row r="5" spans="2:5" x14ac:dyDescent="0.25">
      <c r="B5" s="30" t="s">
        <v>214</v>
      </c>
      <c r="C5" s="37">
        <f>'Hardware Inputs'!C8</f>
        <v>3</v>
      </c>
      <c r="D5" s="15" t="s">
        <v>215</v>
      </c>
      <c r="E5" s="34"/>
    </row>
    <row r="6" spans="2:5" x14ac:dyDescent="0.25">
      <c r="B6" s="30" t="s">
        <v>216</v>
      </c>
      <c r="C6" s="25" t="str">
        <f>'Hardware Inputs'!C9</f>
        <v>All-NVMe (No Cache)</v>
      </c>
      <c r="D6" s="15"/>
      <c r="E6" s="34"/>
    </row>
    <row r="7" spans="2:5" x14ac:dyDescent="0.25">
      <c r="B7" s="30" t="s">
        <v>217</v>
      </c>
      <c r="C7" s="37">
        <f>'Hardware Inputs'!C16</f>
        <v>12</v>
      </c>
      <c r="D7" s="15" t="s">
        <v>97</v>
      </c>
      <c r="E7" s="34"/>
    </row>
    <row r="8" spans="2:5" x14ac:dyDescent="0.25">
      <c r="B8" s="30" t="s">
        <v>218</v>
      </c>
      <c r="C8" s="38">
        <f>'Hardware Inputs'!C11</f>
        <v>7.68</v>
      </c>
      <c r="D8" s="15" t="s">
        <v>219</v>
      </c>
      <c r="E8" s="34"/>
    </row>
    <row r="9" spans="2:5" x14ac:dyDescent="0.25">
      <c r="B9" s="30" t="s">
        <v>220</v>
      </c>
      <c r="C9" s="38">
        <f>'Hardware Inputs'!C18</f>
        <v>92.16</v>
      </c>
      <c r="D9" s="15" t="s">
        <v>102</v>
      </c>
      <c r="E9" s="34"/>
    </row>
    <row r="10" spans="2:5" x14ac:dyDescent="0.25">
      <c r="B10" s="30" t="s">
        <v>221</v>
      </c>
      <c r="C10" s="38">
        <f>'Hardware Inputs'!C20</f>
        <v>84.787199999999999</v>
      </c>
      <c r="D10" s="15" t="s">
        <v>102</v>
      </c>
      <c r="E10" s="34"/>
    </row>
    <row r="11" spans="2:5" x14ac:dyDescent="0.25">
      <c r="B11" s="30" t="s">
        <v>222</v>
      </c>
      <c r="C11" s="38">
        <f>'Hardware Inputs'!C21</f>
        <v>21.1968</v>
      </c>
      <c r="D11" s="15" t="s">
        <v>102</v>
      </c>
      <c r="E11" s="34"/>
    </row>
    <row r="12" spans="2:5" x14ac:dyDescent="0.25">
      <c r="B12" s="30" t="s">
        <v>223</v>
      </c>
      <c r="C12" s="38">
        <f>'Hardware Inputs'!C22</f>
        <v>0.75</v>
      </c>
      <c r="D12" s="15" t="s">
        <v>102</v>
      </c>
      <c r="E12" s="34"/>
    </row>
    <row r="13" spans="2:5" ht="15.75" x14ac:dyDescent="0.25">
      <c r="B13" s="23" t="s">
        <v>224</v>
      </c>
      <c r="C13" s="53">
        <f>'Hardware Inputs'!C24</f>
        <v>62.840400000000002</v>
      </c>
      <c r="D13" s="15" t="s">
        <v>102</v>
      </c>
      <c r="E13" s="34"/>
    </row>
    <row r="14" spans="2:5" x14ac:dyDescent="0.25">
      <c r="B14" s="30" t="s">
        <v>225</v>
      </c>
      <c r="C14" s="38">
        <f>'Hardware Inputs'!C26</f>
        <v>61.37</v>
      </c>
      <c r="D14" s="15" t="s">
        <v>226</v>
      </c>
      <c r="E14" s="34"/>
    </row>
    <row r="15" spans="2:5" x14ac:dyDescent="0.25">
      <c r="B15" s="30" t="s">
        <v>227</v>
      </c>
      <c r="C15" s="38">
        <f>'Workload Planner'!C51</f>
        <v>13.669999999999998</v>
      </c>
      <c r="D15" s="15" t="s">
        <v>102</v>
      </c>
      <c r="E15" s="34"/>
    </row>
    <row r="16" spans="2:5" x14ac:dyDescent="0.25">
      <c r="B16" s="30" t="s">
        <v>228</v>
      </c>
      <c r="C16" s="38">
        <f>'Workload Planner'!C52</f>
        <v>5.8599999999999994</v>
      </c>
      <c r="D16" s="15" t="s">
        <v>102</v>
      </c>
      <c r="E16" s="34"/>
    </row>
    <row r="17" spans="2:5" ht="15.75" x14ac:dyDescent="0.25">
      <c r="B17" s="23" t="s">
        <v>229</v>
      </c>
      <c r="C17" s="53">
        <f>'Workload Planner'!C55</f>
        <v>49.170400000000001</v>
      </c>
      <c r="D17" s="15" t="s">
        <v>102</v>
      </c>
      <c r="E17" s="34"/>
    </row>
    <row r="18" spans="2:5" x14ac:dyDescent="0.25">
      <c r="B18" s="30" t="s">
        <v>184</v>
      </c>
      <c r="C18" s="52">
        <f>'Workload Planner'!C56</f>
        <v>0.21753521619849647</v>
      </c>
      <c r="D18" s="15"/>
      <c r="E18" s="34"/>
    </row>
    <row r="20" spans="2:5" x14ac:dyDescent="0.25">
      <c r="B20" s="13" t="s">
        <v>230</v>
      </c>
      <c r="C20" s="13"/>
      <c r="D20" s="13"/>
      <c r="E20" s="13"/>
    </row>
    <row r="21" spans="2:5" ht="27.75" customHeight="1" x14ac:dyDescent="0.25">
      <c r="B21" s="32" t="s">
        <v>220</v>
      </c>
      <c r="C21" s="10" t="s">
        <v>231</v>
      </c>
      <c r="D21" s="10"/>
      <c r="E21" s="10"/>
    </row>
    <row r="22" spans="2:5" ht="27.75" customHeight="1" x14ac:dyDescent="0.25">
      <c r="B22" s="32" t="s">
        <v>232</v>
      </c>
      <c r="C22" s="10" t="s">
        <v>233</v>
      </c>
      <c r="D22" s="10"/>
      <c r="E22" s="10"/>
    </row>
    <row r="23" spans="2:5" ht="27.75" customHeight="1" x14ac:dyDescent="0.25">
      <c r="B23" s="32" t="s">
        <v>234</v>
      </c>
      <c r="C23" s="10" t="s">
        <v>235</v>
      </c>
      <c r="D23" s="10"/>
      <c r="E23" s="10"/>
    </row>
    <row r="24" spans="2:5" ht="27.75" customHeight="1" x14ac:dyDescent="0.25">
      <c r="B24" s="32" t="s">
        <v>236</v>
      </c>
      <c r="C24" s="10" t="s">
        <v>237</v>
      </c>
      <c r="D24" s="10"/>
      <c r="E24" s="10"/>
    </row>
    <row r="25" spans="2:5" ht="27.75" customHeight="1" x14ac:dyDescent="0.25">
      <c r="B25" s="32" t="s">
        <v>223</v>
      </c>
      <c r="C25" s="10" t="s">
        <v>238</v>
      </c>
      <c r="D25" s="10"/>
      <c r="E25" s="10"/>
    </row>
    <row r="26" spans="2:5" ht="27.75" customHeight="1" x14ac:dyDescent="0.25">
      <c r="B26" s="32" t="s">
        <v>239</v>
      </c>
      <c r="C26" s="10" t="s">
        <v>240</v>
      </c>
      <c r="D26" s="10"/>
      <c r="E26" s="10"/>
    </row>
    <row r="27" spans="2:5" ht="27.75" customHeight="1" x14ac:dyDescent="0.25">
      <c r="B27" s="32" t="s">
        <v>241</v>
      </c>
      <c r="C27" s="10" t="s">
        <v>242</v>
      </c>
      <c r="D27" s="10"/>
      <c r="E27" s="10"/>
    </row>
    <row r="28" spans="2:5" ht="27.75" customHeight="1" x14ac:dyDescent="0.25">
      <c r="B28" s="32" t="s">
        <v>243</v>
      </c>
      <c r="C28" s="10" t="s">
        <v>244</v>
      </c>
      <c r="D28" s="10"/>
      <c r="E28" s="10"/>
    </row>
    <row r="29" spans="2:5" ht="27.75" customHeight="1" x14ac:dyDescent="0.25">
      <c r="B29" s="32" t="s">
        <v>121</v>
      </c>
      <c r="C29" s="10" t="s">
        <v>245</v>
      </c>
      <c r="D29" s="10"/>
      <c r="E29" s="10"/>
    </row>
    <row r="30" spans="2:5" ht="27.75" customHeight="1" x14ac:dyDescent="0.25">
      <c r="B30" s="32" t="s">
        <v>246</v>
      </c>
      <c r="C30" s="10" t="s">
        <v>247</v>
      </c>
      <c r="D30" s="10"/>
      <c r="E30" s="10"/>
    </row>
    <row r="32" spans="2:5" x14ac:dyDescent="0.25">
      <c r="B32" s="13" t="s">
        <v>248</v>
      </c>
      <c r="C32" s="13"/>
      <c r="D32" s="13"/>
      <c r="E32" s="13"/>
    </row>
    <row r="33" spans="2:5" ht="27.75" customHeight="1" x14ac:dyDescent="0.25">
      <c r="B33" s="54" t="s">
        <v>249</v>
      </c>
      <c r="C33" s="10" t="s">
        <v>250</v>
      </c>
      <c r="D33" s="10"/>
      <c r="E33" s="10"/>
    </row>
    <row r="34" spans="2:5" ht="27.75" customHeight="1" x14ac:dyDescent="0.25">
      <c r="B34" s="54" t="s">
        <v>251</v>
      </c>
      <c r="C34" s="10" t="s">
        <v>252</v>
      </c>
      <c r="D34" s="10"/>
      <c r="E34" s="10"/>
    </row>
    <row r="35" spans="2:5" ht="27.75" customHeight="1" x14ac:dyDescent="0.25">
      <c r="B35" s="54" t="s">
        <v>253</v>
      </c>
      <c r="C35" s="10" t="s">
        <v>254</v>
      </c>
      <c r="D35" s="10"/>
      <c r="E35" s="10"/>
    </row>
    <row r="37" spans="2:5" x14ac:dyDescent="0.25">
      <c r="B37" s="13" t="s">
        <v>255</v>
      </c>
      <c r="C37" s="13"/>
      <c r="D37" s="13"/>
      <c r="E37" s="13"/>
    </row>
    <row r="38" spans="2:5" ht="24.75" customHeight="1" x14ac:dyDescent="0.25">
      <c r="B38" s="32" t="s">
        <v>256</v>
      </c>
      <c r="C38" s="10" t="s">
        <v>257</v>
      </c>
      <c r="D38" s="10"/>
      <c r="E38" s="10"/>
    </row>
    <row r="39" spans="2:5" ht="24.75" customHeight="1" x14ac:dyDescent="0.25">
      <c r="B39" s="32" t="s">
        <v>258</v>
      </c>
      <c r="C39" s="10" t="s">
        <v>259</v>
      </c>
      <c r="D39" s="10"/>
      <c r="E39" s="10"/>
    </row>
    <row r="40" spans="2:5" ht="24.75" customHeight="1" x14ac:dyDescent="0.25">
      <c r="B40" s="32" t="s">
        <v>260</v>
      </c>
      <c r="C40" s="10" t="s">
        <v>261</v>
      </c>
      <c r="D40" s="10"/>
      <c r="E40" s="10"/>
    </row>
    <row r="41" spans="2:5" ht="24.75" customHeight="1" x14ac:dyDescent="0.25">
      <c r="B41" s="32" t="s">
        <v>262</v>
      </c>
      <c r="C41" s="10" t="s">
        <v>263</v>
      </c>
      <c r="D41" s="10"/>
      <c r="E41" s="10"/>
    </row>
    <row r="42" spans="2:5" ht="24.75" customHeight="1" x14ac:dyDescent="0.25">
      <c r="B42" s="32" t="s">
        <v>264</v>
      </c>
      <c r="C42" s="10" t="s">
        <v>265</v>
      </c>
      <c r="D42" s="10"/>
      <c r="E42" s="10"/>
    </row>
  </sheetData>
  <mergeCells count="23">
    <mergeCell ref="C40:E40"/>
    <mergeCell ref="C41:E41"/>
    <mergeCell ref="C42:E42"/>
    <mergeCell ref="C34:E34"/>
    <mergeCell ref="C35:E35"/>
    <mergeCell ref="B37:E37"/>
    <mergeCell ref="C38:E38"/>
    <mergeCell ref="C39:E39"/>
    <mergeCell ref="C28:E28"/>
    <mergeCell ref="C29:E29"/>
    <mergeCell ref="C30:E30"/>
    <mergeCell ref="B32:E32"/>
    <mergeCell ref="C33:E33"/>
    <mergeCell ref="C23:E23"/>
    <mergeCell ref="C24:E24"/>
    <mergeCell ref="C25:E25"/>
    <mergeCell ref="C26:E26"/>
    <mergeCell ref="C27:E27"/>
    <mergeCell ref="B2:E2"/>
    <mergeCell ref="B4:E4"/>
    <mergeCell ref="B20:E20"/>
    <mergeCell ref="C21:E21"/>
    <mergeCell ref="C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44336"/>
  </sheetPr>
  <dimension ref="B2:E37"/>
  <sheetViews>
    <sheetView zoomScaleNormal="100" workbookViewId="0"/>
  </sheetViews>
  <sheetFormatPr defaultColWidth="8.7109375" defaultRowHeight="15" x14ac:dyDescent="0.25"/>
  <cols>
    <col min="1" max="1" width="3" customWidth="1"/>
    <col min="2" max="2" width="46" customWidth="1"/>
    <col min="3" max="3" width="20" customWidth="1"/>
    <col min="4" max="4" width="16" customWidth="1"/>
    <col min="5" max="5" width="60" customWidth="1"/>
  </cols>
  <sheetData>
    <row r="2" spans="2:5" ht="18" x14ac:dyDescent="0.25">
      <c r="B2" s="2" t="s">
        <v>266</v>
      </c>
      <c r="C2" s="2"/>
      <c r="D2" s="2"/>
      <c r="E2" s="2"/>
    </row>
    <row r="4" spans="2:5" x14ac:dyDescent="0.25">
      <c r="B4" s="13" t="s">
        <v>267</v>
      </c>
      <c r="C4" s="13"/>
      <c r="D4" s="13"/>
      <c r="E4" s="13"/>
    </row>
    <row r="5" spans="2:5" ht="30" customHeight="1" x14ac:dyDescent="0.25">
      <c r="B5" s="12" t="s">
        <v>268</v>
      </c>
      <c r="C5" s="12"/>
      <c r="D5" s="12"/>
      <c r="E5" s="12"/>
    </row>
    <row r="7" spans="2:5" x14ac:dyDescent="0.25">
      <c r="B7" s="13" t="s">
        <v>269</v>
      </c>
      <c r="C7" s="13"/>
      <c r="D7" s="13"/>
      <c r="E7" s="13"/>
    </row>
    <row r="8" spans="2:5" ht="15" customHeight="1" x14ac:dyDescent="0.25">
      <c r="B8" s="55" t="s">
        <v>270</v>
      </c>
      <c r="C8" s="10" t="s">
        <v>271</v>
      </c>
      <c r="D8" s="10"/>
      <c r="E8" s="10"/>
    </row>
    <row r="9" spans="2:5" ht="15" customHeight="1" x14ac:dyDescent="0.25">
      <c r="B9" s="55" t="s">
        <v>272</v>
      </c>
      <c r="C9" s="10" t="s">
        <v>273</v>
      </c>
      <c r="D9" s="10"/>
      <c r="E9" s="10"/>
    </row>
    <row r="10" spans="2:5" ht="15" customHeight="1" x14ac:dyDescent="0.25">
      <c r="B10" s="55" t="s">
        <v>274</v>
      </c>
      <c r="C10" s="10" t="s">
        <v>275</v>
      </c>
      <c r="D10" s="10"/>
      <c r="E10" s="10"/>
    </row>
    <row r="11" spans="2:5" ht="15" customHeight="1" x14ac:dyDescent="0.25">
      <c r="B11" s="55" t="s">
        <v>276</v>
      </c>
      <c r="C11" s="10" t="s">
        <v>277</v>
      </c>
      <c r="D11" s="10"/>
      <c r="E11" s="10"/>
    </row>
    <row r="13" spans="2:5" x14ac:dyDescent="0.25">
      <c r="B13" s="1" t="s">
        <v>278</v>
      </c>
      <c r="C13" s="1"/>
      <c r="D13" s="1"/>
      <c r="E13" s="1"/>
    </row>
    <row r="14" spans="2:5" ht="30" customHeight="1" x14ac:dyDescent="0.25">
      <c r="B14" s="56" t="s">
        <v>279</v>
      </c>
      <c r="C14" s="10" t="s">
        <v>280</v>
      </c>
      <c r="D14" s="10"/>
      <c r="E14" s="10"/>
    </row>
    <row r="15" spans="2:5" ht="30" customHeight="1" x14ac:dyDescent="0.25">
      <c r="B15" s="56" t="s">
        <v>281</v>
      </c>
      <c r="C15" s="10" t="s">
        <v>282</v>
      </c>
      <c r="D15" s="10"/>
      <c r="E15" s="10"/>
    </row>
    <row r="16" spans="2:5" ht="30" customHeight="1" x14ac:dyDescent="0.25">
      <c r="B16" s="56" t="s">
        <v>283</v>
      </c>
      <c r="C16" s="10" t="s">
        <v>284</v>
      </c>
      <c r="D16" s="10"/>
      <c r="E16" s="10"/>
    </row>
    <row r="17" spans="2:5" ht="30" customHeight="1" x14ac:dyDescent="0.25">
      <c r="B17" s="56" t="s">
        <v>285</v>
      </c>
      <c r="C17" s="10" t="s">
        <v>286</v>
      </c>
      <c r="D17" s="10"/>
      <c r="E17" s="10"/>
    </row>
    <row r="18" spans="2:5" ht="30" customHeight="1" x14ac:dyDescent="0.25">
      <c r="B18" s="56" t="s">
        <v>287</v>
      </c>
      <c r="C18" s="10" t="s">
        <v>288</v>
      </c>
      <c r="D18" s="10"/>
      <c r="E18" s="10"/>
    </row>
    <row r="19" spans="2:5" ht="30" customHeight="1" x14ac:dyDescent="0.25">
      <c r="B19" s="56" t="s">
        <v>289</v>
      </c>
      <c r="C19" s="10" t="s">
        <v>290</v>
      </c>
      <c r="D19" s="10"/>
      <c r="E19" s="10"/>
    </row>
    <row r="21" spans="2:5" x14ac:dyDescent="0.25">
      <c r="B21" s="13" t="s">
        <v>291</v>
      </c>
      <c r="C21" s="13"/>
      <c r="D21" s="13"/>
      <c r="E21" s="13"/>
    </row>
    <row r="22" spans="2:5" ht="30" customHeight="1" x14ac:dyDescent="0.25">
      <c r="B22" s="54" t="s">
        <v>292</v>
      </c>
      <c r="C22" s="10" t="s">
        <v>293</v>
      </c>
      <c r="D22" s="10"/>
      <c r="E22" s="10"/>
    </row>
    <row r="23" spans="2:5" ht="30" customHeight="1" x14ac:dyDescent="0.25">
      <c r="B23" s="54" t="s">
        <v>294</v>
      </c>
      <c r="C23" s="10" t="s">
        <v>295</v>
      </c>
      <c r="D23" s="10"/>
      <c r="E23" s="10"/>
    </row>
    <row r="24" spans="2:5" ht="30" customHeight="1" x14ac:dyDescent="0.25">
      <c r="B24" s="54" t="s">
        <v>296</v>
      </c>
      <c r="C24" s="10" t="s">
        <v>297</v>
      </c>
      <c r="D24" s="10"/>
      <c r="E24" s="10"/>
    </row>
    <row r="25" spans="2:5" ht="30" customHeight="1" x14ac:dyDescent="0.25">
      <c r="B25" s="54" t="s">
        <v>298</v>
      </c>
      <c r="C25" s="10" t="s">
        <v>299</v>
      </c>
      <c r="D25" s="10"/>
      <c r="E25" s="10"/>
    </row>
    <row r="26" spans="2:5" ht="30" customHeight="1" x14ac:dyDescent="0.25">
      <c r="B26" s="54" t="s">
        <v>300</v>
      </c>
      <c r="C26" s="10" t="s">
        <v>301</v>
      </c>
      <c r="D26" s="10"/>
      <c r="E26" s="10"/>
    </row>
    <row r="28" spans="2:5" x14ac:dyDescent="0.25">
      <c r="B28" s="13" t="s">
        <v>302</v>
      </c>
      <c r="C28" s="13"/>
      <c r="D28" s="13"/>
      <c r="E28" s="13"/>
    </row>
    <row r="29" spans="2:5" ht="15" customHeight="1" x14ac:dyDescent="0.25">
      <c r="B29" s="31" t="s">
        <v>56</v>
      </c>
      <c r="C29" s="10" t="s">
        <v>303</v>
      </c>
      <c r="D29" s="10"/>
      <c r="E29" s="10"/>
    </row>
    <row r="30" spans="2:5" ht="15" customHeight="1" x14ac:dyDescent="0.25">
      <c r="B30" s="31" t="s">
        <v>58</v>
      </c>
      <c r="C30" s="10" t="s">
        <v>304</v>
      </c>
      <c r="D30" s="10"/>
      <c r="E30" s="10"/>
    </row>
    <row r="31" spans="2:5" ht="15" customHeight="1" x14ac:dyDescent="0.25">
      <c r="B31" s="31" t="s">
        <v>60</v>
      </c>
      <c r="C31" s="10" t="s">
        <v>305</v>
      </c>
      <c r="D31" s="10"/>
      <c r="E31" s="10"/>
    </row>
    <row r="32" spans="2:5" ht="15" customHeight="1" x14ac:dyDescent="0.25">
      <c r="B32" s="31" t="s">
        <v>62</v>
      </c>
      <c r="C32" s="10" t="s">
        <v>306</v>
      </c>
      <c r="D32" s="10"/>
      <c r="E32" s="10"/>
    </row>
    <row r="33" spans="2:5" ht="15" customHeight="1" x14ac:dyDescent="0.25">
      <c r="B33" s="31" t="s">
        <v>64</v>
      </c>
      <c r="C33" s="10" t="s">
        <v>307</v>
      </c>
      <c r="D33" s="10"/>
      <c r="E33" s="10"/>
    </row>
    <row r="34" spans="2:5" ht="15" customHeight="1" x14ac:dyDescent="0.25">
      <c r="B34" s="31" t="s">
        <v>66</v>
      </c>
      <c r="C34" s="10" t="s">
        <v>308</v>
      </c>
      <c r="D34" s="10"/>
      <c r="E34" s="10"/>
    </row>
    <row r="35" spans="2:5" ht="15" customHeight="1" x14ac:dyDescent="0.25">
      <c r="B35" s="31" t="s">
        <v>68</v>
      </c>
      <c r="C35" s="10" t="s">
        <v>309</v>
      </c>
      <c r="D35" s="10"/>
      <c r="E35" s="10"/>
    </row>
    <row r="36" spans="2:5" ht="15" customHeight="1" x14ac:dyDescent="0.25">
      <c r="B36" s="31" t="s">
        <v>70</v>
      </c>
      <c r="C36" s="10" t="s">
        <v>310</v>
      </c>
      <c r="D36" s="10"/>
      <c r="E36" s="10"/>
    </row>
    <row r="37" spans="2:5" ht="15" customHeight="1" x14ac:dyDescent="0.25">
      <c r="B37" s="31" t="s">
        <v>311</v>
      </c>
      <c r="C37" s="10" t="s">
        <v>312</v>
      </c>
      <c r="D37" s="10"/>
      <c r="E37" s="10"/>
    </row>
  </sheetData>
  <mergeCells count="31">
    <mergeCell ref="C37:E37"/>
    <mergeCell ref="C32:E32"/>
    <mergeCell ref="C33:E33"/>
    <mergeCell ref="C34:E34"/>
    <mergeCell ref="C35:E35"/>
    <mergeCell ref="C36:E36"/>
    <mergeCell ref="C26:E26"/>
    <mergeCell ref="B28:E28"/>
    <mergeCell ref="C29:E29"/>
    <mergeCell ref="C30:E30"/>
    <mergeCell ref="C31:E31"/>
    <mergeCell ref="B21:E21"/>
    <mergeCell ref="C22:E22"/>
    <mergeCell ref="C23:E23"/>
    <mergeCell ref="C24:E24"/>
    <mergeCell ref="C25:E25"/>
    <mergeCell ref="C15:E15"/>
    <mergeCell ref="C16:E16"/>
    <mergeCell ref="C17:E17"/>
    <mergeCell ref="C18:E18"/>
    <mergeCell ref="C19:E19"/>
    <mergeCell ref="C9:E9"/>
    <mergeCell ref="C10:E10"/>
    <mergeCell ref="C11:E11"/>
    <mergeCell ref="B13:E13"/>
    <mergeCell ref="C14:E14"/>
    <mergeCell ref="B2:E2"/>
    <mergeCell ref="B4:E4"/>
    <mergeCell ref="B5:E5"/>
    <mergeCell ref="B7:E7"/>
    <mergeCell ref="C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C27B0"/>
  </sheetPr>
  <dimension ref="B2:H14"/>
  <sheetViews>
    <sheetView zoomScaleNormal="100" workbookViewId="0"/>
  </sheetViews>
  <sheetFormatPr defaultColWidth="8.7109375" defaultRowHeight="15" x14ac:dyDescent="0.25"/>
  <cols>
    <col min="1" max="1" width="3" customWidth="1"/>
    <col min="2" max="2" width="22" customWidth="1"/>
    <col min="3" max="3" width="18" customWidth="1"/>
    <col min="4" max="4" width="14" customWidth="1"/>
    <col min="5" max="5" width="16" customWidth="1"/>
    <col min="6" max="6" width="18" customWidth="1"/>
    <col min="7" max="7" width="14" customWidth="1"/>
    <col min="8" max="8" width="18" customWidth="1"/>
  </cols>
  <sheetData>
    <row r="2" spans="2:8" ht="18" x14ac:dyDescent="0.25">
      <c r="B2" s="14" t="s">
        <v>313</v>
      </c>
      <c r="C2" s="14"/>
      <c r="D2" s="14"/>
      <c r="E2" s="14"/>
      <c r="F2" s="14"/>
      <c r="G2" s="14"/>
      <c r="H2" s="14"/>
    </row>
    <row r="4" spans="2:8" x14ac:dyDescent="0.25">
      <c r="B4" s="44" t="s">
        <v>314</v>
      </c>
      <c r="C4" s="44" t="s">
        <v>315</v>
      </c>
      <c r="D4" s="44" t="s">
        <v>121</v>
      </c>
      <c r="E4" s="44" t="s">
        <v>316</v>
      </c>
      <c r="F4" s="44" t="s">
        <v>317</v>
      </c>
      <c r="G4" s="44" t="s">
        <v>318</v>
      </c>
      <c r="H4" s="44" t="s">
        <v>319</v>
      </c>
    </row>
    <row r="5" spans="2:8" ht="15.75" x14ac:dyDescent="0.25">
      <c r="B5" s="57" t="s">
        <v>320</v>
      </c>
      <c r="C5" s="58">
        <f>'Workload Planner'!C9</f>
        <v>200</v>
      </c>
      <c r="D5" s="59">
        <f>IF('Workload Planner'!C9="Three-Way Mirror",1/3,IF('Workload Planner'!C9="Two-Way Mirror",0.5,IF('Workload Planner'!C9="Dual Parity",IF('Hardware Inputs'!C8&gt;=16,0.8,IF('Hardware Inputs'!C8&gt;=9,0.75,IF('Hardware Inputs'!C8&gt;=7,2/3,0.5))),IF('Workload Planner'!C9="Nested Two-Way Mirror",0.25,1/3))))</f>
        <v>0.33333333333333331</v>
      </c>
      <c r="E5" s="38">
        <f>'Workload Planner'!C11</f>
        <v>1.95</v>
      </c>
      <c r="F5" s="60">
        <f>'Workload Planner'!C12</f>
        <v>5.85</v>
      </c>
      <c r="G5" s="45" t="str">
        <f>IF('Workload Planner'!C9="Two-Way Mirror","2x",IF('Workload Planner'!C9="Three-Way Mirror","3x","parity"))</f>
        <v>parity</v>
      </c>
      <c r="H5" s="53">
        <f>'Workload Planner'!C11</f>
        <v>1.95</v>
      </c>
    </row>
    <row r="6" spans="2:8" ht="15.75" x14ac:dyDescent="0.25">
      <c r="B6" s="57" t="s">
        <v>321</v>
      </c>
      <c r="C6" s="58">
        <f>'Workload Planner'!C16</f>
        <v>120</v>
      </c>
      <c r="D6" s="59">
        <f>IF('Workload Planner'!C16="Three-Way Mirror",1/3,IF('Workload Planner'!C16="Two-Way Mirror",0.5,IF('Workload Planner'!C16="Dual Parity",IF('Hardware Inputs'!C8&gt;=16,0.8,IF('Hardware Inputs'!C8&gt;=9,0.75,IF('Hardware Inputs'!C8&gt;=7,2/3,0.5))),IF('Workload Planner'!C16="Nested Two-Way Mirror",0.25,1/3))))</f>
        <v>0.33333333333333331</v>
      </c>
      <c r="E6" s="38">
        <f>'Workload Planner'!C18</f>
        <v>0.59</v>
      </c>
      <c r="F6" s="60">
        <f>'Workload Planner'!C19</f>
        <v>1.18</v>
      </c>
      <c r="G6" s="45" t="str">
        <f>IF('Workload Planner'!C16="Two-Way Mirror","2x",IF('Workload Planner'!C16="Three-Way Mirror","3x","parity"))</f>
        <v>parity</v>
      </c>
      <c r="H6" s="53">
        <f>'Workload Planner'!C18</f>
        <v>0.59</v>
      </c>
    </row>
    <row r="7" spans="2:8" ht="15.75" x14ac:dyDescent="0.25">
      <c r="B7" s="57" t="s">
        <v>322</v>
      </c>
      <c r="C7" s="61">
        <f>'Workload Planner'!C24</f>
        <v>0.3</v>
      </c>
      <c r="D7" s="59">
        <f>IF('Workload Planner'!C24="Three-Way Mirror",1/3,IF('Workload Planner'!C24="Two-Way Mirror",0.5,IF('Workload Planner'!C24="Dual Parity",IF('Hardware Inputs'!C8&gt;=16,0.8,IF('Hardware Inputs'!C8&gt;=9,0.75,IF('Hardware Inputs'!C8&gt;=7,2/3,0.5))),IF('Workload Planner'!C24="Nested Two-Way Mirror",0.25,1/3))))</f>
        <v>0.33333333333333331</v>
      </c>
      <c r="E7" s="38">
        <f>'Workload Planner'!C26</f>
        <v>0.32</v>
      </c>
      <c r="F7" s="60">
        <f>'Workload Planner'!C27</f>
        <v>0.64</v>
      </c>
      <c r="G7" s="45" t="str">
        <f>IF('Workload Planner'!C24="Two-Way Mirror","2x",IF('Workload Planner'!C24="Three-Way Mirror","3x","parity"))</f>
        <v>parity</v>
      </c>
      <c r="H7" s="53">
        <f>'Workload Planner'!C26</f>
        <v>0.32</v>
      </c>
    </row>
    <row r="8" spans="2:8" ht="15.75" x14ac:dyDescent="0.25">
      <c r="B8" s="57" t="s">
        <v>323</v>
      </c>
      <c r="C8" s="45">
        <f>'Workload Planner'!C30</f>
        <v>3</v>
      </c>
      <c r="D8" s="59">
        <f>IF('Workload Planner'!C30="Three-Way Mirror",1/3,IF('Workload Planner'!C30="Two-Way Mirror",0.5,IF('Workload Planner'!C30="Dual Parity",IF('Hardware Inputs'!C8&gt;=16,0.8,IF('Hardware Inputs'!C8&gt;=9,0.75,IF('Hardware Inputs'!C8&gt;=7,2/3,0.5))),IF('Workload Planner'!C30="Nested Two-Way Mirror",0.25,1/3))))</f>
        <v>0.33333333333333331</v>
      </c>
      <c r="E8" s="38">
        <f>'Workload Planner'!C32</f>
        <v>3</v>
      </c>
      <c r="F8" s="60">
        <f>'Workload Planner'!C33</f>
        <v>6</v>
      </c>
      <c r="G8" s="45" t="str">
        <f>IF('Workload Planner'!C30="Two-Way Mirror","2x",IF('Workload Planner'!C30="Three-Way Mirror","3x","parity"))</f>
        <v>parity</v>
      </c>
      <c r="H8" s="53">
        <f>'Workload Planner'!C32</f>
        <v>3</v>
      </c>
    </row>
    <row r="9" spans="2:8" ht="15.75" x14ac:dyDescent="0.25">
      <c r="B9" s="57" t="s">
        <v>324</v>
      </c>
      <c r="C9" s="45">
        <f>'Workload Planner'!C36</f>
        <v>0</v>
      </c>
      <c r="D9" s="59">
        <f>IF('Workload Planner'!C36="Three-Way Mirror",1/3,IF('Workload Planner'!C36="Two-Way Mirror",0.5,IF('Workload Planner'!C36="Dual Parity",IF('Hardware Inputs'!C8&gt;=16,0.8,IF('Hardware Inputs'!C8&gt;=9,0.75,IF('Hardware Inputs'!C8&gt;=7,2/3,0.5))),IF('Workload Planner'!C36="Nested Two-Way Mirror",0.25,1/3))))</f>
        <v>0.33333333333333331</v>
      </c>
      <c r="E9" s="38">
        <f>'Workload Planner'!C38</f>
        <v>0</v>
      </c>
      <c r="F9" s="60">
        <f>'Workload Planner'!C39</f>
        <v>0</v>
      </c>
      <c r="G9" s="45" t="str">
        <f>IF('Workload Planner'!C36="Two-Way Mirror","2x",IF('Workload Planner'!C36="Three-Way Mirror","3x","parity"))</f>
        <v>parity</v>
      </c>
      <c r="H9" s="53">
        <f>'Workload Planner'!C38</f>
        <v>0</v>
      </c>
    </row>
    <row r="11" spans="2:8" ht="15.75" x14ac:dyDescent="0.25">
      <c r="B11" s="30" t="s">
        <v>325</v>
      </c>
      <c r="E11" s="38">
        <f>SUM(E5:E9)</f>
        <v>5.8599999999999994</v>
      </c>
      <c r="F11" s="49">
        <f>SUM(F5:F9)</f>
        <v>13.669999999999998</v>
      </c>
      <c r="H11" s="53">
        <f>SUM(H5:H9)</f>
        <v>5.8599999999999994</v>
      </c>
    </row>
    <row r="13" spans="2:8" x14ac:dyDescent="0.25">
      <c r="B13" s="13" t="s">
        <v>326</v>
      </c>
      <c r="C13" s="13"/>
      <c r="D13" s="13"/>
      <c r="E13" s="13"/>
      <c r="F13" s="13"/>
      <c r="G13" s="13"/>
      <c r="H13" s="13"/>
    </row>
    <row r="14" spans="2:8" ht="30" customHeight="1" x14ac:dyDescent="0.25">
      <c r="B14" s="63" t="str">
        <f>IF('Workload Planner'!C55&lt;0,"FAIL: Exceeds pool by "&amp;TEXT(ABS('Workload Planner'!C55),"0.00")&amp;" TB.",IF('Workload Planner'!C56&gt;0.7,"WARNING: Above 70%.","PASS: Healthy headroom."))</f>
        <v>PASS: Healthy headroom.</v>
      </c>
      <c r="C14" s="63"/>
      <c r="D14" s="63"/>
      <c r="E14" s="63"/>
      <c r="F14" s="63"/>
      <c r="G14" s="63"/>
      <c r="H14" s="63"/>
    </row>
  </sheetData>
  <mergeCells count="3">
    <mergeCell ref="B2:H2"/>
    <mergeCell ref="B13:H13"/>
    <mergeCell ref="B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07D8B"/>
  </sheetPr>
  <dimension ref="B2:C13"/>
  <sheetViews>
    <sheetView zoomScaleNormal="100" workbookViewId="0"/>
  </sheetViews>
  <sheetFormatPr defaultColWidth="8.7109375" defaultRowHeight="15" x14ac:dyDescent="0.25"/>
  <cols>
    <col min="1" max="1" width="3" customWidth="1"/>
    <col min="2" max="2" width="40" customWidth="1"/>
    <col min="3" max="3" width="80" customWidth="1"/>
  </cols>
  <sheetData>
    <row r="2" spans="2:3" ht="18" x14ac:dyDescent="0.25">
      <c r="B2" s="14" t="s">
        <v>327</v>
      </c>
      <c r="C2" s="14"/>
    </row>
    <row r="3" spans="2:3" x14ac:dyDescent="0.25">
      <c r="B3" s="44" t="s">
        <v>328</v>
      </c>
      <c r="C3" s="44" t="s">
        <v>329</v>
      </c>
    </row>
    <row r="4" spans="2:3" x14ac:dyDescent="0.25">
      <c r="B4" s="30" t="s">
        <v>330</v>
      </c>
      <c r="C4" s="62" t="s">
        <v>331</v>
      </c>
    </row>
    <row r="5" spans="2:3" x14ac:dyDescent="0.25">
      <c r="B5" s="30" t="s">
        <v>123</v>
      </c>
      <c r="C5" s="62" t="s">
        <v>332</v>
      </c>
    </row>
    <row r="6" spans="2:3" x14ac:dyDescent="0.25">
      <c r="B6" s="30" t="s">
        <v>333</v>
      </c>
      <c r="C6" s="62" t="s">
        <v>334</v>
      </c>
    </row>
    <row r="7" spans="2:3" x14ac:dyDescent="0.25">
      <c r="B7" s="30" t="s">
        <v>335</v>
      </c>
      <c r="C7" s="62" t="s">
        <v>336</v>
      </c>
    </row>
    <row r="8" spans="2:3" x14ac:dyDescent="0.25">
      <c r="B8" s="30" t="s">
        <v>337</v>
      </c>
      <c r="C8" s="62" t="s">
        <v>338</v>
      </c>
    </row>
    <row r="9" spans="2:3" x14ac:dyDescent="0.25">
      <c r="B9" s="30" t="s">
        <v>339</v>
      </c>
      <c r="C9" s="62" t="s">
        <v>340</v>
      </c>
    </row>
    <row r="10" spans="2:3" x14ac:dyDescent="0.25">
      <c r="B10" s="30" t="s">
        <v>341</v>
      </c>
      <c r="C10" s="62" t="s">
        <v>342</v>
      </c>
    </row>
    <row r="11" spans="2:3" x14ac:dyDescent="0.25">
      <c r="B11" s="30" t="s">
        <v>343</v>
      </c>
      <c r="C11" s="62" t="s">
        <v>344</v>
      </c>
    </row>
    <row r="12" spans="2:3" x14ac:dyDescent="0.25">
      <c r="B12" s="30" t="s">
        <v>345</v>
      </c>
      <c r="C12" s="62" t="s">
        <v>346</v>
      </c>
    </row>
    <row r="13" spans="2:3" x14ac:dyDescent="0.25">
      <c r="B13" s="30" t="s">
        <v>347</v>
      </c>
      <c r="C13" s="62" t="s">
        <v>348</v>
      </c>
    </row>
  </sheetData>
  <mergeCells count="1">
    <mergeCell ref="B2:C2"/>
  </mergeCells>
  <hyperlinks>
    <hyperlink ref="C4" r:id="rId1" xr:uid="{00000000-0004-0000-0700-000000000000}"/>
    <hyperlink ref="C5" r:id="rId2" xr:uid="{00000000-0004-0000-0700-000001000000}"/>
    <hyperlink ref="C6" r:id="rId3" xr:uid="{00000000-0004-0000-0700-000002000000}"/>
    <hyperlink ref="C7" r:id="rId4" xr:uid="{00000000-0004-0000-0700-000003000000}"/>
    <hyperlink ref="C8" r:id="rId5" xr:uid="{00000000-0004-0000-0700-000004000000}"/>
    <hyperlink ref="C9" r:id="rId6" xr:uid="{00000000-0004-0000-0700-000005000000}"/>
    <hyperlink ref="C10" r:id="rId7" xr:uid="{00000000-0004-0000-0700-000006000000}"/>
    <hyperlink ref="C11" r:id="rId8" xr:uid="{00000000-0004-0000-0700-000007000000}"/>
    <hyperlink ref="C12" r:id="rId9" xr:uid="{00000000-0004-0000-0700-000008000000}"/>
    <hyperlink ref="C13" r:id="rId10" xr:uid="{00000000-0004-0000-0700-000009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How to Use</vt:lpstr>
      <vt:lpstr>Hardware Inputs</vt:lpstr>
      <vt:lpstr>Workload Planner</vt:lpstr>
      <vt:lpstr>Advanced Settings</vt:lpstr>
      <vt:lpstr>Capacity Report</vt:lpstr>
      <vt:lpstr>Thin Provisioning</vt:lpstr>
      <vt:lpstr>Volume Detail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Kristopher Turner</cp:lastModifiedBy>
  <cp:revision>0</cp:revision>
  <dcterms:created xsi:type="dcterms:W3CDTF">2026-03-10T12:32:26Z</dcterms:created>
  <dcterms:modified xsi:type="dcterms:W3CDTF">2026-03-10T15:47:45Z</dcterms:modified>
  <dc:language>en-US</dc:language>
</cp:coreProperties>
</file>